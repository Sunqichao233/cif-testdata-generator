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_プロファイル設定" sheetId="1" state="visible" r:id="rId1"/>
    <sheet xmlns:r="http://schemas.openxmlformats.org/officeDocument/2006/relationships" name="17_コード設定マスタ" sheetId="2" state="visible" r:id="rId2"/>
    <sheet xmlns:r="http://schemas.openxmlformats.org/officeDocument/2006/relationships" name="15_リスト発行元マスタ" sheetId="3" state="visible" r:id="rId3"/>
    <sheet xmlns:r="http://schemas.openxmlformats.org/officeDocument/2006/relationships" name="30_取引リスト表示管理" sheetId="4" state="visible" r:id="rId4"/>
    <sheet xmlns:r="http://schemas.openxmlformats.org/officeDocument/2006/relationships" name="34_リスト処理属性管理" sheetId="5" state="visible" r:id="rId5"/>
  </sheets>
  <definedNames>
    <definedName name="_xlnm._FilterDatabase" localSheetId="0" hidden="1">'11_プロファイル設定'!$A$3:$V$4</definedName>
    <definedName name="_xlnm._FilterDatabase" localSheetId="1" hidden="1">'17_コード設定マスタ'!$A$3:$AK$5</definedName>
    <definedName name="_xlnm._FilterDatabase" localSheetId="2" hidden="1">'15_リスト発行元マスタ'!$A$3:$BS$4</definedName>
    <definedName name="_xlnm._FilterDatabase" localSheetId="3" hidden="1">'30_取引リスト表示管理'!$A$3:$AB$35</definedName>
    <definedName name="_xlnm._FilterDatabase" localSheetId="4" hidden="1">'34_リスト処理属性管理'!$A$3:$BJ$4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  <font>
      <name val="游ゴシック"/>
      <color rgb="FFFF0000"/>
      <sz val="9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99CCFF"/>
      </patternFill>
    </fill>
    <fill>
      <patternFill patternType="solid">
        <fgColor rgb="FFCCFFCC"/>
      </patternFill>
    </fill>
    <fill>
      <patternFill patternType="solid">
        <fgColor rgb="FFFF99CC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F99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49" fontId="1" fillId="4" borderId="1" applyAlignment="1" pivotButton="0" quotePrefix="0" xfId="0">
      <alignment horizontal="center" vertical="center"/>
    </xf>
    <xf numFmtId="49" fontId="1" fillId="7" borderId="1" applyAlignment="1" pivotButton="0" quotePrefix="0" xfId="0">
      <alignment horizontal="center" vertical="center"/>
    </xf>
    <xf numFmtId="49" fontId="1" fillId="8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6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  <xf numFmtId="49" fontId="1" fillId="7" borderId="1" applyAlignment="1" pivotButton="0" quotePrefix="0" xfId="0">
      <alignment horizontal="center" vertical="center" wrapText="1"/>
    </xf>
    <xf numFmtId="49" fontId="1" fillId="8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center"/>
    </xf>
    <xf numFmtId="0" fontId="0" fillId="0" borderId="1" pivotButton="0" quotePrefix="0" xfId="0"/>
    <xf numFmtId="49" fontId="2" fillId="9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9" fontId="3" fillId="10" borderId="1" applyAlignment="1" pivotButton="0" quotePrefix="0" xfId="0">
      <alignment vertical="center"/>
    </xf>
    <xf numFmtId="49" fontId="3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" customWidth="1" min="5" max="5"/>
    <col width="15" customWidth="1" min="6" max="6"/>
    <col width="15" customWidth="1" min="7" max="7"/>
    <col width="2" customWidth="1" min="8" max="8"/>
    <col width="11" customWidth="1" min="9" max="9"/>
    <col width="11" customWidth="1" min="10" max="10"/>
    <col width="11" customWidth="1" min="11" max="11"/>
    <col width="62" customWidth="1" min="12" max="12"/>
    <col width="11" customWidth="1" min="13" max="13"/>
    <col width="2" customWidth="1" min="14" max="14"/>
    <col width="11" customWidth="1" min="15" max="15"/>
    <col width="11" customWidth="1" min="16" max="16"/>
    <col width="11" customWidth="1" min="17" max="17"/>
    <col width="24" customWidth="1" min="18" max="18"/>
    <col width="11" customWidth="1" min="19" max="19"/>
    <col width="2" customWidth="1" min="20" max="20"/>
    <col width="8" customWidth="1" min="21" max="21"/>
    <col width="30" customWidth="1" min="22" max="22"/>
  </cols>
  <sheetData>
    <row r="1" ht="20" customHeight="1">
      <c r="A1" s="1" t="inlineStr">
        <is>
          <t>① 資材（insert.sql）</t>
        </is>
      </c>
      <c r="B1" s="2" t="n"/>
      <c r="C1" s="2" t="n"/>
      <c r="D1" s="3" t="n"/>
      <c r="F1" s="4" t="inlineStr">
        <is>
          <t>②③ マスタ定義書</t>
        </is>
      </c>
      <c r="G1" s="2" t="n"/>
      <c r="H1" s="2" t="n"/>
      <c r="I1" s="2" t="n"/>
      <c r="J1" s="2" t="n"/>
      <c r="K1" s="2" t="n"/>
      <c r="L1" s="2" t="n"/>
      <c r="M1" s="3" t="n"/>
      <c r="O1" s="5" t="inlineStr">
        <is>
          <t>突合</t>
        </is>
      </c>
      <c r="P1" s="2" t="n"/>
      <c r="Q1" s="2" t="n"/>
      <c r="R1" s="2" t="n"/>
      <c r="S1" s="3" t="n"/>
      <c r="U1" s="6" t="inlineStr">
        <is>
          <t>確認結果（記入欄）</t>
        </is>
      </c>
      <c r="V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3" t="n"/>
      <c r="F2" s="4" t="inlineStr">
        <is>
          <t>横浜銀行様用出荷設定</t>
        </is>
      </c>
      <c r="G2" s="3" t="n"/>
      <c r="I2" s="8" t="inlineStr">
        <is>
          <t>SQL</t>
        </is>
      </c>
      <c r="J2" s="2" t="n"/>
      <c r="K2" s="2" t="n"/>
      <c r="L2" s="2" t="n"/>
      <c r="M2" s="3" t="n"/>
      <c r="O2" s="5" t="inlineStr">
        <is>
          <t>①②の突合（項目ごと）</t>
        </is>
      </c>
      <c r="P2" s="2" t="n"/>
      <c r="Q2" s="2" t="n"/>
      <c r="R2" s="3" t="n"/>
      <c r="S2" s="5" t="inlineStr">
        <is>
          <t>①③の突合</t>
        </is>
      </c>
      <c r="U2" s="6" t="inlineStr">
        <is>
          <t>確認結果</t>
        </is>
      </c>
      <c r="V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F3" s="11" t="inlineStr">
        <is>
          <t>PRF_ID</t>
        </is>
      </c>
      <c r="G3" s="11" t="inlineStr">
        <is>
          <t>EXEC_AUTH_ID</t>
        </is>
      </c>
      <c r="I3" s="12" t="inlineStr">
        <is>
          <t>固定</t>
        </is>
      </c>
      <c r="J3" s="12" t="inlineStr">
        <is>
          <t>固定</t>
        </is>
      </c>
      <c r="K3" s="12" t="inlineStr">
        <is>
          <t>固定</t>
        </is>
      </c>
      <c r="L3" s="12" t="inlineStr">
        <is>
          <t>数式</t>
        </is>
      </c>
      <c r="M3" s="12" t="inlineStr">
        <is>
          <t>固定</t>
        </is>
      </c>
      <c r="O3" s="13" t="inlineStr">
        <is>
          <t>PRF_ID</t>
        </is>
      </c>
      <c r="P3" s="13" t="inlineStr">
        <is>
          <t>EXEC_AUTH_ID</t>
        </is>
      </c>
      <c r="Q3" s="13" t="inlineStr">
        <is>
          <t>全項目一致</t>
        </is>
      </c>
      <c r="R3" s="13" t="inlineStr">
        <is>
          <t>相違した項目</t>
        </is>
      </c>
      <c r="S3" s="13" t="inlineStr">
        <is>
          <t>SQL文一致</t>
        </is>
      </c>
      <c r="U3" s="14" t="inlineStr">
        <is>
          <t>判定</t>
        </is>
      </c>
      <c r="V3" s="14" t="inlineStr">
        <is>
          <t>備考</t>
        </is>
      </c>
    </row>
    <row r="4">
      <c r="A4" s="15" t="inlineStr">
        <is>
          <t>INSERT INTO CNF_PRF_TBL VALUES(11 , 1003);</t>
        </is>
      </c>
      <c r="B4" s="16" t="n"/>
      <c r="C4" s="15" t="inlineStr">
        <is>
          <t xml:space="preserve">11 </t>
        </is>
      </c>
      <c r="D4" s="15" t="inlineStr">
        <is>
          <t xml:space="preserve"> 1003</t>
        </is>
      </c>
      <c r="F4" s="17" t="inlineStr"/>
      <c r="G4" s="17" t="inlineStr"/>
      <c r="I4" s="17" t="inlineStr"/>
      <c r="J4" s="17" t="inlineStr"/>
      <c r="K4" s="17" t="inlineStr"/>
      <c r="L4" s="17" t="inlineStr"/>
      <c r="M4" s="17" t="inlineStr"/>
      <c r="O4" s="18">
        <f>EXACT(TRIM(C4),F4&amp;"")</f>
        <v/>
      </c>
      <c r="P4" s="18">
        <f>EXACT(TRIM(D4),G4&amp;"")</f>
        <v/>
      </c>
      <c r="Q4" s="18">
        <f>AND(O4:P4)</f>
        <v/>
      </c>
      <c r="R4" s="19">
        <f>TRIM(IF(O4,"",$O$3&amp;" ")&amp;IF(P4,"",$P$3&amp;" "))</f>
        <v/>
      </c>
      <c r="S4" s="18">
        <f>EXACT(SUBSTITUTE(A4," ",""),SUBSTITUTE(I4&amp;J4&amp;K4&amp;L4&amp;M4," ",""))</f>
        <v/>
      </c>
    </row>
  </sheetData>
  <autoFilter ref="A3:V4"/>
  <mergeCells count="9">
    <mergeCell ref="A1:D1"/>
    <mergeCell ref="F2:G2"/>
    <mergeCell ref="U2:V2"/>
    <mergeCell ref="C2:D2"/>
    <mergeCell ref="O1:S1"/>
    <mergeCell ref="I2:M2"/>
    <mergeCell ref="U1:V1"/>
    <mergeCell ref="O2:R2"/>
    <mergeCell ref="F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" customWidth="1" min="18" max="18"/>
    <col width="11" customWidth="1" min="19" max="19"/>
    <col width="11" customWidth="1" min="20" max="20"/>
    <col width="11" customWidth="1" min="21" max="21"/>
    <col width="62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24" customWidth="1" min="33" max="33"/>
    <col width="11" customWidth="1" min="34" max="34"/>
    <col width="2" customWidth="1" min="35" max="35"/>
    <col width="8" customWidth="1" min="36" max="36"/>
    <col width="30" customWidth="1" min="37" max="37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4" t="inlineStr">
        <is>
          <t>②③ マスタ定義書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5" t="inlineStr">
        <is>
          <t>突合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  <c r="AJ1" s="6" t="inlineStr">
        <is>
          <t>確認結果（記入欄）</t>
        </is>
      </c>
      <c r="AK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3" t="n"/>
      <c r="K2" s="4" t="inlineStr">
        <is>
          <t>横浜銀行様用出荷設定</t>
        </is>
      </c>
      <c r="L2" s="2" t="n"/>
      <c r="M2" s="2" t="n"/>
      <c r="N2" s="2" t="n"/>
      <c r="O2" s="2" t="n"/>
      <c r="P2" s="2" t="n"/>
      <c r="Q2" s="3" t="n"/>
      <c r="S2" s="8" t="inlineStr">
        <is>
          <t>SQL</t>
        </is>
      </c>
      <c r="T2" s="2" t="n"/>
      <c r="U2" s="2" t="n"/>
      <c r="V2" s="2" t="n"/>
      <c r="W2" s="3" t="n"/>
      <c r="Y2" s="5" t="inlineStr">
        <is>
          <t>①②の突合（項目ごと）</t>
        </is>
      </c>
      <c r="Z2" s="2" t="n"/>
      <c r="AA2" s="2" t="n"/>
      <c r="AB2" s="2" t="n"/>
      <c r="AC2" s="2" t="n"/>
      <c r="AD2" s="2" t="n"/>
      <c r="AE2" s="2" t="n"/>
      <c r="AF2" s="2" t="n"/>
      <c r="AG2" s="3" t="n"/>
      <c r="AH2" s="5" t="inlineStr">
        <is>
          <t>①③の突合</t>
        </is>
      </c>
      <c r="AJ2" s="6" t="inlineStr">
        <is>
          <t>確認結果</t>
        </is>
      </c>
      <c r="AK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K3" s="11" t="inlineStr">
        <is>
          <t>CODE_CNF_ID</t>
        </is>
      </c>
      <c r="L3" s="11" t="inlineStr">
        <is>
          <t>CODE_TYPE</t>
        </is>
      </c>
      <c r="M3" s="11" t="inlineStr">
        <is>
          <t>CODE_VALUE</t>
        </is>
      </c>
      <c r="N3" s="11" t="inlineStr">
        <is>
          <t>SUB_CODE_VALUE</t>
        </is>
      </c>
      <c r="O3" s="11" t="inlineStr">
        <is>
          <t>DSP_STRING</t>
        </is>
      </c>
      <c r="P3" s="11" t="inlineStr">
        <is>
          <t>DSP_ORDER</t>
        </is>
      </c>
      <c r="Q3" s="11" t="inlineStr">
        <is>
          <t>IS_DEL</t>
        </is>
      </c>
      <c r="S3" s="12" t="inlineStr">
        <is>
          <t>固定</t>
        </is>
      </c>
      <c r="T3" s="12" t="inlineStr">
        <is>
          <t>固定</t>
        </is>
      </c>
      <c r="U3" s="12" t="inlineStr">
        <is>
          <t>固定</t>
        </is>
      </c>
      <c r="V3" s="12" t="inlineStr">
        <is>
          <t>数式</t>
        </is>
      </c>
      <c r="W3" s="12" t="inlineStr">
        <is>
          <t>固定</t>
        </is>
      </c>
      <c r="Y3" s="13" t="inlineStr">
        <is>
          <t>CODE_CNF_ID</t>
        </is>
      </c>
      <c r="Z3" s="13" t="inlineStr">
        <is>
          <t>CODE_TYPE</t>
        </is>
      </c>
      <c r="AA3" s="13" t="inlineStr">
        <is>
          <t>CODE_VALUE</t>
        </is>
      </c>
      <c r="AB3" s="13" t="inlineStr">
        <is>
          <t>SUB_CODE_VALUE</t>
        </is>
      </c>
      <c r="AC3" s="13" t="inlineStr">
        <is>
          <t>DSP_STRING</t>
        </is>
      </c>
      <c r="AD3" s="13" t="inlineStr">
        <is>
          <t>DSP_ORDER</t>
        </is>
      </c>
      <c r="AE3" s="13" t="inlineStr">
        <is>
          <t>IS_DEL</t>
        </is>
      </c>
      <c r="AF3" s="13" t="inlineStr">
        <is>
          <t>全項目一致</t>
        </is>
      </c>
      <c r="AG3" s="13" t="inlineStr">
        <is>
          <t>相違した項目</t>
        </is>
      </c>
      <c r="AH3" s="13" t="inlineStr">
        <is>
          <t>SQL文一致</t>
        </is>
      </c>
      <c r="AJ3" s="14" t="inlineStr">
        <is>
          <t>判定</t>
        </is>
      </c>
      <c r="AK3" s="14" t="inlineStr">
        <is>
          <t>備考</t>
        </is>
      </c>
    </row>
    <row r="4">
      <c r="A4" s="15" t="inlineStr">
        <is>
          <t>INSERT INTO MST_CODE_TBL VALUES(67 , 'プルダウンコメント' , '002' , '21' , '該当あり（C情報）' , 103 , 'N');</t>
        </is>
      </c>
      <c r="B4" s="16" t="n"/>
      <c r="C4" s="15" t="inlineStr">
        <is>
          <t xml:space="preserve">67 </t>
        </is>
      </c>
      <c r="D4" s="15" t="inlineStr">
        <is>
          <t xml:space="preserve"> 'プルダウンコメント' </t>
        </is>
      </c>
      <c r="E4" s="15" t="inlineStr">
        <is>
          <t xml:space="preserve"> '002' </t>
        </is>
      </c>
      <c r="F4" s="15" t="inlineStr">
        <is>
          <t xml:space="preserve"> '21' </t>
        </is>
      </c>
      <c r="G4" s="15" t="inlineStr">
        <is>
          <t xml:space="preserve"> '該当あり（C情報）' </t>
        </is>
      </c>
      <c r="H4" s="15" t="inlineStr">
        <is>
          <t xml:space="preserve"> 103 </t>
        </is>
      </c>
      <c r="I4" s="15" t="inlineStr">
        <is>
          <t xml:space="preserve"> 'N'</t>
        </is>
      </c>
      <c r="K4" s="20" t="inlineStr">
        <is>
          <t>67</t>
        </is>
      </c>
      <c r="L4" s="20" t="inlineStr">
        <is>
          <t>プルダウンコメント</t>
        </is>
      </c>
      <c r="M4" s="20" t="inlineStr">
        <is>
          <t>002</t>
        </is>
      </c>
      <c r="N4" s="20" t="inlineStr">
        <is>
          <t>21</t>
        </is>
      </c>
      <c r="O4" s="20" t="inlineStr">
        <is>
          <t>該当あり（C情報）</t>
        </is>
      </c>
      <c r="P4" s="21" t="inlineStr">
        <is>
          <t>102</t>
        </is>
      </c>
      <c r="Q4" s="20" t="inlineStr">
        <is>
          <t>N</t>
        </is>
      </c>
      <c r="S4" s="15" t="inlineStr">
        <is>
          <t>INSERT INTO</t>
        </is>
      </c>
      <c r="T4" s="15" t="inlineStr">
        <is>
          <t>MST_CODE_TBL</t>
        </is>
      </c>
      <c r="U4" s="15" t="inlineStr">
        <is>
          <t>VALUES(</t>
        </is>
      </c>
      <c r="V4" s="15" t="inlineStr">
        <is>
          <t>67 , 'プルダウンコメント' , '002' , '21' , '該当あり（C情報）' , 102 , 'N'</t>
        </is>
      </c>
      <c r="W4" s="15" t="inlineStr">
        <is>
          <t>);</t>
        </is>
      </c>
      <c r="Y4" s="18">
        <f>EXACT(TRIM(C4),K4&amp;"")</f>
        <v/>
      </c>
      <c r="Z4" s="18">
        <f>EXACT(TRIM(D4),"'"&amp;L4&amp;"'")</f>
        <v/>
      </c>
      <c r="AA4" s="18">
        <f>EXACT(TRIM(E4),"'"&amp;M4&amp;"'")</f>
        <v/>
      </c>
      <c r="AB4" s="18">
        <f>EXACT(TRIM(F4),"'"&amp;N4&amp;"'")</f>
        <v/>
      </c>
      <c r="AC4" s="18">
        <f>EXACT(TRIM(G4),"'"&amp;O4&amp;"'")</f>
        <v/>
      </c>
      <c r="AD4" s="18">
        <f>EXACT(TRIM(H4),P4&amp;"")</f>
        <v/>
      </c>
      <c r="AE4" s="18">
        <f>EXACT(TRIM(I4),"'"&amp;Q4&amp;"'")</f>
        <v/>
      </c>
      <c r="AF4" s="18">
        <f>AND(Y4:AE4)</f>
        <v/>
      </c>
      <c r="AG4" s="19">
        <f>TRIM(IF(Y4,"",$Y$3&amp;" ")&amp;IF(Z4,"",$Z$3&amp;" ")&amp;IF(AA4,"",$AA$3&amp;" ")&amp;IF(AB4,"",$AB$3&amp;" ")&amp;IF(AC4,"",$AC$3&amp;" ")&amp;IF(AD4,"",$AD$3&amp;" ")&amp;IF(AE4,"",$AE$3&amp;" "))</f>
        <v/>
      </c>
      <c r="AH4" s="18">
        <f>EXACT(SUBSTITUTE(A4," ",""),SUBSTITUTE(S4&amp;T4&amp;U4&amp;V4&amp;W4," ",""))</f>
        <v/>
      </c>
    </row>
    <row r="5">
      <c r="A5" s="15" t="inlineStr">
        <is>
          <t>INSERT INTO MST_CODE_TBL VALUES(68 , 'プルダウンコメント' , '002' , '22' , '取消し' , 106 , 'N');</t>
        </is>
      </c>
      <c r="B5" s="16" t="n"/>
      <c r="C5" s="15" t="inlineStr">
        <is>
          <t xml:space="preserve">68 </t>
        </is>
      </c>
      <c r="D5" s="15" t="inlineStr">
        <is>
          <t xml:space="preserve"> 'プルダウンコメント' </t>
        </is>
      </c>
      <c r="E5" s="15" t="inlineStr">
        <is>
          <t xml:space="preserve"> '002' </t>
        </is>
      </c>
      <c r="F5" s="15" t="inlineStr">
        <is>
          <t xml:space="preserve"> '22' </t>
        </is>
      </c>
      <c r="G5" s="15" t="inlineStr">
        <is>
          <t xml:space="preserve"> '取消し' </t>
        </is>
      </c>
      <c r="H5" s="15" t="inlineStr">
        <is>
          <t xml:space="preserve"> 106 </t>
        </is>
      </c>
      <c r="I5" s="15" t="inlineStr">
        <is>
          <t xml:space="preserve"> 'N'</t>
        </is>
      </c>
      <c r="K5" s="20" t="inlineStr">
        <is>
          <t>68</t>
        </is>
      </c>
      <c r="L5" s="20" t="inlineStr">
        <is>
          <t>プルダウンコメント</t>
        </is>
      </c>
      <c r="M5" s="20" t="inlineStr">
        <is>
          <t>002</t>
        </is>
      </c>
      <c r="N5" s="20" t="inlineStr">
        <is>
          <t>22</t>
        </is>
      </c>
      <c r="O5" s="20" t="inlineStr">
        <is>
          <t>取消し</t>
        </is>
      </c>
      <c r="P5" s="21" t="inlineStr">
        <is>
          <t>105</t>
        </is>
      </c>
      <c r="Q5" s="20" t="inlineStr">
        <is>
          <t>N</t>
        </is>
      </c>
      <c r="S5" s="15" t="inlineStr">
        <is>
          <t>INSERT INTO</t>
        </is>
      </c>
      <c r="T5" s="15" t="inlineStr">
        <is>
          <t>MST_CODE_TBL</t>
        </is>
      </c>
      <c r="U5" s="15" t="inlineStr">
        <is>
          <t>VALUES(</t>
        </is>
      </c>
      <c r="V5" s="15" t="inlineStr">
        <is>
          <t>68 , 'プルダウンコメント' , '002' , '22' , '取消し' , 105 , 'N'</t>
        </is>
      </c>
      <c r="W5" s="15" t="inlineStr">
        <is>
          <t>);</t>
        </is>
      </c>
      <c r="Y5" s="18">
        <f>EXACT(TRIM(C5),K5&amp;"")</f>
        <v/>
      </c>
      <c r="Z5" s="18">
        <f>EXACT(TRIM(D5),"'"&amp;L5&amp;"'")</f>
        <v/>
      </c>
      <c r="AA5" s="18">
        <f>EXACT(TRIM(E5),"'"&amp;M5&amp;"'")</f>
        <v/>
      </c>
      <c r="AB5" s="18">
        <f>EXACT(TRIM(F5),"'"&amp;N5&amp;"'")</f>
        <v/>
      </c>
      <c r="AC5" s="18">
        <f>EXACT(TRIM(G5),"'"&amp;O5&amp;"'")</f>
        <v/>
      </c>
      <c r="AD5" s="18">
        <f>EXACT(TRIM(H5),P5&amp;"")</f>
        <v/>
      </c>
      <c r="AE5" s="18">
        <f>EXACT(TRIM(I5),"'"&amp;Q5&amp;"'")</f>
        <v/>
      </c>
      <c r="AF5" s="18">
        <f>AND(Y5:AE5)</f>
        <v/>
      </c>
      <c r="AG5" s="19">
        <f>TRIM(IF(Y5,"",$Y$3&amp;" ")&amp;IF(Z5,"",$Z$3&amp;" ")&amp;IF(AA5,"",$AA$3&amp;" ")&amp;IF(AB5,"",$AB$3&amp;" ")&amp;IF(AC5,"",$AC$3&amp;" ")&amp;IF(AD5,"",$AD$3&amp;" ")&amp;IF(AE5,"",$AE$3&amp;" "))</f>
        <v/>
      </c>
      <c r="AH5" s="18">
        <f>EXACT(SUBSTITUTE(A5," ",""),SUBSTITUTE(S5&amp;T5&amp;U5&amp;V5&amp;W5," ",""))</f>
        <v/>
      </c>
    </row>
  </sheetData>
  <autoFilter ref="A3:AK5"/>
  <mergeCells count="9">
    <mergeCell ref="Y1:AH1"/>
    <mergeCell ref="Y2:AG2"/>
    <mergeCell ref="S2:W2"/>
    <mergeCell ref="AJ1:AK1"/>
    <mergeCell ref="A1:I1"/>
    <mergeCell ref="AJ2:AK2"/>
    <mergeCell ref="C2:I2"/>
    <mergeCell ref="K2:Q2"/>
    <mergeCell ref="K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2" customWidth="1" min="41" max="41"/>
    <col width="11" customWidth="1" min="42" max="42"/>
    <col width="11" customWidth="1" min="43" max="43"/>
    <col width="11" customWidth="1" min="44" max="44"/>
    <col width="62" customWidth="1" min="45" max="45"/>
    <col width="11" customWidth="1" min="46" max="46"/>
    <col width="2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24" customWidth="1" min="67" max="67"/>
    <col width="11" customWidth="1" min="68" max="68"/>
    <col width="2" customWidth="1" min="69" max="69"/>
    <col width="8" customWidth="1" min="70" max="70"/>
    <col width="30" customWidth="1" min="71" max="71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4" t="inlineStr">
        <is>
          <t>②③ マスタ定義書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  <c r="AV1" s="5" t="inlineStr">
        <is>
          <t>突合</t>
        </is>
      </c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  <c r="BR1" s="6" t="inlineStr">
        <is>
          <t>確認結果（記入欄）</t>
        </is>
      </c>
      <c r="BS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/>
      <c r="W2" s="4" t="inlineStr">
        <is>
          <t>横浜銀行様用出荷設定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3" t="n"/>
      <c r="AP2" s="8" t="inlineStr">
        <is>
          <t>SQL</t>
        </is>
      </c>
      <c r="AQ2" s="2" t="n"/>
      <c r="AR2" s="2" t="n"/>
      <c r="AS2" s="2" t="n"/>
      <c r="AT2" s="3" t="n"/>
      <c r="AV2" s="5" t="inlineStr">
        <is>
          <t>①②の突合（項目ごと）</t>
        </is>
      </c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3" t="n"/>
      <c r="BP2" s="5" t="inlineStr">
        <is>
          <t>①③の突合</t>
        </is>
      </c>
      <c r="BR2" s="6" t="inlineStr">
        <is>
          <t>確認結果</t>
        </is>
      </c>
      <c r="BS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K3" s="10" t="inlineStr">
        <is>
          <t>区切9</t>
        </is>
      </c>
      <c r="L3" s="10" t="inlineStr">
        <is>
          <t>区切10</t>
        </is>
      </c>
      <c r="M3" s="10" t="inlineStr">
        <is>
          <t>区切11</t>
        </is>
      </c>
      <c r="N3" s="10" t="inlineStr">
        <is>
          <t>区切12</t>
        </is>
      </c>
      <c r="O3" s="10" t="inlineStr">
        <is>
          <t>区切13</t>
        </is>
      </c>
      <c r="P3" s="10" t="inlineStr">
        <is>
          <t>区切14</t>
        </is>
      </c>
      <c r="Q3" s="10" t="inlineStr">
        <is>
          <t>区切15</t>
        </is>
      </c>
      <c r="R3" s="10" t="inlineStr">
        <is>
          <t>区切16</t>
        </is>
      </c>
      <c r="S3" s="10" t="inlineStr">
        <is>
          <t>区切17</t>
        </is>
      </c>
      <c r="T3" s="10" t="inlineStr">
        <is>
          <t>区切18</t>
        </is>
      </c>
      <c r="U3" s="10" t="inlineStr">
        <is>
          <t>区切19</t>
        </is>
      </c>
      <c r="W3" s="11" t="inlineStr">
        <is>
          <t>LST_ID</t>
        </is>
      </c>
      <c r="X3" s="11" t="inlineStr">
        <is>
          <t>ORIGIN</t>
        </is>
      </c>
      <c r="Y3" s="11" t="inlineStr">
        <is>
          <t>ORIGIN_JP</t>
        </is>
      </c>
      <c r="Z3" s="11" t="inlineStr">
        <is>
          <t>IS_DISP</t>
        </is>
      </c>
      <c r="AA3" s="11" t="inlineStr">
        <is>
          <t>LIST_TYPE_CODE_ID</t>
        </is>
      </c>
      <c r="AB3" s="11" t="inlineStr">
        <is>
          <t>IS_DEMANDED</t>
        </is>
      </c>
      <c r="AC3" s="11" t="inlineStr">
        <is>
          <t>REG_UNIT_CODE_ID</t>
        </is>
      </c>
      <c r="AD3" s="11" t="inlineStr">
        <is>
          <t>INPUT_FILENAME</t>
        </is>
      </c>
      <c r="AE3" s="11" t="inlineStr">
        <is>
          <t>FILE_MAKE_STEP</t>
        </is>
      </c>
      <c r="AF3" s="11" t="inlineStr">
        <is>
          <t>LAST_UPDATE_DATE</t>
        </is>
      </c>
      <c r="AG3" s="11" t="inlineStr">
        <is>
          <t>IS_CHECK</t>
        </is>
      </c>
      <c r="AH3" s="11" t="inlineStr">
        <is>
          <t>ORIGIN_NO</t>
        </is>
      </c>
      <c r="AI3" s="11" t="inlineStr">
        <is>
          <t>IS_COM_CHECK</t>
        </is>
      </c>
      <c r="AJ3" s="11" t="inlineStr">
        <is>
          <t>FILTERING_DEF_ID</t>
        </is>
      </c>
      <c r="AK3" s="11" t="inlineStr">
        <is>
          <t>IS_NATIONALITY_CHECK_NAME</t>
        </is>
      </c>
      <c r="AL3" s="11" t="inlineStr">
        <is>
          <t>IS_NATIONALITY_CHECK_ENGNAME</t>
        </is>
      </c>
      <c r="AM3" s="11" t="inlineStr">
        <is>
          <t>LANGUAGE_TYPE</t>
        </is>
      </c>
      <c r="AN3" s="11" t="inlineStr">
        <is>
          <t>THRESHOLD</t>
        </is>
      </c>
      <c r="AP3" s="12" t="inlineStr">
        <is>
          <t>固定</t>
        </is>
      </c>
      <c r="AQ3" s="12" t="inlineStr">
        <is>
          <t>固定</t>
        </is>
      </c>
      <c r="AR3" s="12" t="inlineStr">
        <is>
          <t>固定</t>
        </is>
      </c>
      <c r="AS3" s="12" t="inlineStr">
        <is>
          <t>数式</t>
        </is>
      </c>
      <c r="AT3" s="12" t="inlineStr">
        <is>
          <t>固定</t>
        </is>
      </c>
      <c r="AV3" s="13" t="inlineStr">
        <is>
          <t>LST_ID</t>
        </is>
      </c>
      <c r="AW3" s="13" t="inlineStr">
        <is>
          <t>ORIGIN</t>
        </is>
      </c>
      <c r="AX3" s="13" t="inlineStr">
        <is>
          <t>ORIGIN_JP</t>
        </is>
      </c>
      <c r="AY3" s="13" t="inlineStr">
        <is>
          <t>IS_DISP</t>
        </is>
      </c>
      <c r="AZ3" s="13" t="inlineStr">
        <is>
          <t>LIST_TYPE_CODE_ID</t>
        </is>
      </c>
      <c r="BA3" s="13" t="inlineStr">
        <is>
          <t>IS_DEMANDED</t>
        </is>
      </c>
      <c r="BB3" s="13" t="inlineStr">
        <is>
          <t>REG_UNIT_CODE_ID</t>
        </is>
      </c>
      <c r="BC3" s="13" t="inlineStr">
        <is>
          <t>INPUT_FILENAME</t>
        </is>
      </c>
      <c r="BD3" s="13" t="inlineStr">
        <is>
          <t>FILE_MAKE_STEP</t>
        </is>
      </c>
      <c r="BE3" s="13" t="inlineStr">
        <is>
          <t>LAST_UPDATE_DATE</t>
        </is>
      </c>
      <c r="BF3" s="13" t="inlineStr">
        <is>
          <t>IS_CHECK</t>
        </is>
      </c>
      <c r="BG3" s="13" t="inlineStr">
        <is>
          <t>ORIGIN_NO</t>
        </is>
      </c>
      <c r="BH3" s="13" t="inlineStr">
        <is>
          <t>IS_COM_CHECK</t>
        </is>
      </c>
      <c r="BI3" s="13" t="inlineStr">
        <is>
          <t>FILTERING_DEF_ID</t>
        </is>
      </c>
      <c r="BJ3" s="13" t="inlineStr">
        <is>
          <t>IS_NATIONALITY_CHECK_NAME</t>
        </is>
      </c>
      <c r="BK3" s="13" t="inlineStr">
        <is>
          <t>IS_NATIONALITY_CHECK_ENGNAME</t>
        </is>
      </c>
      <c r="BL3" s="13" t="inlineStr">
        <is>
          <t>LANGUAGE_TYPE</t>
        </is>
      </c>
      <c r="BM3" s="13" t="inlineStr">
        <is>
          <t>THRESHOLD</t>
        </is>
      </c>
      <c r="BN3" s="13" t="inlineStr">
        <is>
          <t>全項目一致</t>
        </is>
      </c>
      <c r="BO3" s="13" t="inlineStr">
        <is>
          <t>相違した項目</t>
        </is>
      </c>
      <c r="BP3" s="13" t="inlineStr">
        <is>
          <t>SQL文一致</t>
        </is>
      </c>
      <c r="BR3" s="14" t="inlineStr">
        <is>
          <t>判定</t>
        </is>
      </c>
      <c r="BS3" s="14" t="inlineStr">
        <is>
          <t>備考</t>
        </is>
      </c>
    </row>
    <row r="4">
      <c r="A4" s="15" t="inlineStr">
        <is>
          <t>INSERT INTO MST_LSTORIGIN_TBL VALUES(16 , 'BFILE_CINFO' , 'BファイルC情報' , 'Y' , NULL , NULL , NULL , 'E' , NULL , to_timestamp('2018/01/01 00:00:00' , 'yyyy/MM/dd hh24:mi:ss') , 'Y' , 31 , 'Y' , 16 , 'N' , 'N' , '2' , '0');</t>
        </is>
      </c>
      <c r="B4" s="16" t="n"/>
      <c r="C4" s="15" t="inlineStr">
        <is>
          <t xml:space="preserve">16 </t>
        </is>
      </c>
      <c r="D4" s="15" t="inlineStr">
        <is>
          <t xml:space="preserve"> 'BFILE_CINFO' </t>
        </is>
      </c>
      <c r="E4" s="15" t="inlineStr">
        <is>
          <t xml:space="preserve"> 'BファイルC情報' </t>
        </is>
      </c>
      <c r="F4" s="15" t="inlineStr">
        <is>
          <t xml:space="preserve"> 'Y' </t>
        </is>
      </c>
      <c r="G4" s="15" t="inlineStr">
        <is>
          <t xml:space="preserve"> NULL </t>
        </is>
      </c>
      <c r="H4" s="15" t="inlineStr">
        <is>
          <t xml:space="preserve"> NULL </t>
        </is>
      </c>
      <c r="I4" s="15" t="inlineStr">
        <is>
          <t xml:space="preserve"> NULL </t>
        </is>
      </c>
      <c r="J4" s="15" t="inlineStr">
        <is>
          <t xml:space="preserve"> 'E' </t>
        </is>
      </c>
      <c r="K4" s="15" t="inlineStr">
        <is>
          <t xml:space="preserve"> NULL </t>
        </is>
      </c>
      <c r="L4" s="15" t="inlineStr">
        <is>
          <t xml:space="preserve"> to_timestamp('2018/01/01 00:00:00' </t>
        </is>
      </c>
      <c r="M4" s="15" t="inlineStr">
        <is>
          <t xml:space="preserve"> 'yyyy/MM/dd hh24:mi:ss') </t>
        </is>
      </c>
      <c r="N4" s="15" t="inlineStr">
        <is>
          <t xml:space="preserve"> 'Y' </t>
        </is>
      </c>
      <c r="O4" s="15" t="inlineStr">
        <is>
          <t xml:space="preserve"> 31 </t>
        </is>
      </c>
      <c r="P4" s="15" t="inlineStr">
        <is>
          <t xml:space="preserve"> 'Y' </t>
        </is>
      </c>
      <c r="Q4" s="15" t="inlineStr">
        <is>
          <t xml:space="preserve"> 16 </t>
        </is>
      </c>
      <c r="R4" s="15" t="inlineStr">
        <is>
          <t xml:space="preserve"> 'N' </t>
        </is>
      </c>
      <c r="S4" s="15" t="inlineStr">
        <is>
          <t xml:space="preserve"> 'N' </t>
        </is>
      </c>
      <c r="T4" s="15" t="inlineStr">
        <is>
          <t xml:space="preserve"> '2' </t>
        </is>
      </c>
      <c r="U4" s="15" t="inlineStr">
        <is>
          <t xml:space="preserve"> '0'</t>
        </is>
      </c>
      <c r="W4" s="20" t="inlineStr">
        <is>
          <t>16</t>
        </is>
      </c>
      <c r="X4" s="20" t="inlineStr">
        <is>
          <t>BFILE_CINFO</t>
        </is>
      </c>
      <c r="Y4" s="20" t="inlineStr">
        <is>
          <t>BファイルC情報</t>
        </is>
      </c>
      <c r="Z4" s="20" t="inlineStr">
        <is>
          <t>Y</t>
        </is>
      </c>
      <c r="AA4" s="20" t="inlineStr">
        <is>
          <t>NULL</t>
        </is>
      </c>
      <c r="AB4" s="20" t="inlineStr">
        <is>
          <t>NULL</t>
        </is>
      </c>
      <c r="AC4" s="20" t="inlineStr">
        <is>
          <t>NULL</t>
        </is>
      </c>
      <c r="AD4" s="20" t="inlineStr">
        <is>
          <t>E</t>
        </is>
      </c>
      <c r="AE4" s="20" t="inlineStr">
        <is>
          <t>NULL</t>
        </is>
      </c>
      <c r="AF4" s="20" t="inlineStr">
        <is>
          <t>2018/01/01 00:00:00</t>
        </is>
      </c>
      <c r="AG4" s="20" t="inlineStr">
        <is>
          <t>Y</t>
        </is>
      </c>
      <c r="AH4" s="20" t="inlineStr">
        <is>
          <t>31</t>
        </is>
      </c>
      <c r="AI4" s="20" t="inlineStr">
        <is>
          <t>Y</t>
        </is>
      </c>
      <c r="AJ4" s="20" t="inlineStr">
        <is>
          <t>16</t>
        </is>
      </c>
      <c r="AK4" s="20" t="inlineStr">
        <is>
          <t>N</t>
        </is>
      </c>
      <c r="AL4" s="20" t="inlineStr">
        <is>
          <t>N</t>
        </is>
      </c>
      <c r="AM4" s="20" t="inlineStr">
        <is>
          <t>2</t>
        </is>
      </c>
      <c r="AN4" s="20" t="inlineStr">
        <is>
          <t>0</t>
        </is>
      </c>
      <c r="AP4" s="15" t="inlineStr">
        <is>
          <t>INSERT INTO</t>
        </is>
      </c>
      <c r="AQ4" s="15" t="inlineStr">
        <is>
          <t>MST_LSTORIGIN_TBL</t>
        </is>
      </c>
      <c r="AR4" s="15" t="inlineStr">
        <is>
          <t>VALUES(</t>
        </is>
      </c>
      <c r="AS4" s="15" t="inlineStr">
        <is>
          <t>16 , 'BFILE_CINFO' , 'BファイルC情報' , 'Y' , NULL , 'NULL' , NULL , 'E' , 'NULL' , to_timestamp('2018/01/01 00:00:00' , 'yyyy/MM/dd hh24:mi:ss') , 'Y' , 31 , 'Y' , 16 , 'N' , 'N' , '2' , '0'</t>
        </is>
      </c>
      <c r="AT4" s="15" t="inlineStr">
        <is>
          <t>);</t>
        </is>
      </c>
      <c r="AV4" s="18">
        <f>EXACT(TRIM(C4),W4&amp;"")</f>
        <v/>
      </c>
      <c r="AW4" s="18">
        <f>EXACT(TRIM(D4),"'"&amp;X4&amp;"'")</f>
        <v/>
      </c>
      <c r="AX4" s="18">
        <f>EXACT(TRIM(E4),"'"&amp;Y4&amp;"'")</f>
        <v/>
      </c>
      <c r="AY4" s="18">
        <f>EXACT(TRIM(F4),"'"&amp;Z4&amp;"'")</f>
        <v/>
      </c>
      <c r="AZ4" s="18">
        <f>EXACT(TRIM(G4),AA4&amp;"")</f>
        <v/>
      </c>
      <c r="BA4" s="18">
        <f>EXACT(TRIM(H4),AB4&amp;"")</f>
        <v/>
      </c>
      <c r="BB4" s="18">
        <f>EXACT(TRIM(I4),AC4&amp;"")</f>
        <v/>
      </c>
      <c r="BC4" s="18">
        <f>EXACT(TRIM(J4),"'"&amp;AD4&amp;"'")</f>
        <v/>
      </c>
      <c r="BD4" s="18">
        <f>EXACT(TRIM(K4),AE4&amp;"")</f>
        <v/>
      </c>
      <c r="BE4" s="18">
        <f>EXACT(TRIM(L4),"to_timestamp('"&amp;AF4&amp;"'")</f>
        <v/>
      </c>
      <c r="BF4" s="18">
        <f>EXACT(TRIM(N4),"'"&amp;AG4&amp;"'")</f>
        <v/>
      </c>
      <c r="BG4" s="18">
        <f>EXACT(TRIM(O4),AH4&amp;"")</f>
        <v/>
      </c>
      <c r="BH4" s="18">
        <f>EXACT(TRIM(P4),"'"&amp;AI4&amp;"'")</f>
        <v/>
      </c>
      <c r="BI4" s="18">
        <f>EXACT(TRIM(Q4),AJ4&amp;"")</f>
        <v/>
      </c>
      <c r="BJ4" s="18">
        <f>EXACT(TRIM(R4),"'"&amp;AK4&amp;"'")</f>
        <v/>
      </c>
      <c r="BK4" s="18">
        <f>EXACT(TRIM(S4),"'"&amp;AL4&amp;"'")</f>
        <v/>
      </c>
      <c r="BL4" s="18">
        <f>EXACT(TRIM(T4),"'"&amp;AM4&amp;"'")</f>
        <v/>
      </c>
      <c r="BM4" s="18">
        <f>EXACT(TRIM(U4),"'"&amp;AN4&amp;"'")</f>
        <v/>
      </c>
      <c r="BN4" s="18">
        <f>AND(AV4:BM4)</f>
        <v/>
      </c>
      <c r="BO4" s="19">
        <f>TRIM(IF(AV4,"",$AV$3&amp;" ")&amp;IF(AW4,"",$AW$3&amp;" ")&amp;IF(AX4,"",$AX$3&amp;" ")&amp;IF(AY4,"",$AY$3&amp;" ")&amp;IF(AZ4,"",$AZ$3&amp;" ")&amp;IF(BA4,"",$BA$3&amp;" ")&amp;IF(BB4,"",$BB$3&amp;" ")&amp;IF(BC4,"",$BC$3&amp;" ")&amp;IF(BD4,"",$BD$3&amp;" ")&amp;IF(BE4,"",$BE$3&amp;" ")&amp;IF(BF4,"",$BF$3&amp;" ")&amp;IF(BG4,"",$BG$3&amp;" ")&amp;IF(BH4,"",$BH$3&amp;" ")&amp;IF(BI4,"",$BI$3&amp;" ")&amp;IF(BJ4,"",$BJ$3&amp;" ")&amp;IF(BK4,"",$BK$3&amp;" ")&amp;IF(BL4,"",$BL$3&amp;" ")&amp;IF(BM4,"",$BM$3&amp;" "))</f>
        <v/>
      </c>
      <c r="BP4" s="18">
        <f>EXACT(SUBSTITUTE(A4," ",""),SUBSTITUTE(AP4&amp;AQ4&amp;AR4&amp;AS4&amp;AT4," ",""))</f>
        <v/>
      </c>
    </row>
  </sheetData>
  <autoFilter ref="A3:BS4"/>
  <mergeCells count="9">
    <mergeCell ref="W2:AN2"/>
    <mergeCell ref="AV1:BP1"/>
    <mergeCell ref="BR2:BS2"/>
    <mergeCell ref="AP2:AT2"/>
    <mergeCell ref="W1:AT1"/>
    <mergeCell ref="AV2:BO2"/>
    <mergeCell ref="BR1:BS1"/>
    <mergeCell ref="A1:U1"/>
    <mergeCell ref="C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5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  <col width="15" customWidth="1" min="8" max="8"/>
    <col width="15" customWidth="1" min="9" max="9"/>
    <col width="15" customWidth="1" min="10" max="10"/>
    <col width="15" customWidth="1" min="11" max="11"/>
    <col width="2" customWidth="1" min="12" max="12"/>
    <col width="11" customWidth="1" min="13" max="13"/>
    <col width="11" customWidth="1" min="14" max="14"/>
    <col width="11" customWidth="1" min="15" max="15"/>
    <col width="62" customWidth="1" min="16" max="16"/>
    <col width="11" customWidth="1" min="17" max="17"/>
    <col width="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4" customWidth="1" min="24" max="24"/>
    <col width="11" customWidth="1" min="25" max="25"/>
    <col width="2" customWidth="1" min="26" max="26"/>
    <col width="8" customWidth="1" min="27" max="27"/>
    <col width="30" customWidth="1" min="28" max="28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3" t="n"/>
      <c r="H1" s="4" t="inlineStr">
        <is>
          <t>②③ マスタ定義書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5" t="inlineStr">
        <is>
          <t>突合</t>
        </is>
      </c>
      <c r="T1" s="2" t="n"/>
      <c r="U1" s="2" t="n"/>
      <c r="V1" s="2" t="n"/>
      <c r="W1" s="2" t="n"/>
      <c r="X1" s="2" t="n"/>
      <c r="Y1" s="3" t="n"/>
      <c r="AA1" s="6" t="inlineStr">
        <is>
          <t>確認結果（記入欄）</t>
        </is>
      </c>
      <c r="AB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3" t="n"/>
      <c r="H2" s="4" t="inlineStr">
        <is>
          <t>横浜銀行様用出荷設定</t>
        </is>
      </c>
      <c r="I2" s="2" t="n"/>
      <c r="J2" s="2" t="n"/>
      <c r="K2" s="3" t="n"/>
      <c r="M2" s="8" t="inlineStr">
        <is>
          <t>SQL</t>
        </is>
      </c>
      <c r="N2" s="2" t="n"/>
      <c r="O2" s="2" t="n"/>
      <c r="P2" s="2" t="n"/>
      <c r="Q2" s="3" t="n"/>
      <c r="S2" s="5" t="inlineStr">
        <is>
          <t>①②の突合（項目ごと）</t>
        </is>
      </c>
      <c r="T2" s="2" t="n"/>
      <c r="U2" s="2" t="n"/>
      <c r="V2" s="2" t="n"/>
      <c r="W2" s="2" t="n"/>
      <c r="X2" s="3" t="n"/>
      <c r="Y2" s="5" t="inlineStr">
        <is>
          <t>①③の突合</t>
        </is>
      </c>
      <c r="AA2" s="6" t="inlineStr">
        <is>
          <t>確認結果</t>
        </is>
      </c>
      <c r="AB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H3" s="11" t="inlineStr">
        <is>
          <t>PRF_ID</t>
        </is>
      </c>
      <c r="I3" s="11" t="inlineStr">
        <is>
          <t>DEAL_ID</t>
        </is>
      </c>
      <c r="J3" s="11" t="inlineStr">
        <is>
          <t>LST_ID</t>
        </is>
      </c>
      <c r="K3" s="11" t="inlineStr">
        <is>
          <t>CONF_LST_FLG</t>
        </is>
      </c>
      <c r="M3" s="12" t="inlineStr">
        <is>
          <t>固定</t>
        </is>
      </c>
      <c r="N3" s="12" t="inlineStr">
        <is>
          <t>固定</t>
        </is>
      </c>
      <c r="O3" s="12" t="inlineStr">
        <is>
          <t>固定</t>
        </is>
      </c>
      <c r="P3" s="12" t="inlineStr">
        <is>
          <t>数式</t>
        </is>
      </c>
      <c r="Q3" s="12" t="inlineStr">
        <is>
          <t>固定</t>
        </is>
      </c>
      <c r="S3" s="13" t="inlineStr">
        <is>
          <t>PRF_ID</t>
        </is>
      </c>
      <c r="T3" s="13" t="inlineStr">
        <is>
          <t>DEAL_ID</t>
        </is>
      </c>
      <c r="U3" s="13" t="inlineStr">
        <is>
          <t>LST_ID</t>
        </is>
      </c>
      <c r="V3" s="13" t="inlineStr">
        <is>
          <t>CONF_LST_FLG</t>
        </is>
      </c>
      <c r="W3" s="13" t="inlineStr">
        <is>
          <t>全項目一致</t>
        </is>
      </c>
      <c r="X3" s="13" t="inlineStr">
        <is>
          <t>相違した項目</t>
        </is>
      </c>
      <c r="Y3" s="13" t="inlineStr">
        <is>
          <t>SQL文一致</t>
        </is>
      </c>
      <c r="AA3" s="14" t="inlineStr">
        <is>
          <t>判定</t>
        </is>
      </c>
      <c r="AB3" s="14" t="inlineStr">
        <is>
          <t>備考</t>
        </is>
      </c>
    </row>
    <row r="4">
      <c r="A4" s="15" t="inlineStr">
        <is>
          <t>INSERT INTO MNG_DEAL_LIST_DSP_TBL VALUES(11 , 10 , 1 , 'N' );</t>
        </is>
      </c>
      <c r="B4" s="16" t="n"/>
      <c r="C4" s="15" t="inlineStr">
        <is>
          <t xml:space="preserve">11 </t>
        </is>
      </c>
      <c r="D4" s="15" t="inlineStr">
        <is>
          <t xml:space="preserve"> 10 </t>
        </is>
      </c>
      <c r="E4" s="15" t="inlineStr">
        <is>
          <t xml:space="preserve"> 1 </t>
        </is>
      </c>
      <c r="F4" s="15" t="inlineStr">
        <is>
          <t xml:space="preserve"> 'N' </t>
        </is>
      </c>
      <c r="H4" s="17" t="inlineStr"/>
      <c r="I4" s="17" t="inlineStr"/>
      <c r="J4" s="17" t="inlineStr"/>
      <c r="K4" s="17" t="inlineStr"/>
      <c r="M4" s="17" t="inlineStr"/>
      <c r="N4" s="17" t="inlineStr"/>
      <c r="O4" s="17" t="inlineStr"/>
      <c r="P4" s="17" t="inlineStr"/>
      <c r="Q4" s="17" t="inlineStr"/>
      <c r="S4" s="18">
        <f>EXACT(TRIM(C4),H4&amp;"")</f>
        <v/>
      </c>
      <c r="T4" s="18">
        <f>EXACT(TRIM(D4),I4&amp;"")</f>
        <v/>
      </c>
      <c r="U4" s="18">
        <f>EXACT(TRIM(E4),J4&amp;"")</f>
        <v/>
      </c>
      <c r="V4" s="18">
        <f>EXACT(TRIM(F4),"'"&amp;K4&amp;"'")</f>
        <v/>
      </c>
      <c r="W4" s="18">
        <f>AND(S4:V4)</f>
        <v/>
      </c>
      <c r="X4" s="19">
        <f>TRIM(IF(S4,"",$S$3&amp;" ")&amp;IF(T4,"",$T$3&amp;" ")&amp;IF(U4,"",$U$3&amp;" ")&amp;IF(V4,"",$V$3&amp;" "))</f>
        <v/>
      </c>
      <c r="Y4" s="18">
        <f>EXACT(SUBSTITUTE(A4," ",""),SUBSTITUTE(M4&amp;N4&amp;O4&amp;P4&amp;Q4," ",""))</f>
        <v/>
      </c>
    </row>
    <row r="5">
      <c r="A5" s="15" t="inlineStr">
        <is>
          <t>INSERT INTO MNG_DEAL_LIST_DSP_TBL VALUES(11 , 10 , 2 , 'N' );</t>
        </is>
      </c>
      <c r="B5" s="16" t="n"/>
      <c r="C5" s="15" t="inlineStr">
        <is>
          <t xml:space="preserve">11 </t>
        </is>
      </c>
      <c r="D5" s="15" t="inlineStr">
        <is>
          <t xml:space="preserve"> 10 </t>
        </is>
      </c>
      <c r="E5" s="15" t="inlineStr">
        <is>
          <t xml:space="preserve"> 2 </t>
        </is>
      </c>
      <c r="F5" s="15" t="inlineStr">
        <is>
          <t xml:space="preserve"> 'N' </t>
        </is>
      </c>
      <c r="H5" s="17" t="inlineStr"/>
      <c r="I5" s="17" t="inlineStr"/>
      <c r="J5" s="17" t="inlineStr"/>
      <c r="K5" s="17" t="inlineStr"/>
      <c r="M5" s="17" t="inlineStr"/>
      <c r="N5" s="17" t="inlineStr"/>
      <c r="O5" s="17" t="inlineStr"/>
      <c r="P5" s="17" t="inlineStr"/>
      <c r="Q5" s="17" t="inlineStr"/>
      <c r="S5" s="18">
        <f>EXACT(TRIM(C5),H5&amp;"")</f>
        <v/>
      </c>
      <c r="T5" s="18">
        <f>EXACT(TRIM(D5),I5&amp;"")</f>
        <v/>
      </c>
      <c r="U5" s="18">
        <f>EXACT(TRIM(E5),J5&amp;"")</f>
        <v/>
      </c>
      <c r="V5" s="18">
        <f>EXACT(TRIM(F5),"'"&amp;K5&amp;"'")</f>
        <v/>
      </c>
      <c r="W5" s="18">
        <f>AND(S5:V5)</f>
        <v/>
      </c>
      <c r="X5" s="19">
        <f>TRIM(IF(S5,"",$S$3&amp;" ")&amp;IF(T5,"",$T$3&amp;" ")&amp;IF(U5,"",$U$3&amp;" ")&amp;IF(V5,"",$V$3&amp;" "))</f>
        <v/>
      </c>
      <c r="Y5" s="18">
        <f>EXACT(SUBSTITUTE(A5," ",""),SUBSTITUTE(M5&amp;N5&amp;O5&amp;P5&amp;Q5," ",""))</f>
        <v/>
      </c>
    </row>
    <row r="6">
      <c r="A6" s="15" t="inlineStr">
        <is>
          <t>INSERT INTO MNG_DEAL_LIST_DSP_TBL VALUES(11 , 10 , 3 , 'N' );</t>
        </is>
      </c>
      <c r="B6" s="16" t="n"/>
      <c r="C6" s="15" t="inlineStr">
        <is>
          <t xml:space="preserve">11 </t>
        </is>
      </c>
      <c r="D6" s="15" t="inlineStr">
        <is>
          <t xml:space="preserve"> 10 </t>
        </is>
      </c>
      <c r="E6" s="15" t="inlineStr">
        <is>
          <t xml:space="preserve"> 3 </t>
        </is>
      </c>
      <c r="F6" s="15" t="inlineStr">
        <is>
          <t xml:space="preserve"> 'N' </t>
        </is>
      </c>
      <c r="H6" s="17" t="inlineStr"/>
      <c r="I6" s="17" t="inlineStr"/>
      <c r="J6" s="17" t="inlineStr"/>
      <c r="K6" s="17" t="inlineStr"/>
      <c r="M6" s="17" t="inlineStr"/>
      <c r="N6" s="17" t="inlineStr"/>
      <c r="O6" s="17" t="inlineStr"/>
      <c r="P6" s="17" t="inlineStr"/>
      <c r="Q6" s="17" t="inlineStr"/>
      <c r="S6" s="18">
        <f>EXACT(TRIM(C6),H6&amp;"")</f>
        <v/>
      </c>
      <c r="T6" s="18">
        <f>EXACT(TRIM(D6),I6&amp;"")</f>
        <v/>
      </c>
      <c r="U6" s="18">
        <f>EXACT(TRIM(E6),J6&amp;"")</f>
        <v/>
      </c>
      <c r="V6" s="18">
        <f>EXACT(TRIM(F6),"'"&amp;K6&amp;"'")</f>
        <v/>
      </c>
      <c r="W6" s="18">
        <f>AND(S6:V6)</f>
        <v/>
      </c>
      <c r="X6" s="19">
        <f>TRIM(IF(S6,"",$S$3&amp;" ")&amp;IF(T6,"",$T$3&amp;" ")&amp;IF(U6,"",$U$3&amp;" ")&amp;IF(V6,"",$V$3&amp;" "))</f>
        <v/>
      </c>
      <c r="Y6" s="18">
        <f>EXACT(SUBSTITUTE(A6," ",""),SUBSTITUTE(M6&amp;N6&amp;O6&amp;P6&amp;Q6," ",""))</f>
        <v/>
      </c>
    </row>
    <row r="7">
      <c r="A7" s="15" t="inlineStr">
        <is>
          <t>INSERT INTO MNG_DEAL_LIST_DSP_TBL VALUES(11 , 10 , 4 , 'N' );</t>
        </is>
      </c>
      <c r="B7" s="16" t="n"/>
      <c r="C7" s="15" t="inlineStr">
        <is>
          <t xml:space="preserve">11 </t>
        </is>
      </c>
      <c r="D7" s="15" t="inlineStr">
        <is>
          <t xml:space="preserve"> 10 </t>
        </is>
      </c>
      <c r="E7" s="15" t="inlineStr">
        <is>
          <t xml:space="preserve"> 4 </t>
        </is>
      </c>
      <c r="F7" s="15" t="inlineStr">
        <is>
          <t xml:space="preserve"> 'N' </t>
        </is>
      </c>
      <c r="H7" s="17" t="inlineStr"/>
      <c r="I7" s="17" t="inlineStr"/>
      <c r="J7" s="17" t="inlineStr"/>
      <c r="K7" s="17" t="inlineStr"/>
      <c r="M7" s="17" t="inlineStr"/>
      <c r="N7" s="17" t="inlineStr"/>
      <c r="O7" s="17" t="inlineStr"/>
      <c r="P7" s="17" t="inlineStr"/>
      <c r="Q7" s="17" t="inlineStr"/>
      <c r="S7" s="18">
        <f>EXACT(TRIM(C7),H7&amp;"")</f>
        <v/>
      </c>
      <c r="T7" s="18">
        <f>EXACT(TRIM(D7),I7&amp;"")</f>
        <v/>
      </c>
      <c r="U7" s="18">
        <f>EXACT(TRIM(E7),J7&amp;"")</f>
        <v/>
      </c>
      <c r="V7" s="18">
        <f>EXACT(TRIM(F7),"'"&amp;K7&amp;"'")</f>
        <v/>
      </c>
      <c r="W7" s="18">
        <f>AND(S7:V7)</f>
        <v/>
      </c>
      <c r="X7" s="19">
        <f>TRIM(IF(S7,"",$S$3&amp;" ")&amp;IF(T7,"",$T$3&amp;" ")&amp;IF(U7,"",$U$3&amp;" ")&amp;IF(V7,"",$V$3&amp;" "))</f>
        <v/>
      </c>
      <c r="Y7" s="18">
        <f>EXACT(SUBSTITUTE(A7," ",""),SUBSTITUTE(M7&amp;N7&amp;O7&amp;P7&amp;Q7," ",""))</f>
        <v/>
      </c>
    </row>
    <row r="8">
      <c r="A8" s="15" t="inlineStr">
        <is>
          <t>INSERT INTO MNG_DEAL_LIST_DSP_TBL VALUES(11 , 10 , 5 , 'N' );</t>
        </is>
      </c>
      <c r="B8" s="16" t="n"/>
      <c r="C8" s="15" t="inlineStr">
        <is>
          <t xml:space="preserve">11 </t>
        </is>
      </c>
      <c r="D8" s="15" t="inlineStr">
        <is>
          <t xml:space="preserve"> 10 </t>
        </is>
      </c>
      <c r="E8" s="15" t="inlineStr">
        <is>
          <t xml:space="preserve"> 5 </t>
        </is>
      </c>
      <c r="F8" s="15" t="inlineStr">
        <is>
          <t xml:space="preserve"> 'N' </t>
        </is>
      </c>
      <c r="H8" s="17" t="inlineStr"/>
      <c r="I8" s="17" t="inlineStr"/>
      <c r="J8" s="17" t="inlineStr"/>
      <c r="K8" s="17" t="inlineStr"/>
      <c r="M8" s="17" t="inlineStr"/>
      <c r="N8" s="17" t="inlineStr"/>
      <c r="O8" s="17" t="inlineStr"/>
      <c r="P8" s="17" t="inlineStr"/>
      <c r="Q8" s="17" t="inlineStr"/>
      <c r="S8" s="18">
        <f>EXACT(TRIM(C8),H8&amp;"")</f>
        <v/>
      </c>
      <c r="T8" s="18">
        <f>EXACT(TRIM(D8),I8&amp;"")</f>
        <v/>
      </c>
      <c r="U8" s="18">
        <f>EXACT(TRIM(E8),J8&amp;"")</f>
        <v/>
      </c>
      <c r="V8" s="18">
        <f>EXACT(TRIM(F8),"'"&amp;K8&amp;"'")</f>
        <v/>
      </c>
      <c r="W8" s="18">
        <f>AND(S8:V8)</f>
        <v/>
      </c>
      <c r="X8" s="19">
        <f>TRIM(IF(S8,"",$S$3&amp;" ")&amp;IF(T8,"",$T$3&amp;" ")&amp;IF(U8,"",$U$3&amp;" ")&amp;IF(V8,"",$V$3&amp;" "))</f>
        <v/>
      </c>
      <c r="Y8" s="18">
        <f>EXACT(SUBSTITUTE(A8," ",""),SUBSTITUTE(M8&amp;N8&amp;O8&amp;P8&amp;Q8," ",""))</f>
        <v/>
      </c>
    </row>
    <row r="9">
      <c r="A9" s="15" t="inlineStr">
        <is>
          <t>INSERT INTO MNG_DEAL_LIST_DSP_TBL VALUES(11 , 10 , 6 , 'N' );</t>
        </is>
      </c>
      <c r="B9" s="16" t="n"/>
      <c r="C9" s="15" t="inlineStr">
        <is>
          <t xml:space="preserve">11 </t>
        </is>
      </c>
      <c r="D9" s="15" t="inlineStr">
        <is>
          <t xml:space="preserve"> 10 </t>
        </is>
      </c>
      <c r="E9" s="15" t="inlineStr">
        <is>
          <t xml:space="preserve"> 6 </t>
        </is>
      </c>
      <c r="F9" s="15" t="inlineStr">
        <is>
          <t xml:space="preserve"> 'N' </t>
        </is>
      </c>
      <c r="H9" s="17" t="inlineStr"/>
      <c r="I9" s="17" t="inlineStr"/>
      <c r="J9" s="17" t="inlineStr"/>
      <c r="K9" s="17" t="inlineStr"/>
      <c r="M9" s="17" t="inlineStr"/>
      <c r="N9" s="17" t="inlineStr"/>
      <c r="O9" s="17" t="inlineStr"/>
      <c r="P9" s="17" t="inlineStr"/>
      <c r="Q9" s="17" t="inlineStr"/>
      <c r="S9" s="18">
        <f>EXACT(TRIM(C9),H9&amp;"")</f>
        <v/>
      </c>
      <c r="T9" s="18">
        <f>EXACT(TRIM(D9),I9&amp;"")</f>
        <v/>
      </c>
      <c r="U9" s="18">
        <f>EXACT(TRIM(E9),J9&amp;"")</f>
        <v/>
      </c>
      <c r="V9" s="18">
        <f>EXACT(TRIM(F9),"'"&amp;K9&amp;"'")</f>
        <v/>
      </c>
      <c r="W9" s="18">
        <f>AND(S9:V9)</f>
        <v/>
      </c>
      <c r="X9" s="19">
        <f>TRIM(IF(S9,"",$S$3&amp;" ")&amp;IF(T9,"",$T$3&amp;" ")&amp;IF(U9,"",$U$3&amp;" ")&amp;IF(V9,"",$V$3&amp;" "))</f>
        <v/>
      </c>
      <c r="Y9" s="18">
        <f>EXACT(SUBSTITUTE(A9," ",""),SUBSTITUTE(M9&amp;N9&amp;O9&amp;P9&amp;Q9," ",""))</f>
        <v/>
      </c>
    </row>
    <row r="10">
      <c r="A10" s="15" t="inlineStr">
        <is>
          <t>INSERT INTO MNG_DEAL_LIST_DSP_TBL VALUES(11 , 10 , 7 , 'N' );</t>
        </is>
      </c>
      <c r="B10" s="16" t="n"/>
      <c r="C10" s="15" t="inlineStr">
        <is>
          <t xml:space="preserve">11 </t>
        </is>
      </c>
      <c r="D10" s="15" t="inlineStr">
        <is>
          <t xml:space="preserve"> 10 </t>
        </is>
      </c>
      <c r="E10" s="15" t="inlineStr">
        <is>
          <t xml:space="preserve"> 7 </t>
        </is>
      </c>
      <c r="F10" s="15" t="inlineStr">
        <is>
          <t xml:space="preserve"> 'N' </t>
        </is>
      </c>
      <c r="H10" s="17" t="inlineStr"/>
      <c r="I10" s="17" t="inlineStr"/>
      <c r="J10" s="17" t="inlineStr"/>
      <c r="K10" s="17" t="inlineStr"/>
      <c r="M10" s="17" t="inlineStr"/>
      <c r="N10" s="17" t="inlineStr"/>
      <c r="O10" s="17" t="inlineStr"/>
      <c r="P10" s="17" t="inlineStr"/>
      <c r="Q10" s="17" t="inlineStr"/>
      <c r="S10" s="18">
        <f>EXACT(TRIM(C10),H10&amp;"")</f>
        <v/>
      </c>
      <c r="T10" s="18">
        <f>EXACT(TRIM(D10),I10&amp;"")</f>
        <v/>
      </c>
      <c r="U10" s="18">
        <f>EXACT(TRIM(E10),J10&amp;"")</f>
        <v/>
      </c>
      <c r="V10" s="18">
        <f>EXACT(TRIM(F10),"'"&amp;K10&amp;"'")</f>
        <v/>
      </c>
      <c r="W10" s="18">
        <f>AND(S10:V10)</f>
        <v/>
      </c>
      <c r="X10" s="19">
        <f>TRIM(IF(S10,"",$S$3&amp;" ")&amp;IF(T10,"",$T$3&amp;" ")&amp;IF(U10,"",$U$3&amp;" ")&amp;IF(V10,"",$V$3&amp;" "))</f>
        <v/>
      </c>
      <c r="Y10" s="18">
        <f>EXACT(SUBSTITUTE(A10," ",""),SUBSTITUTE(M10&amp;N10&amp;O10&amp;P10&amp;Q10," ",""))</f>
        <v/>
      </c>
    </row>
    <row r="11">
      <c r="A11" s="15" t="inlineStr">
        <is>
          <t>INSERT INTO MNG_DEAL_LIST_DSP_TBL VALUES(11 , 10 , 8 , 'N' );</t>
        </is>
      </c>
      <c r="B11" s="16" t="n"/>
      <c r="C11" s="15" t="inlineStr">
        <is>
          <t xml:space="preserve">11 </t>
        </is>
      </c>
      <c r="D11" s="15" t="inlineStr">
        <is>
          <t xml:space="preserve"> 10 </t>
        </is>
      </c>
      <c r="E11" s="15" t="inlineStr">
        <is>
          <t xml:space="preserve"> 8 </t>
        </is>
      </c>
      <c r="F11" s="15" t="inlineStr">
        <is>
          <t xml:space="preserve"> 'N' </t>
        </is>
      </c>
      <c r="H11" s="17" t="inlineStr"/>
      <c r="I11" s="17" t="inlineStr"/>
      <c r="J11" s="17" t="inlineStr"/>
      <c r="K11" s="17" t="inlineStr"/>
      <c r="M11" s="17" t="inlineStr"/>
      <c r="N11" s="17" t="inlineStr"/>
      <c r="O11" s="17" t="inlineStr"/>
      <c r="P11" s="17" t="inlineStr"/>
      <c r="Q11" s="17" t="inlineStr"/>
      <c r="S11" s="18">
        <f>EXACT(TRIM(C11),H11&amp;"")</f>
        <v/>
      </c>
      <c r="T11" s="18">
        <f>EXACT(TRIM(D11),I11&amp;"")</f>
        <v/>
      </c>
      <c r="U11" s="18">
        <f>EXACT(TRIM(E11),J11&amp;"")</f>
        <v/>
      </c>
      <c r="V11" s="18">
        <f>EXACT(TRIM(F11),"'"&amp;K11&amp;"'")</f>
        <v/>
      </c>
      <c r="W11" s="18">
        <f>AND(S11:V11)</f>
        <v/>
      </c>
      <c r="X11" s="19">
        <f>TRIM(IF(S11,"",$S$3&amp;" ")&amp;IF(T11,"",$T$3&amp;" ")&amp;IF(U11,"",$U$3&amp;" ")&amp;IF(V11,"",$V$3&amp;" "))</f>
        <v/>
      </c>
      <c r="Y11" s="18">
        <f>EXACT(SUBSTITUTE(A11," ",""),SUBSTITUTE(M11&amp;N11&amp;O11&amp;P11&amp;Q11," ",""))</f>
        <v/>
      </c>
    </row>
    <row r="12">
      <c r="A12" s="15" t="inlineStr">
        <is>
          <t>INSERT INTO MNG_DEAL_LIST_DSP_TBL VALUES(11 , 10 , 9 , 'N' );</t>
        </is>
      </c>
      <c r="B12" s="16" t="n"/>
      <c r="C12" s="15" t="inlineStr">
        <is>
          <t xml:space="preserve">11 </t>
        </is>
      </c>
      <c r="D12" s="15" t="inlineStr">
        <is>
          <t xml:space="preserve"> 10 </t>
        </is>
      </c>
      <c r="E12" s="15" t="inlineStr">
        <is>
          <t xml:space="preserve"> 9 </t>
        </is>
      </c>
      <c r="F12" s="15" t="inlineStr">
        <is>
          <t xml:space="preserve"> 'N' </t>
        </is>
      </c>
      <c r="H12" s="17" t="inlineStr"/>
      <c r="I12" s="17" t="inlineStr"/>
      <c r="J12" s="17" t="inlineStr"/>
      <c r="K12" s="17" t="inlineStr"/>
      <c r="M12" s="17" t="inlineStr"/>
      <c r="N12" s="17" t="inlineStr"/>
      <c r="O12" s="17" t="inlineStr"/>
      <c r="P12" s="17" t="inlineStr"/>
      <c r="Q12" s="17" t="inlineStr"/>
      <c r="S12" s="18">
        <f>EXACT(TRIM(C12),H12&amp;"")</f>
        <v/>
      </c>
      <c r="T12" s="18">
        <f>EXACT(TRIM(D12),I12&amp;"")</f>
        <v/>
      </c>
      <c r="U12" s="18">
        <f>EXACT(TRIM(E12),J12&amp;"")</f>
        <v/>
      </c>
      <c r="V12" s="18">
        <f>EXACT(TRIM(F12),"'"&amp;K12&amp;"'")</f>
        <v/>
      </c>
      <c r="W12" s="18">
        <f>AND(S12:V12)</f>
        <v/>
      </c>
      <c r="X12" s="19">
        <f>TRIM(IF(S12,"",$S$3&amp;" ")&amp;IF(T12,"",$T$3&amp;" ")&amp;IF(U12,"",$U$3&amp;" ")&amp;IF(V12,"",$V$3&amp;" "))</f>
        <v/>
      </c>
      <c r="Y12" s="18">
        <f>EXACT(SUBSTITUTE(A12," ",""),SUBSTITUTE(M12&amp;N12&amp;O12&amp;P12&amp;Q12," ",""))</f>
        <v/>
      </c>
    </row>
    <row r="13">
      <c r="A13" s="15" t="inlineStr">
        <is>
          <t>INSERT INTO MNG_DEAL_LIST_DSP_TBL VALUES(11 , 10 , 10 , 'N' );</t>
        </is>
      </c>
      <c r="B13" s="16" t="n"/>
      <c r="C13" s="15" t="inlineStr">
        <is>
          <t xml:space="preserve">11 </t>
        </is>
      </c>
      <c r="D13" s="15" t="inlineStr">
        <is>
          <t xml:space="preserve"> 10 </t>
        </is>
      </c>
      <c r="E13" s="15" t="inlineStr">
        <is>
          <t xml:space="preserve"> 10 </t>
        </is>
      </c>
      <c r="F13" s="15" t="inlineStr">
        <is>
          <t xml:space="preserve"> 'N' </t>
        </is>
      </c>
      <c r="H13" s="17" t="inlineStr"/>
      <c r="I13" s="17" t="inlineStr"/>
      <c r="J13" s="17" t="inlineStr"/>
      <c r="K13" s="17" t="inlineStr"/>
      <c r="M13" s="17" t="inlineStr"/>
      <c r="N13" s="17" t="inlineStr"/>
      <c r="O13" s="17" t="inlineStr"/>
      <c r="P13" s="17" t="inlineStr"/>
      <c r="Q13" s="17" t="inlineStr"/>
      <c r="S13" s="18">
        <f>EXACT(TRIM(C13),H13&amp;"")</f>
        <v/>
      </c>
      <c r="T13" s="18">
        <f>EXACT(TRIM(D13),I13&amp;"")</f>
        <v/>
      </c>
      <c r="U13" s="18">
        <f>EXACT(TRIM(E13),J13&amp;"")</f>
        <v/>
      </c>
      <c r="V13" s="18">
        <f>EXACT(TRIM(F13),"'"&amp;K13&amp;"'")</f>
        <v/>
      </c>
      <c r="W13" s="18">
        <f>AND(S13:V13)</f>
        <v/>
      </c>
      <c r="X13" s="19">
        <f>TRIM(IF(S13,"",$S$3&amp;" ")&amp;IF(T13,"",$T$3&amp;" ")&amp;IF(U13,"",$U$3&amp;" ")&amp;IF(V13,"",$V$3&amp;" "))</f>
        <v/>
      </c>
      <c r="Y13" s="18">
        <f>EXACT(SUBSTITUTE(A13," ",""),SUBSTITUTE(M13&amp;N13&amp;O13&amp;P13&amp;Q13," ",""))</f>
        <v/>
      </c>
    </row>
    <row r="14">
      <c r="A14" s="15" t="inlineStr">
        <is>
          <t>INSERT INTO MNG_DEAL_LIST_DSP_TBL VALUES(11 , 10 , 11 , 'N' );</t>
        </is>
      </c>
      <c r="B14" s="16" t="n"/>
      <c r="C14" s="15" t="inlineStr">
        <is>
          <t xml:space="preserve">11 </t>
        </is>
      </c>
      <c r="D14" s="15" t="inlineStr">
        <is>
          <t xml:space="preserve"> 10 </t>
        </is>
      </c>
      <c r="E14" s="15" t="inlineStr">
        <is>
          <t xml:space="preserve"> 11 </t>
        </is>
      </c>
      <c r="F14" s="15" t="inlineStr">
        <is>
          <t xml:space="preserve"> 'N' </t>
        </is>
      </c>
      <c r="H14" s="17" t="inlineStr"/>
      <c r="I14" s="17" t="inlineStr"/>
      <c r="J14" s="17" t="inlineStr"/>
      <c r="K14" s="17" t="inlineStr"/>
      <c r="M14" s="17" t="inlineStr"/>
      <c r="N14" s="17" t="inlineStr"/>
      <c r="O14" s="17" t="inlineStr"/>
      <c r="P14" s="17" t="inlineStr"/>
      <c r="Q14" s="17" t="inlineStr"/>
      <c r="S14" s="18">
        <f>EXACT(TRIM(C14),H14&amp;"")</f>
        <v/>
      </c>
      <c r="T14" s="18">
        <f>EXACT(TRIM(D14),I14&amp;"")</f>
        <v/>
      </c>
      <c r="U14" s="18">
        <f>EXACT(TRIM(E14),J14&amp;"")</f>
        <v/>
      </c>
      <c r="V14" s="18">
        <f>EXACT(TRIM(F14),"'"&amp;K14&amp;"'")</f>
        <v/>
      </c>
      <c r="W14" s="18">
        <f>AND(S14:V14)</f>
        <v/>
      </c>
      <c r="X14" s="19">
        <f>TRIM(IF(S14,"",$S$3&amp;" ")&amp;IF(T14,"",$T$3&amp;" ")&amp;IF(U14,"",$U$3&amp;" ")&amp;IF(V14,"",$V$3&amp;" "))</f>
        <v/>
      </c>
      <c r="Y14" s="18">
        <f>EXACT(SUBSTITUTE(A14," ",""),SUBSTITUTE(M14&amp;N14&amp;O14&amp;P14&amp;Q14," ",""))</f>
        <v/>
      </c>
    </row>
    <row r="15">
      <c r="A15" s="15" t="inlineStr">
        <is>
          <t>INSERT INTO MNG_DEAL_LIST_DSP_TBL VALUES(11 , 10 , 12 , 'N' );</t>
        </is>
      </c>
      <c r="B15" s="16" t="n"/>
      <c r="C15" s="15" t="inlineStr">
        <is>
          <t xml:space="preserve">11 </t>
        </is>
      </c>
      <c r="D15" s="15" t="inlineStr">
        <is>
          <t xml:space="preserve"> 10 </t>
        </is>
      </c>
      <c r="E15" s="15" t="inlineStr">
        <is>
          <t xml:space="preserve"> 12 </t>
        </is>
      </c>
      <c r="F15" s="15" t="inlineStr">
        <is>
          <t xml:space="preserve"> 'N' </t>
        </is>
      </c>
      <c r="H15" s="17" t="inlineStr"/>
      <c r="I15" s="17" t="inlineStr"/>
      <c r="J15" s="17" t="inlineStr"/>
      <c r="K15" s="17" t="inlineStr"/>
      <c r="M15" s="17" t="inlineStr"/>
      <c r="N15" s="17" t="inlineStr"/>
      <c r="O15" s="17" t="inlineStr"/>
      <c r="P15" s="17" t="inlineStr"/>
      <c r="Q15" s="17" t="inlineStr"/>
      <c r="S15" s="18">
        <f>EXACT(TRIM(C15),H15&amp;"")</f>
        <v/>
      </c>
      <c r="T15" s="18">
        <f>EXACT(TRIM(D15),I15&amp;"")</f>
        <v/>
      </c>
      <c r="U15" s="18">
        <f>EXACT(TRIM(E15),J15&amp;"")</f>
        <v/>
      </c>
      <c r="V15" s="18">
        <f>EXACT(TRIM(F15),"'"&amp;K15&amp;"'")</f>
        <v/>
      </c>
      <c r="W15" s="18">
        <f>AND(S15:V15)</f>
        <v/>
      </c>
      <c r="X15" s="19">
        <f>TRIM(IF(S15,"",$S$3&amp;" ")&amp;IF(T15,"",$T$3&amp;" ")&amp;IF(U15,"",$U$3&amp;" ")&amp;IF(V15,"",$V$3&amp;" "))</f>
        <v/>
      </c>
      <c r="Y15" s="18">
        <f>EXACT(SUBSTITUTE(A15," ",""),SUBSTITUTE(M15&amp;N15&amp;O15&amp;P15&amp;Q15," ",""))</f>
        <v/>
      </c>
    </row>
    <row r="16">
      <c r="A16" s="15" t="inlineStr">
        <is>
          <t>INSERT INTO MNG_DEAL_LIST_DSP_TBL VALUES(11 , 10 , 13 , 'N' );</t>
        </is>
      </c>
      <c r="B16" s="16" t="n"/>
      <c r="C16" s="15" t="inlineStr">
        <is>
          <t xml:space="preserve">11 </t>
        </is>
      </c>
      <c r="D16" s="15" t="inlineStr">
        <is>
          <t xml:space="preserve"> 10 </t>
        </is>
      </c>
      <c r="E16" s="15" t="inlineStr">
        <is>
          <t xml:space="preserve"> 13 </t>
        </is>
      </c>
      <c r="F16" s="15" t="inlineStr">
        <is>
          <t xml:space="preserve"> 'N' </t>
        </is>
      </c>
      <c r="H16" s="17" t="inlineStr"/>
      <c r="I16" s="17" t="inlineStr"/>
      <c r="J16" s="17" t="inlineStr"/>
      <c r="K16" s="17" t="inlineStr"/>
      <c r="M16" s="17" t="inlineStr"/>
      <c r="N16" s="17" t="inlineStr"/>
      <c r="O16" s="17" t="inlineStr"/>
      <c r="P16" s="17" t="inlineStr"/>
      <c r="Q16" s="17" t="inlineStr"/>
      <c r="S16" s="18">
        <f>EXACT(TRIM(C16),H16&amp;"")</f>
        <v/>
      </c>
      <c r="T16" s="18">
        <f>EXACT(TRIM(D16),I16&amp;"")</f>
        <v/>
      </c>
      <c r="U16" s="18">
        <f>EXACT(TRIM(E16),J16&amp;"")</f>
        <v/>
      </c>
      <c r="V16" s="18">
        <f>EXACT(TRIM(F16),"'"&amp;K16&amp;"'")</f>
        <v/>
      </c>
      <c r="W16" s="18">
        <f>AND(S16:V16)</f>
        <v/>
      </c>
      <c r="X16" s="19">
        <f>TRIM(IF(S16,"",$S$3&amp;" ")&amp;IF(T16,"",$T$3&amp;" ")&amp;IF(U16,"",$U$3&amp;" ")&amp;IF(V16,"",$V$3&amp;" "))</f>
        <v/>
      </c>
      <c r="Y16" s="18">
        <f>EXACT(SUBSTITUTE(A16," ",""),SUBSTITUTE(M16&amp;N16&amp;O16&amp;P16&amp;Q16," ",""))</f>
        <v/>
      </c>
    </row>
    <row r="17">
      <c r="A17" s="15" t="inlineStr">
        <is>
          <t>INSERT INTO MNG_DEAL_LIST_DSP_TBL VALUES(11 , 10 , 14 , 'N' );</t>
        </is>
      </c>
      <c r="B17" s="16" t="n"/>
      <c r="C17" s="15" t="inlineStr">
        <is>
          <t xml:space="preserve">11 </t>
        </is>
      </c>
      <c r="D17" s="15" t="inlineStr">
        <is>
          <t xml:space="preserve"> 10 </t>
        </is>
      </c>
      <c r="E17" s="15" t="inlineStr">
        <is>
          <t xml:space="preserve"> 14 </t>
        </is>
      </c>
      <c r="F17" s="15" t="inlineStr">
        <is>
          <t xml:space="preserve"> 'N' </t>
        </is>
      </c>
      <c r="H17" s="17" t="inlineStr"/>
      <c r="I17" s="17" t="inlineStr"/>
      <c r="J17" s="17" t="inlineStr"/>
      <c r="K17" s="17" t="inlineStr"/>
      <c r="M17" s="17" t="inlineStr"/>
      <c r="N17" s="17" t="inlineStr"/>
      <c r="O17" s="17" t="inlineStr"/>
      <c r="P17" s="17" t="inlineStr"/>
      <c r="Q17" s="17" t="inlineStr"/>
      <c r="S17" s="18">
        <f>EXACT(TRIM(C17),H17&amp;"")</f>
        <v/>
      </c>
      <c r="T17" s="18">
        <f>EXACT(TRIM(D17),I17&amp;"")</f>
        <v/>
      </c>
      <c r="U17" s="18">
        <f>EXACT(TRIM(E17),J17&amp;"")</f>
        <v/>
      </c>
      <c r="V17" s="18">
        <f>EXACT(TRIM(F17),"'"&amp;K17&amp;"'")</f>
        <v/>
      </c>
      <c r="W17" s="18">
        <f>AND(S17:V17)</f>
        <v/>
      </c>
      <c r="X17" s="19">
        <f>TRIM(IF(S17,"",$S$3&amp;" ")&amp;IF(T17,"",$T$3&amp;" ")&amp;IF(U17,"",$U$3&amp;" ")&amp;IF(V17,"",$V$3&amp;" "))</f>
        <v/>
      </c>
      <c r="Y17" s="18">
        <f>EXACT(SUBSTITUTE(A17," ",""),SUBSTITUTE(M17&amp;N17&amp;O17&amp;P17&amp;Q17," ",""))</f>
        <v/>
      </c>
    </row>
    <row r="18">
      <c r="A18" s="15" t="inlineStr">
        <is>
          <t>INSERT INTO MNG_DEAL_LIST_DSP_TBL VALUES(11 , 10 , 15 , 'N' );</t>
        </is>
      </c>
      <c r="B18" s="16" t="n"/>
      <c r="C18" s="15" t="inlineStr">
        <is>
          <t xml:space="preserve">11 </t>
        </is>
      </c>
      <c r="D18" s="15" t="inlineStr">
        <is>
          <t xml:space="preserve"> 10 </t>
        </is>
      </c>
      <c r="E18" s="15" t="inlineStr">
        <is>
          <t xml:space="preserve"> 15 </t>
        </is>
      </c>
      <c r="F18" s="15" t="inlineStr">
        <is>
          <t xml:space="preserve"> 'N' </t>
        </is>
      </c>
      <c r="H18" s="17" t="inlineStr"/>
      <c r="I18" s="17" t="inlineStr"/>
      <c r="J18" s="17" t="inlineStr"/>
      <c r="K18" s="17" t="inlineStr"/>
      <c r="M18" s="17" t="inlineStr"/>
      <c r="N18" s="17" t="inlineStr"/>
      <c r="O18" s="17" t="inlineStr"/>
      <c r="P18" s="17" t="inlineStr"/>
      <c r="Q18" s="17" t="inlineStr"/>
      <c r="S18" s="18">
        <f>EXACT(TRIM(C18),H18&amp;"")</f>
        <v/>
      </c>
      <c r="T18" s="18">
        <f>EXACT(TRIM(D18),I18&amp;"")</f>
        <v/>
      </c>
      <c r="U18" s="18">
        <f>EXACT(TRIM(E18),J18&amp;"")</f>
        <v/>
      </c>
      <c r="V18" s="18">
        <f>EXACT(TRIM(F18),"'"&amp;K18&amp;"'")</f>
        <v/>
      </c>
      <c r="W18" s="18">
        <f>AND(S18:V18)</f>
        <v/>
      </c>
      <c r="X18" s="19">
        <f>TRIM(IF(S18,"",$S$3&amp;" ")&amp;IF(T18,"",$T$3&amp;" ")&amp;IF(U18,"",$U$3&amp;" ")&amp;IF(V18,"",$V$3&amp;" "))</f>
        <v/>
      </c>
      <c r="Y18" s="18">
        <f>EXACT(SUBSTITUTE(A18," ",""),SUBSTITUTE(M18&amp;N18&amp;O18&amp;P18&amp;Q18," ",""))</f>
        <v/>
      </c>
    </row>
    <row r="19">
      <c r="A19" s="15" t="inlineStr">
        <is>
          <t>INSERT INTO MNG_DEAL_LIST_DSP_TBL VALUES(11 , 10 , 16 , 'N' );</t>
        </is>
      </c>
      <c r="B19" s="16" t="n"/>
      <c r="C19" s="15" t="inlineStr">
        <is>
          <t xml:space="preserve">11 </t>
        </is>
      </c>
      <c r="D19" s="15" t="inlineStr">
        <is>
          <t xml:space="preserve"> 10 </t>
        </is>
      </c>
      <c r="E19" s="15" t="inlineStr">
        <is>
          <t xml:space="preserve"> 16 </t>
        </is>
      </c>
      <c r="F19" s="15" t="inlineStr">
        <is>
          <t xml:space="preserve"> 'N' </t>
        </is>
      </c>
      <c r="H19" s="17" t="inlineStr"/>
      <c r="I19" s="17" t="inlineStr"/>
      <c r="J19" s="17" t="inlineStr"/>
      <c r="K19" s="17" t="inlineStr"/>
      <c r="M19" s="17" t="inlineStr"/>
      <c r="N19" s="17" t="inlineStr"/>
      <c r="O19" s="17" t="inlineStr"/>
      <c r="P19" s="17" t="inlineStr"/>
      <c r="Q19" s="17" t="inlineStr"/>
      <c r="S19" s="18">
        <f>EXACT(TRIM(C19),H19&amp;"")</f>
        <v/>
      </c>
      <c r="T19" s="18">
        <f>EXACT(TRIM(D19),I19&amp;"")</f>
        <v/>
      </c>
      <c r="U19" s="18">
        <f>EXACT(TRIM(E19),J19&amp;"")</f>
        <v/>
      </c>
      <c r="V19" s="18">
        <f>EXACT(TRIM(F19),"'"&amp;K19&amp;"'")</f>
        <v/>
      </c>
      <c r="W19" s="18">
        <f>AND(S19:V19)</f>
        <v/>
      </c>
      <c r="X19" s="19">
        <f>TRIM(IF(S19,"",$S$3&amp;" ")&amp;IF(T19,"",$T$3&amp;" ")&amp;IF(U19,"",$U$3&amp;" ")&amp;IF(V19,"",$V$3&amp;" "))</f>
        <v/>
      </c>
      <c r="Y19" s="18">
        <f>EXACT(SUBSTITUTE(A19," ",""),SUBSTITUTE(M19&amp;N19&amp;O19&amp;P19&amp;Q19," ",""))</f>
        <v/>
      </c>
    </row>
    <row r="20">
      <c r="A20" s="15" t="inlineStr">
        <is>
          <t>INSERT INTO MNG_DEAL_LIST_DSP_TBL VALUES(11 , 11 , 1 , 'N' );</t>
        </is>
      </c>
      <c r="B20" s="16" t="n"/>
      <c r="C20" s="15" t="inlineStr">
        <is>
          <t xml:space="preserve">11 </t>
        </is>
      </c>
      <c r="D20" s="15" t="inlineStr">
        <is>
          <t xml:space="preserve"> 11 </t>
        </is>
      </c>
      <c r="E20" s="15" t="inlineStr">
        <is>
          <t xml:space="preserve"> 1 </t>
        </is>
      </c>
      <c r="F20" s="15" t="inlineStr">
        <is>
          <t xml:space="preserve"> 'N' </t>
        </is>
      </c>
      <c r="H20" s="17" t="inlineStr"/>
      <c r="I20" s="17" t="inlineStr"/>
      <c r="J20" s="17" t="inlineStr"/>
      <c r="K20" s="17" t="inlineStr"/>
      <c r="M20" s="17" t="inlineStr"/>
      <c r="N20" s="17" t="inlineStr"/>
      <c r="O20" s="17" t="inlineStr"/>
      <c r="P20" s="17" t="inlineStr"/>
      <c r="Q20" s="17" t="inlineStr"/>
      <c r="S20" s="18">
        <f>EXACT(TRIM(C20),H20&amp;"")</f>
        <v/>
      </c>
      <c r="T20" s="18">
        <f>EXACT(TRIM(D20),I20&amp;"")</f>
        <v/>
      </c>
      <c r="U20" s="18">
        <f>EXACT(TRIM(E20),J20&amp;"")</f>
        <v/>
      </c>
      <c r="V20" s="18">
        <f>EXACT(TRIM(F20),"'"&amp;K20&amp;"'")</f>
        <v/>
      </c>
      <c r="W20" s="18">
        <f>AND(S20:V20)</f>
        <v/>
      </c>
      <c r="X20" s="19">
        <f>TRIM(IF(S20,"",$S$3&amp;" ")&amp;IF(T20,"",$T$3&amp;" ")&amp;IF(U20,"",$U$3&amp;" ")&amp;IF(V20,"",$V$3&amp;" "))</f>
        <v/>
      </c>
      <c r="Y20" s="18">
        <f>EXACT(SUBSTITUTE(A20," ",""),SUBSTITUTE(M20&amp;N20&amp;O20&amp;P20&amp;Q20," ",""))</f>
        <v/>
      </c>
    </row>
    <row r="21">
      <c r="A21" s="15" t="inlineStr">
        <is>
          <t>INSERT INTO MNG_DEAL_LIST_DSP_TBL VALUES(11 , 11 , 2 , 'N' );</t>
        </is>
      </c>
      <c r="B21" s="16" t="n"/>
      <c r="C21" s="15" t="inlineStr">
        <is>
          <t xml:space="preserve">11 </t>
        </is>
      </c>
      <c r="D21" s="15" t="inlineStr">
        <is>
          <t xml:space="preserve"> 11 </t>
        </is>
      </c>
      <c r="E21" s="15" t="inlineStr">
        <is>
          <t xml:space="preserve"> 2 </t>
        </is>
      </c>
      <c r="F21" s="15" t="inlineStr">
        <is>
          <t xml:space="preserve"> 'N' </t>
        </is>
      </c>
      <c r="H21" s="17" t="inlineStr"/>
      <c r="I21" s="17" t="inlineStr"/>
      <c r="J21" s="17" t="inlineStr"/>
      <c r="K21" s="17" t="inlineStr"/>
      <c r="M21" s="17" t="inlineStr"/>
      <c r="N21" s="17" t="inlineStr"/>
      <c r="O21" s="17" t="inlineStr"/>
      <c r="P21" s="17" t="inlineStr"/>
      <c r="Q21" s="17" t="inlineStr"/>
      <c r="S21" s="18">
        <f>EXACT(TRIM(C21),H21&amp;"")</f>
        <v/>
      </c>
      <c r="T21" s="18">
        <f>EXACT(TRIM(D21),I21&amp;"")</f>
        <v/>
      </c>
      <c r="U21" s="18">
        <f>EXACT(TRIM(E21),J21&amp;"")</f>
        <v/>
      </c>
      <c r="V21" s="18">
        <f>EXACT(TRIM(F21),"'"&amp;K21&amp;"'")</f>
        <v/>
      </c>
      <c r="W21" s="18">
        <f>AND(S21:V21)</f>
        <v/>
      </c>
      <c r="X21" s="19">
        <f>TRIM(IF(S21,"",$S$3&amp;" ")&amp;IF(T21,"",$T$3&amp;" ")&amp;IF(U21,"",$U$3&amp;" ")&amp;IF(V21,"",$V$3&amp;" "))</f>
        <v/>
      </c>
      <c r="Y21" s="18">
        <f>EXACT(SUBSTITUTE(A21," ",""),SUBSTITUTE(M21&amp;N21&amp;O21&amp;P21&amp;Q21," ",""))</f>
        <v/>
      </c>
    </row>
    <row r="22">
      <c r="A22" s="15" t="inlineStr">
        <is>
          <t>INSERT INTO MNG_DEAL_LIST_DSP_TBL VALUES(11 , 11 , 3 , 'N' );</t>
        </is>
      </c>
      <c r="B22" s="16" t="n"/>
      <c r="C22" s="15" t="inlineStr">
        <is>
          <t xml:space="preserve">11 </t>
        </is>
      </c>
      <c r="D22" s="15" t="inlineStr">
        <is>
          <t xml:space="preserve"> 11 </t>
        </is>
      </c>
      <c r="E22" s="15" t="inlineStr">
        <is>
          <t xml:space="preserve"> 3 </t>
        </is>
      </c>
      <c r="F22" s="15" t="inlineStr">
        <is>
          <t xml:space="preserve"> 'N' </t>
        </is>
      </c>
      <c r="H22" s="17" t="inlineStr"/>
      <c r="I22" s="17" t="inlineStr"/>
      <c r="J22" s="17" t="inlineStr"/>
      <c r="K22" s="17" t="inlineStr"/>
      <c r="M22" s="17" t="inlineStr"/>
      <c r="N22" s="17" t="inlineStr"/>
      <c r="O22" s="17" t="inlineStr"/>
      <c r="P22" s="17" t="inlineStr"/>
      <c r="Q22" s="17" t="inlineStr"/>
      <c r="S22" s="18">
        <f>EXACT(TRIM(C22),H22&amp;"")</f>
        <v/>
      </c>
      <c r="T22" s="18">
        <f>EXACT(TRIM(D22),I22&amp;"")</f>
        <v/>
      </c>
      <c r="U22" s="18">
        <f>EXACT(TRIM(E22),J22&amp;"")</f>
        <v/>
      </c>
      <c r="V22" s="18">
        <f>EXACT(TRIM(F22),"'"&amp;K22&amp;"'")</f>
        <v/>
      </c>
      <c r="W22" s="18">
        <f>AND(S22:V22)</f>
        <v/>
      </c>
      <c r="X22" s="19">
        <f>TRIM(IF(S22,"",$S$3&amp;" ")&amp;IF(T22,"",$T$3&amp;" ")&amp;IF(U22,"",$U$3&amp;" ")&amp;IF(V22,"",$V$3&amp;" "))</f>
        <v/>
      </c>
      <c r="Y22" s="18">
        <f>EXACT(SUBSTITUTE(A22," ",""),SUBSTITUTE(M22&amp;N22&amp;O22&amp;P22&amp;Q22," ",""))</f>
        <v/>
      </c>
    </row>
    <row r="23">
      <c r="A23" s="15" t="inlineStr">
        <is>
          <t>INSERT INTO MNG_DEAL_LIST_DSP_TBL VALUES(11 , 11 , 4 , 'N' );</t>
        </is>
      </c>
      <c r="B23" s="16" t="n"/>
      <c r="C23" s="15" t="inlineStr">
        <is>
          <t xml:space="preserve">11 </t>
        </is>
      </c>
      <c r="D23" s="15" t="inlineStr">
        <is>
          <t xml:space="preserve"> 11 </t>
        </is>
      </c>
      <c r="E23" s="15" t="inlineStr">
        <is>
          <t xml:space="preserve"> 4 </t>
        </is>
      </c>
      <c r="F23" s="15" t="inlineStr">
        <is>
          <t xml:space="preserve"> 'N' </t>
        </is>
      </c>
      <c r="H23" s="17" t="inlineStr"/>
      <c r="I23" s="17" t="inlineStr"/>
      <c r="J23" s="17" t="inlineStr"/>
      <c r="K23" s="17" t="inlineStr"/>
      <c r="M23" s="17" t="inlineStr"/>
      <c r="N23" s="17" t="inlineStr"/>
      <c r="O23" s="17" t="inlineStr"/>
      <c r="P23" s="17" t="inlineStr"/>
      <c r="Q23" s="17" t="inlineStr"/>
      <c r="S23" s="18">
        <f>EXACT(TRIM(C23),H23&amp;"")</f>
        <v/>
      </c>
      <c r="T23" s="18">
        <f>EXACT(TRIM(D23),I23&amp;"")</f>
        <v/>
      </c>
      <c r="U23" s="18">
        <f>EXACT(TRIM(E23),J23&amp;"")</f>
        <v/>
      </c>
      <c r="V23" s="18">
        <f>EXACT(TRIM(F23),"'"&amp;K23&amp;"'")</f>
        <v/>
      </c>
      <c r="W23" s="18">
        <f>AND(S23:V23)</f>
        <v/>
      </c>
      <c r="X23" s="19">
        <f>TRIM(IF(S23,"",$S$3&amp;" ")&amp;IF(T23,"",$T$3&amp;" ")&amp;IF(U23,"",$U$3&amp;" ")&amp;IF(V23,"",$V$3&amp;" "))</f>
        <v/>
      </c>
      <c r="Y23" s="18">
        <f>EXACT(SUBSTITUTE(A23," ",""),SUBSTITUTE(M23&amp;N23&amp;O23&amp;P23&amp;Q23," ",""))</f>
        <v/>
      </c>
    </row>
    <row r="24">
      <c r="A24" s="15" t="inlineStr">
        <is>
          <t>INSERT INTO MNG_DEAL_LIST_DSP_TBL VALUES(11 , 11 , 5 , 'N' );</t>
        </is>
      </c>
      <c r="B24" s="16" t="n"/>
      <c r="C24" s="15" t="inlineStr">
        <is>
          <t xml:space="preserve">11 </t>
        </is>
      </c>
      <c r="D24" s="15" t="inlineStr">
        <is>
          <t xml:space="preserve"> 11 </t>
        </is>
      </c>
      <c r="E24" s="15" t="inlineStr">
        <is>
          <t xml:space="preserve"> 5 </t>
        </is>
      </c>
      <c r="F24" s="15" t="inlineStr">
        <is>
          <t xml:space="preserve"> 'N' </t>
        </is>
      </c>
      <c r="H24" s="17" t="inlineStr"/>
      <c r="I24" s="17" t="inlineStr"/>
      <c r="J24" s="17" t="inlineStr"/>
      <c r="K24" s="17" t="inlineStr"/>
      <c r="M24" s="17" t="inlineStr"/>
      <c r="N24" s="17" t="inlineStr"/>
      <c r="O24" s="17" t="inlineStr"/>
      <c r="P24" s="17" t="inlineStr"/>
      <c r="Q24" s="17" t="inlineStr"/>
      <c r="S24" s="18">
        <f>EXACT(TRIM(C24),H24&amp;"")</f>
        <v/>
      </c>
      <c r="T24" s="18">
        <f>EXACT(TRIM(D24),I24&amp;"")</f>
        <v/>
      </c>
      <c r="U24" s="18">
        <f>EXACT(TRIM(E24),J24&amp;"")</f>
        <v/>
      </c>
      <c r="V24" s="18">
        <f>EXACT(TRIM(F24),"'"&amp;K24&amp;"'")</f>
        <v/>
      </c>
      <c r="W24" s="18">
        <f>AND(S24:V24)</f>
        <v/>
      </c>
      <c r="X24" s="19">
        <f>TRIM(IF(S24,"",$S$3&amp;" ")&amp;IF(T24,"",$T$3&amp;" ")&amp;IF(U24,"",$U$3&amp;" ")&amp;IF(V24,"",$V$3&amp;" "))</f>
        <v/>
      </c>
      <c r="Y24" s="18">
        <f>EXACT(SUBSTITUTE(A24," ",""),SUBSTITUTE(M24&amp;N24&amp;O24&amp;P24&amp;Q24," ",""))</f>
        <v/>
      </c>
    </row>
    <row r="25">
      <c r="A25" s="15" t="inlineStr">
        <is>
          <t>INSERT INTO MNG_DEAL_LIST_DSP_TBL VALUES(11 , 11 , 6 , 'N' );</t>
        </is>
      </c>
      <c r="B25" s="16" t="n"/>
      <c r="C25" s="15" t="inlineStr">
        <is>
          <t xml:space="preserve">11 </t>
        </is>
      </c>
      <c r="D25" s="15" t="inlineStr">
        <is>
          <t xml:space="preserve"> 11 </t>
        </is>
      </c>
      <c r="E25" s="15" t="inlineStr">
        <is>
          <t xml:space="preserve"> 6 </t>
        </is>
      </c>
      <c r="F25" s="15" t="inlineStr">
        <is>
          <t xml:space="preserve"> 'N' </t>
        </is>
      </c>
      <c r="H25" s="17" t="inlineStr"/>
      <c r="I25" s="17" t="inlineStr"/>
      <c r="J25" s="17" t="inlineStr"/>
      <c r="K25" s="17" t="inlineStr"/>
      <c r="M25" s="17" t="inlineStr"/>
      <c r="N25" s="17" t="inlineStr"/>
      <c r="O25" s="17" t="inlineStr"/>
      <c r="P25" s="17" t="inlineStr"/>
      <c r="Q25" s="17" t="inlineStr"/>
      <c r="S25" s="18">
        <f>EXACT(TRIM(C25),H25&amp;"")</f>
        <v/>
      </c>
      <c r="T25" s="18">
        <f>EXACT(TRIM(D25),I25&amp;"")</f>
        <v/>
      </c>
      <c r="U25" s="18">
        <f>EXACT(TRIM(E25),J25&amp;"")</f>
        <v/>
      </c>
      <c r="V25" s="18">
        <f>EXACT(TRIM(F25),"'"&amp;K25&amp;"'")</f>
        <v/>
      </c>
      <c r="W25" s="18">
        <f>AND(S25:V25)</f>
        <v/>
      </c>
      <c r="X25" s="19">
        <f>TRIM(IF(S25,"",$S$3&amp;" ")&amp;IF(T25,"",$T$3&amp;" ")&amp;IF(U25,"",$U$3&amp;" ")&amp;IF(V25,"",$V$3&amp;" "))</f>
        <v/>
      </c>
      <c r="Y25" s="18">
        <f>EXACT(SUBSTITUTE(A25," ",""),SUBSTITUTE(M25&amp;N25&amp;O25&amp;P25&amp;Q25," ",""))</f>
        <v/>
      </c>
    </row>
    <row r="26">
      <c r="A26" s="15" t="inlineStr">
        <is>
          <t>INSERT INTO MNG_DEAL_LIST_DSP_TBL VALUES(11 , 11 , 7 , 'N' );</t>
        </is>
      </c>
      <c r="B26" s="16" t="n"/>
      <c r="C26" s="15" t="inlineStr">
        <is>
          <t xml:space="preserve">11 </t>
        </is>
      </c>
      <c r="D26" s="15" t="inlineStr">
        <is>
          <t xml:space="preserve"> 11 </t>
        </is>
      </c>
      <c r="E26" s="15" t="inlineStr">
        <is>
          <t xml:space="preserve"> 7 </t>
        </is>
      </c>
      <c r="F26" s="15" t="inlineStr">
        <is>
          <t xml:space="preserve"> 'N' </t>
        </is>
      </c>
      <c r="H26" s="17" t="inlineStr"/>
      <c r="I26" s="17" t="inlineStr"/>
      <c r="J26" s="17" t="inlineStr"/>
      <c r="K26" s="17" t="inlineStr"/>
      <c r="M26" s="17" t="inlineStr"/>
      <c r="N26" s="17" t="inlineStr"/>
      <c r="O26" s="17" t="inlineStr"/>
      <c r="P26" s="17" t="inlineStr"/>
      <c r="Q26" s="17" t="inlineStr"/>
      <c r="S26" s="18">
        <f>EXACT(TRIM(C26),H26&amp;"")</f>
        <v/>
      </c>
      <c r="T26" s="18">
        <f>EXACT(TRIM(D26),I26&amp;"")</f>
        <v/>
      </c>
      <c r="U26" s="18">
        <f>EXACT(TRIM(E26),J26&amp;"")</f>
        <v/>
      </c>
      <c r="V26" s="18">
        <f>EXACT(TRIM(F26),"'"&amp;K26&amp;"'")</f>
        <v/>
      </c>
      <c r="W26" s="18">
        <f>AND(S26:V26)</f>
        <v/>
      </c>
      <c r="X26" s="19">
        <f>TRIM(IF(S26,"",$S$3&amp;" ")&amp;IF(T26,"",$T$3&amp;" ")&amp;IF(U26,"",$U$3&amp;" ")&amp;IF(V26,"",$V$3&amp;" "))</f>
        <v/>
      </c>
      <c r="Y26" s="18">
        <f>EXACT(SUBSTITUTE(A26," ",""),SUBSTITUTE(M26&amp;N26&amp;O26&amp;P26&amp;Q26," ",""))</f>
        <v/>
      </c>
    </row>
    <row r="27">
      <c r="A27" s="15" t="inlineStr">
        <is>
          <t>INSERT INTO MNG_DEAL_LIST_DSP_TBL VALUES(11 , 11 , 8 , 'N' );</t>
        </is>
      </c>
      <c r="B27" s="16" t="n"/>
      <c r="C27" s="15" t="inlineStr">
        <is>
          <t xml:space="preserve">11 </t>
        </is>
      </c>
      <c r="D27" s="15" t="inlineStr">
        <is>
          <t xml:space="preserve"> 11 </t>
        </is>
      </c>
      <c r="E27" s="15" t="inlineStr">
        <is>
          <t xml:space="preserve"> 8 </t>
        </is>
      </c>
      <c r="F27" s="15" t="inlineStr">
        <is>
          <t xml:space="preserve"> 'N' </t>
        </is>
      </c>
      <c r="H27" s="17" t="inlineStr"/>
      <c r="I27" s="17" t="inlineStr"/>
      <c r="J27" s="17" t="inlineStr"/>
      <c r="K27" s="17" t="inlineStr"/>
      <c r="M27" s="17" t="inlineStr"/>
      <c r="N27" s="17" t="inlineStr"/>
      <c r="O27" s="17" t="inlineStr"/>
      <c r="P27" s="17" t="inlineStr"/>
      <c r="Q27" s="17" t="inlineStr"/>
      <c r="S27" s="18">
        <f>EXACT(TRIM(C27),H27&amp;"")</f>
        <v/>
      </c>
      <c r="T27" s="18">
        <f>EXACT(TRIM(D27),I27&amp;"")</f>
        <v/>
      </c>
      <c r="U27" s="18">
        <f>EXACT(TRIM(E27),J27&amp;"")</f>
        <v/>
      </c>
      <c r="V27" s="18">
        <f>EXACT(TRIM(F27),"'"&amp;K27&amp;"'")</f>
        <v/>
      </c>
      <c r="W27" s="18">
        <f>AND(S27:V27)</f>
        <v/>
      </c>
      <c r="X27" s="19">
        <f>TRIM(IF(S27,"",$S$3&amp;" ")&amp;IF(T27,"",$T$3&amp;" ")&amp;IF(U27,"",$U$3&amp;" ")&amp;IF(V27,"",$V$3&amp;" "))</f>
        <v/>
      </c>
      <c r="Y27" s="18">
        <f>EXACT(SUBSTITUTE(A27," ",""),SUBSTITUTE(M27&amp;N27&amp;O27&amp;P27&amp;Q27," ",""))</f>
        <v/>
      </c>
    </row>
    <row r="28">
      <c r="A28" s="15" t="inlineStr">
        <is>
          <t>INSERT INTO MNG_DEAL_LIST_DSP_TBL VALUES(11 , 11 , 9 , 'N' );</t>
        </is>
      </c>
      <c r="B28" s="16" t="n"/>
      <c r="C28" s="15" t="inlineStr">
        <is>
          <t xml:space="preserve">11 </t>
        </is>
      </c>
      <c r="D28" s="15" t="inlineStr">
        <is>
          <t xml:space="preserve"> 11 </t>
        </is>
      </c>
      <c r="E28" s="15" t="inlineStr">
        <is>
          <t xml:space="preserve"> 9 </t>
        </is>
      </c>
      <c r="F28" s="15" t="inlineStr">
        <is>
          <t xml:space="preserve"> 'N' </t>
        </is>
      </c>
      <c r="H28" s="17" t="inlineStr"/>
      <c r="I28" s="17" t="inlineStr"/>
      <c r="J28" s="17" t="inlineStr"/>
      <c r="K28" s="17" t="inlineStr"/>
      <c r="M28" s="17" t="inlineStr"/>
      <c r="N28" s="17" t="inlineStr"/>
      <c r="O28" s="17" t="inlineStr"/>
      <c r="P28" s="17" t="inlineStr"/>
      <c r="Q28" s="17" t="inlineStr"/>
      <c r="S28" s="18">
        <f>EXACT(TRIM(C28),H28&amp;"")</f>
        <v/>
      </c>
      <c r="T28" s="18">
        <f>EXACT(TRIM(D28),I28&amp;"")</f>
        <v/>
      </c>
      <c r="U28" s="18">
        <f>EXACT(TRIM(E28),J28&amp;"")</f>
        <v/>
      </c>
      <c r="V28" s="18">
        <f>EXACT(TRIM(F28),"'"&amp;K28&amp;"'")</f>
        <v/>
      </c>
      <c r="W28" s="18">
        <f>AND(S28:V28)</f>
        <v/>
      </c>
      <c r="X28" s="19">
        <f>TRIM(IF(S28,"",$S$3&amp;" ")&amp;IF(T28,"",$T$3&amp;" ")&amp;IF(U28,"",$U$3&amp;" ")&amp;IF(V28,"",$V$3&amp;" "))</f>
        <v/>
      </c>
      <c r="Y28" s="18">
        <f>EXACT(SUBSTITUTE(A28," ",""),SUBSTITUTE(M28&amp;N28&amp;O28&amp;P28&amp;Q28," ",""))</f>
        <v/>
      </c>
    </row>
    <row r="29">
      <c r="A29" s="15" t="inlineStr">
        <is>
          <t>INSERT INTO MNG_DEAL_LIST_DSP_TBL VALUES(11 , 11 , 10 , 'N' );</t>
        </is>
      </c>
      <c r="B29" s="16" t="n"/>
      <c r="C29" s="15" t="inlineStr">
        <is>
          <t xml:space="preserve">11 </t>
        </is>
      </c>
      <c r="D29" s="15" t="inlineStr">
        <is>
          <t xml:space="preserve"> 11 </t>
        </is>
      </c>
      <c r="E29" s="15" t="inlineStr">
        <is>
          <t xml:space="preserve"> 10 </t>
        </is>
      </c>
      <c r="F29" s="15" t="inlineStr">
        <is>
          <t xml:space="preserve"> 'N' </t>
        </is>
      </c>
      <c r="H29" s="17" t="inlineStr"/>
      <c r="I29" s="17" t="inlineStr"/>
      <c r="J29" s="17" t="inlineStr"/>
      <c r="K29" s="17" t="inlineStr"/>
      <c r="M29" s="17" t="inlineStr"/>
      <c r="N29" s="17" t="inlineStr"/>
      <c r="O29" s="17" t="inlineStr"/>
      <c r="P29" s="17" t="inlineStr"/>
      <c r="Q29" s="17" t="inlineStr"/>
      <c r="S29" s="18">
        <f>EXACT(TRIM(C29),H29&amp;"")</f>
        <v/>
      </c>
      <c r="T29" s="18">
        <f>EXACT(TRIM(D29),I29&amp;"")</f>
        <v/>
      </c>
      <c r="U29" s="18">
        <f>EXACT(TRIM(E29),J29&amp;"")</f>
        <v/>
      </c>
      <c r="V29" s="18">
        <f>EXACT(TRIM(F29),"'"&amp;K29&amp;"'")</f>
        <v/>
      </c>
      <c r="W29" s="18">
        <f>AND(S29:V29)</f>
        <v/>
      </c>
      <c r="X29" s="19">
        <f>TRIM(IF(S29,"",$S$3&amp;" ")&amp;IF(T29,"",$T$3&amp;" ")&amp;IF(U29,"",$U$3&amp;" ")&amp;IF(V29,"",$V$3&amp;" "))</f>
        <v/>
      </c>
      <c r="Y29" s="18">
        <f>EXACT(SUBSTITUTE(A29," ",""),SUBSTITUTE(M29&amp;N29&amp;O29&amp;P29&amp;Q29," ",""))</f>
        <v/>
      </c>
    </row>
    <row r="30">
      <c r="A30" s="15" t="inlineStr">
        <is>
          <t>INSERT INTO MNG_DEAL_LIST_DSP_TBL VALUES(11 , 11 , 11 , 'N' );</t>
        </is>
      </c>
      <c r="B30" s="16" t="n"/>
      <c r="C30" s="15" t="inlineStr">
        <is>
          <t xml:space="preserve">11 </t>
        </is>
      </c>
      <c r="D30" s="15" t="inlineStr">
        <is>
          <t xml:space="preserve"> 11 </t>
        </is>
      </c>
      <c r="E30" s="15" t="inlineStr">
        <is>
          <t xml:space="preserve"> 11 </t>
        </is>
      </c>
      <c r="F30" s="15" t="inlineStr">
        <is>
          <t xml:space="preserve"> 'N' </t>
        </is>
      </c>
      <c r="H30" s="17" t="inlineStr"/>
      <c r="I30" s="17" t="inlineStr"/>
      <c r="J30" s="17" t="inlineStr"/>
      <c r="K30" s="17" t="inlineStr"/>
      <c r="M30" s="17" t="inlineStr"/>
      <c r="N30" s="17" t="inlineStr"/>
      <c r="O30" s="17" t="inlineStr"/>
      <c r="P30" s="17" t="inlineStr"/>
      <c r="Q30" s="17" t="inlineStr"/>
      <c r="S30" s="18">
        <f>EXACT(TRIM(C30),H30&amp;"")</f>
        <v/>
      </c>
      <c r="T30" s="18">
        <f>EXACT(TRIM(D30),I30&amp;"")</f>
        <v/>
      </c>
      <c r="U30" s="18">
        <f>EXACT(TRIM(E30),J30&amp;"")</f>
        <v/>
      </c>
      <c r="V30" s="18">
        <f>EXACT(TRIM(F30),"'"&amp;K30&amp;"'")</f>
        <v/>
      </c>
      <c r="W30" s="18">
        <f>AND(S30:V30)</f>
        <v/>
      </c>
      <c r="X30" s="19">
        <f>TRIM(IF(S30,"",$S$3&amp;" ")&amp;IF(T30,"",$T$3&amp;" ")&amp;IF(U30,"",$U$3&amp;" ")&amp;IF(V30,"",$V$3&amp;" "))</f>
        <v/>
      </c>
      <c r="Y30" s="18">
        <f>EXACT(SUBSTITUTE(A30," ",""),SUBSTITUTE(M30&amp;N30&amp;O30&amp;P30&amp;Q30," ",""))</f>
        <v/>
      </c>
    </row>
    <row r="31">
      <c r="A31" s="15" t="inlineStr">
        <is>
          <t>INSERT INTO MNG_DEAL_LIST_DSP_TBL VALUES(11 , 11 , 12 , 'N' );</t>
        </is>
      </c>
      <c r="B31" s="16" t="n"/>
      <c r="C31" s="15" t="inlineStr">
        <is>
          <t xml:space="preserve">11 </t>
        </is>
      </c>
      <c r="D31" s="15" t="inlineStr">
        <is>
          <t xml:space="preserve"> 11 </t>
        </is>
      </c>
      <c r="E31" s="15" t="inlineStr">
        <is>
          <t xml:space="preserve"> 12 </t>
        </is>
      </c>
      <c r="F31" s="15" t="inlineStr">
        <is>
          <t xml:space="preserve"> 'N' </t>
        </is>
      </c>
      <c r="H31" s="17" t="inlineStr"/>
      <c r="I31" s="17" t="inlineStr"/>
      <c r="J31" s="17" t="inlineStr"/>
      <c r="K31" s="17" t="inlineStr"/>
      <c r="M31" s="17" t="inlineStr"/>
      <c r="N31" s="17" t="inlineStr"/>
      <c r="O31" s="17" t="inlineStr"/>
      <c r="P31" s="17" t="inlineStr"/>
      <c r="Q31" s="17" t="inlineStr"/>
      <c r="S31" s="18">
        <f>EXACT(TRIM(C31),H31&amp;"")</f>
        <v/>
      </c>
      <c r="T31" s="18">
        <f>EXACT(TRIM(D31),I31&amp;"")</f>
        <v/>
      </c>
      <c r="U31" s="18">
        <f>EXACT(TRIM(E31),J31&amp;"")</f>
        <v/>
      </c>
      <c r="V31" s="18">
        <f>EXACT(TRIM(F31),"'"&amp;K31&amp;"'")</f>
        <v/>
      </c>
      <c r="W31" s="18">
        <f>AND(S31:V31)</f>
        <v/>
      </c>
      <c r="X31" s="19">
        <f>TRIM(IF(S31,"",$S$3&amp;" ")&amp;IF(T31,"",$T$3&amp;" ")&amp;IF(U31,"",$U$3&amp;" ")&amp;IF(V31,"",$V$3&amp;" "))</f>
        <v/>
      </c>
      <c r="Y31" s="18">
        <f>EXACT(SUBSTITUTE(A31," ",""),SUBSTITUTE(M31&amp;N31&amp;O31&amp;P31&amp;Q31," ",""))</f>
        <v/>
      </c>
    </row>
    <row r="32">
      <c r="A32" s="15" t="inlineStr">
        <is>
          <t>INSERT INTO MNG_DEAL_LIST_DSP_TBL VALUES(11 , 11 , 13 , 'N' );</t>
        </is>
      </c>
      <c r="B32" s="16" t="n"/>
      <c r="C32" s="15" t="inlineStr">
        <is>
          <t xml:space="preserve">11 </t>
        </is>
      </c>
      <c r="D32" s="15" t="inlineStr">
        <is>
          <t xml:space="preserve"> 11 </t>
        </is>
      </c>
      <c r="E32" s="15" t="inlineStr">
        <is>
          <t xml:space="preserve"> 13 </t>
        </is>
      </c>
      <c r="F32" s="15" t="inlineStr">
        <is>
          <t xml:space="preserve"> 'N' </t>
        </is>
      </c>
      <c r="H32" s="17" t="inlineStr"/>
      <c r="I32" s="17" t="inlineStr"/>
      <c r="J32" s="17" t="inlineStr"/>
      <c r="K32" s="17" t="inlineStr"/>
      <c r="M32" s="17" t="inlineStr"/>
      <c r="N32" s="17" t="inlineStr"/>
      <c r="O32" s="17" t="inlineStr"/>
      <c r="P32" s="17" t="inlineStr"/>
      <c r="Q32" s="17" t="inlineStr"/>
      <c r="S32" s="18">
        <f>EXACT(TRIM(C32),H32&amp;"")</f>
        <v/>
      </c>
      <c r="T32" s="18">
        <f>EXACT(TRIM(D32),I32&amp;"")</f>
        <v/>
      </c>
      <c r="U32" s="18">
        <f>EXACT(TRIM(E32),J32&amp;"")</f>
        <v/>
      </c>
      <c r="V32" s="18">
        <f>EXACT(TRIM(F32),"'"&amp;K32&amp;"'")</f>
        <v/>
      </c>
      <c r="W32" s="18">
        <f>AND(S32:V32)</f>
        <v/>
      </c>
      <c r="X32" s="19">
        <f>TRIM(IF(S32,"",$S$3&amp;" ")&amp;IF(T32,"",$T$3&amp;" ")&amp;IF(U32,"",$U$3&amp;" ")&amp;IF(V32,"",$V$3&amp;" "))</f>
        <v/>
      </c>
      <c r="Y32" s="18">
        <f>EXACT(SUBSTITUTE(A32," ",""),SUBSTITUTE(M32&amp;N32&amp;O32&amp;P32&amp;Q32," ",""))</f>
        <v/>
      </c>
    </row>
    <row r="33">
      <c r="A33" s="15" t="inlineStr">
        <is>
          <t>INSERT INTO MNG_DEAL_LIST_DSP_TBL VALUES(11 , 11 , 14 , 'N' );</t>
        </is>
      </c>
      <c r="B33" s="16" t="n"/>
      <c r="C33" s="15" t="inlineStr">
        <is>
          <t xml:space="preserve">11 </t>
        </is>
      </c>
      <c r="D33" s="15" t="inlineStr">
        <is>
          <t xml:space="preserve"> 11 </t>
        </is>
      </c>
      <c r="E33" s="15" t="inlineStr">
        <is>
          <t xml:space="preserve"> 14 </t>
        </is>
      </c>
      <c r="F33" s="15" t="inlineStr">
        <is>
          <t xml:space="preserve"> 'N' </t>
        </is>
      </c>
      <c r="H33" s="17" t="inlineStr"/>
      <c r="I33" s="17" t="inlineStr"/>
      <c r="J33" s="17" t="inlineStr"/>
      <c r="K33" s="17" t="inlineStr"/>
      <c r="M33" s="17" t="inlineStr"/>
      <c r="N33" s="17" t="inlineStr"/>
      <c r="O33" s="17" t="inlineStr"/>
      <c r="P33" s="17" t="inlineStr"/>
      <c r="Q33" s="17" t="inlineStr"/>
      <c r="S33" s="18">
        <f>EXACT(TRIM(C33),H33&amp;"")</f>
        <v/>
      </c>
      <c r="T33" s="18">
        <f>EXACT(TRIM(D33),I33&amp;"")</f>
        <v/>
      </c>
      <c r="U33" s="18">
        <f>EXACT(TRIM(E33),J33&amp;"")</f>
        <v/>
      </c>
      <c r="V33" s="18">
        <f>EXACT(TRIM(F33),"'"&amp;K33&amp;"'")</f>
        <v/>
      </c>
      <c r="W33" s="18">
        <f>AND(S33:V33)</f>
        <v/>
      </c>
      <c r="X33" s="19">
        <f>TRIM(IF(S33,"",$S$3&amp;" ")&amp;IF(T33,"",$T$3&amp;" ")&amp;IF(U33,"",$U$3&amp;" ")&amp;IF(V33,"",$V$3&amp;" "))</f>
        <v/>
      </c>
      <c r="Y33" s="18">
        <f>EXACT(SUBSTITUTE(A33," ",""),SUBSTITUTE(M33&amp;N33&amp;O33&amp;P33&amp;Q33," ",""))</f>
        <v/>
      </c>
    </row>
    <row r="34">
      <c r="A34" s="15" t="inlineStr">
        <is>
          <t>INSERT INTO MNG_DEAL_LIST_DSP_TBL VALUES(11 , 11 , 15 , 'N' );</t>
        </is>
      </c>
      <c r="B34" s="16" t="n"/>
      <c r="C34" s="15" t="inlineStr">
        <is>
          <t xml:space="preserve">11 </t>
        </is>
      </c>
      <c r="D34" s="15" t="inlineStr">
        <is>
          <t xml:space="preserve"> 11 </t>
        </is>
      </c>
      <c r="E34" s="15" t="inlineStr">
        <is>
          <t xml:space="preserve"> 15 </t>
        </is>
      </c>
      <c r="F34" s="15" t="inlineStr">
        <is>
          <t xml:space="preserve"> 'N' </t>
        </is>
      </c>
      <c r="H34" s="17" t="inlineStr"/>
      <c r="I34" s="17" t="inlineStr"/>
      <c r="J34" s="17" t="inlineStr"/>
      <c r="K34" s="17" t="inlineStr"/>
      <c r="M34" s="17" t="inlineStr"/>
      <c r="N34" s="17" t="inlineStr"/>
      <c r="O34" s="17" t="inlineStr"/>
      <c r="P34" s="17" t="inlineStr"/>
      <c r="Q34" s="17" t="inlineStr"/>
      <c r="S34" s="18">
        <f>EXACT(TRIM(C34),H34&amp;"")</f>
        <v/>
      </c>
      <c r="T34" s="18">
        <f>EXACT(TRIM(D34),I34&amp;"")</f>
        <v/>
      </c>
      <c r="U34" s="18">
        <f>EXACT(TRIM(E34),J34&amp;"")</f>
        <v/>
      </c>
      <c r="V34" s="18">
        <f>EXACT(TRIM(F34),"'"&amp;K34&amp;"'")</f>
        <v/>
      </c>
      <c r="W34" s="18">
        <f>AND(S34:V34)</f>
        <v/>
      </c>
      <c r="X34" s="19">
        <f>TRIM(IF(S34,"",$S$3&amp;" ")&amp;IF(T34,"",$T$3&amp;" ")&amp;IF(U34,"",$U$3&amp;" ")&amp;IF(V34,"",$V$3&amp;" "))</f>
        <v/>
      </c>
      <c r="Y34" s="18">
        <f>EXACT(SUBSTITUTE(A34," ",""),SUBSTITUTE(M34&amp;N34&amp;O34&amp;P34&amp;Q34," ",""))</f>
        <v/>
      </c>
    </row>
    <row r="35">
      <c r="A35" s="15" t="inlineStr">
        <is>
          <t>INSERT INTO MNG_DEAL_LIST_DSP_TBL VALUES(11 , 11 , 16 , 'N' );</t>
        </is>
      </c>
      <c r="B35" s="16" t="n"/>
      <c r="C35" s="15" t="inlineStr">
        <is>
          <t xml:space="preserve">11 </t>
        </is>
      </c>
      <c r="D35" s="15" t="inlineStr">
        <is>
          <t xml:space="preserve"> 11 </t>
        </is>
      </c>
      <c r="E35" s="15" t="inlineStr">
        <is>
          <t xml:space="preserve"> 16 </t>
        </is>
      </c>
      <c r="F35" s="15" t="inlineStr">
        <is>
          <t xml:space="preserve"> 'N' </t>
        </is>
      </c>
      <c r="H35" s="17" t="inlineStr"/>
      <c r="I35" s="17" t="inlineStr"/>
      <c r="J35" s="17" t="inlineStr"/>
      <c r="K35" s="17" t="inlineStr"/>
      <c r="M35" s="17" t="inlineStr"/>
      <c r="N35" s="17" t="inlineStr"/>
      <c r="O35" s="17" t="inlineStr"/>
      <c r="P35" s="17" t="inlineStr"/>
      <c r="Q35" s="17" t="inlineStr"/>
      <c r="S35" s="18">
        <f>EXACT(TRIM(C35),H35&amp;"")</f>
        <v/>
      </c>
      <c r="T35" s="18">
        <f>EXACT(TRIM(D35),I35&amp;"")</f>
        <v/>
      </c>
      <c r="U35" s="18">
        <f>EXACT(TRIM(E35),J35&amp;"")</f>
        <v/>
      </c>
      <c r="V35" s="18">
        <f>EXACT(TRIM(F35),"'"&amp;K35&amp;"'")</f>
        <v/>
      </c>
      <c r="W35" s="18">
        <f>AND(S35:V35)</f>
        <v/>
      </c>
      <c r="X35" s="19">
        <f>TRIM(IF(S35,"",$S$3&amp;" ")&amp;IF(T35,"",$T$3&amp;" ")&amp;IF(U35,"",$U$3&amp;" ")&amp;IF(V35,"",$V$3&amp;" "))</f>
        <v/>
      </c>
      <c r="Y35" s="18">
        <f>EXACT(SUBSTITUTE(A35," ",""),SUBSTITUTE(M35&amp;N35&amp;O35&amp;P35&amp;Q35," ",""))</f>
        <v/>
      </c>
    </row>
  </sheetData>
  <autoFilter ref="A3:AB35"/>
  <mergeCells count="9">
    <mergeCell ref="S2:X2"/>
    <mergeCell ref="M2:Q2"/>
    <mergeCell ref="AA2:AB2"/>
    <mergeCell ref="A1:F1"/>
    <mergeCell ref="H2:K2"/>
    <mergeCell ref="AA1:AB1"/>
    <mergeCell ref="C2:F2"/>
    <mergeCell ref="H1:Q1"/>
    <mergeCell ref="S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2" customWidth="1" min="35" max="35"/>
    <col width="11" customWidth="1" min="36" max="36"/>
    <col width="11" customWidth="1" min="37" max="37"/>
    <col width="11" customWidth="1" min="38" max="38"/>
    <col width="62" customWidth="1" min="39" max="39"/>
    <col width="11" customWidth="1" min="40" max="40"/>
    <col width="2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4" customWidth="1" min="58" max="58"/>
    <col width="11" customWidth="1" min="59" max="59"/>
    <col width="2" customWidth="1" min="60" max="60"/>
    <col width="8" customWidth="1" min="61" max="61"/>
    <col width="30" customWidth="1" min="62" max="62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4" t="inlineStr">
        <is>
          <t>②③ マスタ定義書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  <c r="AP1" s="5" t="inlineStr">
        <is>
          <t>突合</t>
        </is>
      </c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6" t="inlineStr">
        <is>
          <t>確認結果（記入欄）</t>
        </is>
      </c>
      <c r="BJ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T2" s="4" t="inlineStr">
        <is>
          <t>横浜銀行様用出荷設定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3" t="n"/>
      <c r="AJ2" s="8" t="inlineStr">
        <is>
          <t>SQL</t>
        </is>
      </c>
      <c r="AK2" s="2" t="n"/>
      <c r="AL2" s="2" t="n"/>
      <c r="AM2" s="2" t="n"/>
      <c r="AN2" s="3" t="n"/>
      <c r="AP2" s="5" t="inlineStr">
        <is>
          <t>①②の突合（項目ごと）</t>
        </is>
      </c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3" t="n"/>
      <c r="BG2" s="5" t="inlineStr">
        <is>
          <t>①③の突合</t>
        </is>
      </c>
      <c r="BI2" s="6" t="inlineStr">
        <is>
          <t>確認結果</t>
        </is>
      </c>
      <c r="BJ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K3" s="10" t="inlineStr">
        <is>
          <t>区切9</t>
        </is>
      </c>
      <c r="L3" s="10" t="inlineStr">
        <is>
          <t>区切10</t>
        </is>
      </c>
      <c r="M3" s="10" t="inlineStr">
        <is>
          <t>区切11</t>
        </is>
      </c>
      <c r="N3" s="10" t="inlineStr">
        <is>
          <t>区切12</t>
        </is>
      </c>
      <c r="O3" s="10" t="inlineStr">
        <is>
          <t>区切13</t>
        </is>
      </c>
      <c r="P3" s="10" t="inlineStr">
        <is>
          <t>区切14</t>
        </is>
      </c>
      <c r="Q3" s="10" t="inlineStr">
        <is>
          <t>区切15</t>
        </is>
      </c>
      <c r="R3" s="10" t="inlineStr">
        <is>
          <t>区切16</t>
        </is>
      </c>
      <c r="T3" s="11" t="inlineStr">
        <is>
          <t>LST_ID</t>
        </is>
      </c>
      <c r="U3" s="11" t="inlineStr">
        <is>
          <t>LIST_TYPE</t>
        </is>
      </c>
      <c r="V3" s="11" t="inlineStr">
        <is>
          <t>FILE_NAME</t>
        </is>
      </c>
      <c r="W3" s="11" t="inlineStr">
        <is>
          <t>ONLINE_REFLECTION_TARGET</t>
        </is>
      </c>
      <c r="X3" s="11" t="inlineStr">
        <is>
          <t>UPD_TYPE_SET_FLG</t>
        </is>
      </c>
      <c r="Y3" s="11" t="inlineStr">
        <is>
          <t>ERR_CONTD_FLG</t>
        </is>
      </c>
      <c r="Z3" s="11" t="inlineStr">
        <is>
          <t>FILE_UPD_CNT_SHW_FLG</t>
        </is>
      </c>
      <c r="AA3" s="11" t="inlineStr">
        <is>
          <t>DUPE_CHK_FLG</t>
        </is>
      </c>
      <c r="AB3" s="11" t="inlineStr">
        <is>
          <t>RCD_NO_GET_FLG</t>
        </is>
      </c>
      <c r="AC3" s="11" t="inlineStr">
        <is>
          <t>RSV_FLG1</t>
        </is>
      </c>
      <c r="AD3" s="11" t="inlineStr">
        <is>
          <t>RSV_FLG2</t>
        </is>
      </c>
      <c r="AE3" s="11" t="inlineStr">
        <is>
          <t>RSV_FLG3</t>
        </is>
      </c>
      <c r="AF3" s="11" t="inlineStr">
        <is>
          <t>RSV_FLG4</t>
        </is>
      </c>
      <c r="AG3" s="11" t="inlineStr">
        <is>
          <t>RSV_FLG5</t>
        </is>
      </c>
      <c r="AH3" s="11" t="inlineStr">
        <is>
          <t>LAST_UPDATE_DATE</t>
        </is>
      </c>
      <c r="AJ3" s="12" t="inlineStr">
        <is>
          <t>固定</t>
        </is>
      </c>
      <c r="AK3" s="12" t="inlineStr">
        <is>
          <t>固定</t>
        </is>
      </c>
      <c r="AL3" s="12" t="inlineStr">
        <is>
          <t>固定</t>
        </is>
      </c>
      <c r="AM3" s="12" t="inlineStr">
        <is>
          <t>数式</t>
        </is>
      </c>
      <c r="AN3" s="12" t="inlineStr">
        <is>
          <t>固定</t>
        </is>
      </c>
      <c r="AP3" s="13" t="inlineStr">
        <is>
          <t>LST_ID</t>
        </is>
      </c>
      <c r="AQ3" s="13" t="inlineStr">
        <is>
          <t>LIST_TYPE</t>
        </is>
      </c>
      <c r="AR3" s="13" t="inlineStr">
        <is>
          <t>FILE_NAME</t>
        </is>
      </c>
      <c r="AS3" s="13" t="inlineStr">
        <is>
          <t>ONLINE_REFLECTION_TARGET</t>
        </is>
      </c>
      <c r="AT3" s="13" t="inlineStr">
        <is>
          <t>UPD_TYPE_SET_FLG</t>
        </is>
      </c>
      <c r="AU3" s="13" t="inlineStr">
        <is>
          <t>ERR_CONTD_FLG</t>
        </is>
      </c>
      <c r="AV3" s="13" t="inlineStr">
        <is>
          <t>FILE_UPD_CNT_SHW_FLG</t>
        </is>
      </c>
      <c r="AW3" s="13" t="inlineStr">
        <is>
          <t>DUPE_CHK_FLG</t>
        </is>
      </c>
      <c r="AX3" s="13" t="inlineStr">
        <is>
          <t>RCD_NO_GET_FLG</t>
        </is>
      </c>
      <c r="AY3" s="13" t="inlineStr">
        <is>
          <t>RSV_FLG1</t>
        </is>
      </c>
      <c r="AZ3" s="13" t="inlineStr">
        <is>
          <t>RSV_FLG2</t>
        </is>
      </c>
      <c r="BA3" s="13" t="inlineStr">
        <is>
          <t>RSV_FLG3</t>
        </is>
      </c>
      <c r="BB3" s="13" t="inlineStr">
        <is>
          <t>RSV_FLG4</t>
        </is>
      </c>
      <c r="BC3" s="13" t="inlineStr">
        <is>
          <t>RSV_FLG5</t>
        </is>
      </c>
      <c r="BD3" s="13" t="inlineStr">
        <is>
          <t>LAST_UPDATE_DATE</t>
        </is>
      </c>
      <c r="BE3" s="13" t="inlineStr">
        <is>
          <t>全項目一致</t>
        </is>
      </c>
      <c r="BF3" s="13" t="inlineStr">
        <is>
          <t>相違した項目</t>
        </is>
      </c>
      <c r="BG3" s="13" t="inlineStr">
        <is>
          <t>SQL文一致</t>
        </is>
      </c>
      <c r="BI3" s="14" t="inlineStr">
        <is>
          <t>判定</t>
        </is>
      </c>
      <c r="BJ3" s="14" t="inlineStr">
        <is>
          <t>備考</t>
        </is>
      </c>
    </row>
    <row r="4">
      <c r="A4" s="15" t="inlineStr">
        <is>
          <t>INSERT INTO MNG_LIST_ATTR_TBL VALUES(16,'BC','BファイルC情報.csv','N','1','N','N','0','1','0','0','Y','','',to_timestamp('2022/01/01 0:00:00' , 'yyyy/MM/dd hh24:mi:ss'));</t>
        </is>
      </c>
      <c r="B4" s="16" t="n"/>
      <c r="C4" s="15" t="inlineStr">
        <is>
          <t>16</t>
        </is>
      </c>
      <c r="D4" s="15" t="inlineStr">
        <is>
          <t>'BC'</t>
        </is>
      </c>
      <c r="E4" s="15" t="inlineStr">
        <is>
          <t>'BファイルC情報.csv'</t>
        </is>
      </c>
      <c r="F4" s="15" t="inlineStr">
        <is>
          <t>'N'</t>
        </is>
      </c>
      <c r="G4" s="15" t="inlineStr">
        <is>
          <t>'1'</t>
        </is>
      </c>
      <c r="H4" s="15" t="inlineStr">
        <is>
          <t>'N'</t>
        </is>
      </c>
      <c r="I4" s="15" t="inlineStr">
        <is>
          <t>'N'</t>
        </is>
      </c>
      <c r="J4" s="15" t="inlineStr">
        <is>
          <t>'0'</t>
        </is>
      </c>
      <c r="K4" s="15" t="inlineStr">
        <is>
          <t>'1'</t>
        </is>
      </c>
      <c r="L4" s="15" t="inlineStr">
        <is>
          <t>'0'</t>
        </is>
      </c>
      <c r="M4" s="15" t="inlineStr">
        <is>
          <t>'0'</t>
        </is>
      </c>
      <c r="N4" s="15" t="inlineStr">
        <is>
          <t>'Y'</t>
        </is>
      </c>
      <c r="O4" s="15" t="inlineStr">
        <is>
          <t>''</t>
        </is>
      </c>
      <c r="P4" s="15" t="inlineStr">
        <is>
          <t>''</t>
        </is>
      </c>
      <c r="Q4" s="15" t="inlineStr">
        <is>
          <t xml:space="preserve">to_timestamp('2022/01/01 0:00:00' </t>
        </is>
      </c>
      <c r="R4" s="15" t="inlineStr">
        <is>
          <t xml:space="preserve"> 'yyyy/MM/dd hh24:mi:ss')</t>
        </is>
      </c>
      <c r="T4" s="20" t="inlineStr">
        <is>
          <t>16</t>
        </is>
      </c>
      <c r="U4" s="20" t="inlineStr">
        <is>
          <t>BC</t>
        </is>
      </c>
      <c r="V4" s="20" t="inlineStr">
        <is>
          <t>BファイルC情報.csv</t>
        </is>
      </c>
      <c r="W4" s="20" t="inlineStr">
        <is>
          <t>N</t>
        </is>
      </c>
      <c r="X4" s="20" t="inlineStr">
        <is>
          <t>1</t>
        </is>
      </c>
      <c r="Y4" s="20" t="inlineStr">
        <is>
          <t>N</t>
        </is>
      </c>
      <c r="Z4" s="20" t="inlineStr">
        <is>
          <t>N</t>
        </is>
      </c>
      <c r="AA4" s="20" t="inlineStr">
        <is>
          <t>0</t>
        </is>
      </c>
      <c r="AB4" s="20" t="inlineStr">
        <is>
          <t>1</t>
        </is>
      </c>
      <c r="AC4" s="21" t="inlineStr">
        <is>
          <t>1</t>
        </is>
      </c>
      <c r="AD4" s="20" t="inlineStr">
        <is>
          <t>0</t>
        </is>
      </c>
      <c r="AE4" s="20" t="inlineStr">
        <is>
          <t>Y</t>
        </is>
      </c>
      <c r="AF4" s="20" t="inlineStr"/>
      <c r="AG4" s="20" t="inlineStr"/>
      <c r="AH4" s="20" t="inlineStr">
        <is>
          <t>2022/01/01 0:00:00</t>
        </is>
      </c>
      <c r="AJ4" s="15" t="inlineStr">
        <is>
          <t>INSERT INTO</t>
        </is>
      </c>
      <c r="AK4" s="15" t="inlineStr">
        <is>
          <t>MNG_LIST_ATTR_TBL</t>
        </is>
      </c>
      <c r="AL4" s="15" t="inlineStr">
        <is>
          <t>VALUES(</t>
        </is>
      </c>
      <c r="AM4" s="15" t="inlineStr">
        <is>
          <t>16,'BC','BファイルC情報.csv','N','1','N','N','0','1','1','0','Y','','',to_timestamp('2022/01/01 0:00:00' , 'yyyy/MM/dd hh24:mi:ss')</t>
        </is>
      </c>
      <c r="AN4" s="15" t="inlineStr">
        <is>
          <t>);</t>
        </is>
      </c>
      <c r="AP4" s="18">
        <f>EXACT(TRIM(C4),T4&amp;"")</f>
        <v/>
      </c>
      <c r="AQ4" s="18">
        <f>EXACT(TRIM(D4),"'"&amp;U4&amp;"'")</f>
        <v/>
      </c>
      <c r="AR4" s="18">
        <f>EXACT(TRIM(E4),"'"&amp;V4&amp;"'")</f>
        <v/>
      </c>
      <c r="AS4" s="18">
        <f>EXACT(TRIM(F4),"'"&amp;W4&amp;"'")</f>
        <v/>
      </c>
      <c r="AT4" s="18">
        <f>EXACT(TRIM(G4),"'"&amp;X4&amp;"'")</f>
        <v/>
      </c>
      <c r="AU4" s="18">
        <f>EXACT(TRIM(H4),"'"&amp;Y4&amp;"'")</f>
        <v/>
      </c>
      <c r="AV4" s="18">
        <f>EXACT(TRIM(I4),"'"&amp;Z4&amp;"'")</f>
        <v/>
      </c>
      <c r="AW4" s="18">
        <f>EXACT(TRIM(J4),"'"&amp;AA4&amp;"'")</f>
        <v/>
      </c>
      <c r="AX4" s="18">
        <f>EXACT(TRIM(K4),"'"&amp;AB4&amp;"'")</f>
        <v/>
      </c>
      <c r="AY4" s="18">
        <f>EXACT(TRIM(L4),"'"&amp;AC4&amp;"'")</f>
        <v/>
      </c>
      <c r="AZ4" s="18">
        <f>EXACT(TRIM(M4),"'"&amp;AD4&amp;"'")</f>
        <v/>
      </c>
      <c r="BA4" s="18">
        <f>EXACT(TRIM(N4),"'"&amp;AE4&amp;"'")</f>
        <v/>
      </c>
      <c r="BB4" s="18">
        <f>EXACT(TRIM(O4),"'"&amp;AF4&amp;"'")</f>
        <v/>
      </c>
      <c r="BC4" s="18">
        <f>EXACT(TRIM(P4),"'"&amp;AG4&amp;"'")</f>
        <v/>
      </c>
      <c r="BD4" s="18">
        <f>EXACT(TRIM(Q4),"to_timestamp('"&amp;AH4&amp;"'")</f>
        <v/>
      </c>
      <c r="BE4" s="18">
        <f>AND(AP4:BD4)</f>
        <v/>
      </c>
      <c r="BF4" s="19">
        <f>TRIM(IF(AP4,"",$AP$3&amp;" ")&amp;IF(AQ4,"",$AQ$3&amp;" ")&amp;IF(AR4,"",$AR$3&amp;" ")&amp;IF(AS4,"",$AS$3&amp;" ")&amp;IF(AT4,"",$AT$3&amp;" ")&amp;IF(AU4,"",$AU$3&amp;" ")&amp;IF(AV4,"",$AV$3&amp;" ")&amp;IF(AW4,"",$AW$3&amp;" ")&amp;IF(AX4,"",$AX$3&amp;" ")&amp;IF(AY4,"",$AY$3&amp;" ")&amp;IF(AZ4,"",$AZ$3&amp;" ")&amp;IF(BA4,"",$BA$3&amp;" ")&amp;IF(BB4,"",$BB$3&amp;" ")&amp;IF(BC4,"",$BC$3&amp;" ")&amp;IF(BD4,"",$BD$3&amp;" "))</f>
        <v/>
      </c>
      <c r="BG4" s="18">
        <f>EXACT(SUBSTITUTE(A4," ",""),SUBSTITUTE(AJ4&amp;AK4&amp;AL4&amp;AM4&amp;AN4," ",""))</f>
        <v/>
      </c>
    </row>
  </sheetData>
  <autoFilter ref="A3:BJ4"/>
  <mergeCells count="9">
    <mergeCell ref="C2:R2"/>
    <mergeCell ref="T2:AH2"/>
    <mergeCell ref="BI2:BJ2"/>
    <mergeCell ref="T1:AN1"/>
    <mergeCell ref="AP1:BG1"/>
    <mergeCell ref="BI1:BJ1"/>
    <mergeCell ref="A1:R1"/>
    <mergeCell ref="AJ2:AN2"/>
    <mergeCell ref="AP2:B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2026-10-20T08:23:25Z</dcterms:created>
  <dcterms:modified xmlns:dcterms="http://purl.org/dc/terms/" xmlns:xsi="http://www.w3.org/2001/XMLSchema-instance" xsi:type="dcterms:W3CDTF">2026-10-20T08:23:26Z</dcterms:modified>
</cp:coreProperties>
</file>