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プロファイルマスタ" sheetId="1" state="visible" r:id="rId1"/>
    <sheet xmlns:r="http://schemas.openxmlformats.org/officeDocument/2006/relationships" name="5_部店マスタ" sheetId="2" state="visible" r:id="rId2"/>
    <sheet xmlns:r="http://schemas.openxmlformats.org/officeDocument/2006/relationships" name="10_実行権限マスタ" sheetId="3" state="visible" r:id="rId3"/>
    <sheet xmlns:r="http://schemas.openxmlformats.org/officeDocument/2006/relationships" name="11_プロファイル設定" sheetId="4" state="visible" r:id="rId4"/>
    <sheet xmlns:r="http://schemas.openxmlformats.org/officeDocument/2006/relationships" name="12_ファイル属性管理" sheetId="5" state="visible" r:id="rId5"/>
    <sheet xmlns:r="http://schemas.openxmlformats.org/officeDocument/2006/relationships" name="13_ファイル属性設定" sheetId="6" state="visible" r:id="rId6"/>
    <sheet xmlns:r="http://schemas.openxmlformats.org/officeDocument/2006/relationships" name="14_通番管理" sheetId="7" state="visible" r:id="rId7"/>
    <sheet xmlns:r="http://schemas.openxmlformats.org/officeDocument/2006/relationships" name="17_コード設定マスタ" sheetId="8" state="visible" r:id="rId8"/>
    <sheet xmlns:r="http://schemas.openxmlformats.org/officeDocument/2006/relationships" name="23_フィルタリング定義マスタ" sheetId="9" state="visible" r:id="rId9"/>
    <sheet xmlns:r="http://schemas.openxmlformats.org/officeDocument/2006/relationships" name="15_リスト発行元マスタ" sheetId="10" state="visible" r:id="rId10"/>
    <sheet xmlns:r="http://schemas.openxmlformats.org/officeDocument/2006/relationships" name="16_リスト名マスタ" sheetId="11" state="visible" r:id="rId11"/>
    <sheet xmlns:r="http://schemas.openxmlformats.org/officeDocument/2006/relationships" name="21_リスト登録情報" sheetId="12" state="visible" r:id="rId12"/>
    <sheet xmlns:r="http://schemas.openxmlformats.org/officeDocument/2006/relationships" name="25_部店フィルタリング設定" sheetId="13" state="visible" r:id="rId13"/>
    <sheet xmlns:r="http://schemas.openxmlformats.org/officeDocument/2006/relationships" name="26_CIFファイルフィルタリング設定" sheetId="14" state="visible" r:id="rId14"/>
    <sheet xmlns:r="http://schemas.openxmlformats.org/officeDocument/2006/relationships" name="28_シミュレーション定義マスタ" sheetId="15" state="visible" r:id="rId15"/>
    <sheet xmlns:r="http://schemas.openxmlformats.org/officeDocument/2006/relationships" name="29_リスト権限マスタ" sheetId="16" state="visible" r:id="rId16"/>
    <sheet xmlns:r="http://schemas.openxmlformats.org/officeDocument/2006/relationships" name="30_取引リスト表示管理" sheetId="17" state="visible" r:id="rId17"/>
    <sheet xmlns:r="http://schemas.openxmlformats.org/officeDocument/2006/relationships" name="31_リスト補足管理" sheetId="18" state="visible" r:id="rId18"/>
    <sheet xmlns:r="http://schemas.openxmlformats.org/officeDocument/2006/relationships" name="32_リスト検索項目管理" sheetId="19" state="visible" r:id="rId19"/>
    <sheet xmlns:r="http://schemas.openxmlformats.org/officeDocument/2006/relationships" name="34_リスト処理属性管理" sheetId="20" state="visible" r:id="rId20"/>
    <sheet xmlns:r="http://schemas.openxmlformats.org/officeDocument/2006/relationships" name="35_リスト取込マスタ" sheetId="21" state="visible" r:id="rId21"/>
  </sheets>
  <definedNames>
    <definedName name="_xlnm._FilterDatabase" localSheetId="0" hidden="1">'1_プロファイルマスタ'!$A$3:$AF$6</definedName>
    <definedName name="_xlnm._FilterDatabase" localSheetId="1" hidden="1">'5_部店マスタ'!$A$3:$AF$28</definedName>
    <definedName name="_xlnm._FilterDatabase" localSheetId="2" hidden="1">'10_実行権限マスタ'!$A$3:$Y$21</definedName>
    <definedName name="_xlnm._FilterDatabase" localSheetId="3" hidden="1">'11_プロファイル設定'!$A$3:$V$208</definedName>
    <definedName name="_xlnm._FilterDatabase" localSheetId="4" hidden="1">'12_ファイル属性管理'!$A$3:$AH$9</definedName>
    <definedName name="_xlnm._FilterDatabase" localSheetId="5" hidden="1">'13_ファイル属性設定'!$A$3:$V$21</definedName>
    <definedName name="_xlnm._FilterDatabase" localSheetId="6" hidden="1">'14_通番管理'!$A$3:$Z$9</definedName>
    <definedName name="_xlnm._FilterDatabase" localSheetId="7" hidden="1">'17_コード設定マスタ'!$A$3:$AK$5</definedName>
    <definedName name="_xlnm._FilterDatabase" localSheetId="8" hidden="1">'23_フィルタリング定義マスタ'!$A$3:$AH$4</definedName>
    <definedName name="_xlnm._FilterDatabase" localSheetId="9" hidden="1">'15_リスト発行元マスタ'!$A$3:$BS$4</definedName>
    <definedName name="_xlnm._FilterDatabase" localSheetId="10" hidden="1">'16_リスト名マスタ'!$A$3:$Y$4</definedName>
    <definedName name="_xlnm._FilterDatabase" localSheetId="11" hidden="1">'21_リスト登録情報'!$A$3:$AJ$4</definedName>
    <definedName name="_xlnm._FilterDatabase" localSheetId="12" hidden="1">'25_部店フィルタリング設定'!$A$3:$AE$303</definedName>
    <definedName name="_xlnm._FilterDatabase" localSheetId="13" hidden="1">'26_CIFファイルフィルタリング設定'!$A$3:$Y$77</definedName>
    <definedName name="_xlnm._FilterDatabase" localSheetId="14" hidden="1">'28_シミュレーション定義マスタ'!$A$3:$AB$4</definedName>
    <definedName name="_xlnm._FilterDatabase" localSheetId="15" hidden="1">'29_リスト権限マスタ'!$A$3:$BA$29</definedName>
    <definedName name="_xlnm._FilterDatabase" localSheetId="16" hidden="1">'30_取引リスト表示管理'!$A$3:$AB$335</definedName>
    <definedName name="_xlnm._FilterDatabase" localSheetId="17" hidden="1">'31_リスト補足管理'!$A$3:$AN$33</definedName>
    <definedName name="_xlnm._FilterDatabase" localSheetId="18" hidden="1">'32_リスト検索項目管理'!$A$3:$AN$27</definedName>
    <definedName name="_xlnm._FilterDatabase" localSheetId="19" hidden="1">'34_リスト処理属性管理'!$A$3:$BJ$4</definedName>
    <definedName name="_xlnm._FilterDatabase" localSheetId="20" hidden="1">'35_リスト取込マスタ'!$A$3:$Y$5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  <font>
      <name val="游ゴシック"/>
      <color rgb="FFFF0000"/>
      <sz val="9"/>
    </font>
  </fonts>
  <fills count="12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99CCFF"/>
      </patternFill>
    </fill>
    <fill>
      <patternFill patternType="solid">
        <fgColor rgb="FFCCFFCC"/>
      </patternFill>
    </fill>
    <fill>
      <patternFill patternType="solid">
        <fgColor rgb="FFFF99CC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FFFF99"/>
      </patternFill>
    </fill>
    <fill>
      <patternFill patternType="solid">
        <fgColor rgb="FFF8CBAD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49" fontId="1" fillId="4" borderId="1" applyAlignment="1" pivotButton="0" quotePrefix="0" xfId="0">
      <alignment horizontal="center" vertical="center"/>
    </xf>
    <xf numFmtId="49" fontId="1" fillId="7" borderId="1" applyAlignment="1" pivotButton="0" quotePrefix="0" xfId="0">
      <alignment horizontal="center" vertical="center"/>
    </xf>
    <xf numFmtId="49" fontId="1" fillId="8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49" fontId="1" fillId="6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  <xf numFmtId="49" fontId="1" fillId="7" borderId="1" applyAlignment="1" pivotButton="0" quotePrefix="0" xfId="0">
      <alignment horizontal="center" vertical="center" wrapText="1"/>
    </xf>
    <xf numFmtId="49" fontId="1" fillId="8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vertical="center"/>
    </xf>
    <xf numFmtId="0" fontId="0" fillId="0" borderId="1" pivotButton="0" quotePrefix="0" xfId="0"/>
    <xf numFmtId="49" fontId="3" fillId="9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49" fontId="2" fillId="10" borderId="1" applyAlignment="1" pivotButton="0" quotePrefix="0" xfId="0">
      <alignment vertical="center"/>
    </xf>
    <xf numFmtId="49" fontId="3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" customWidth="1" min="15" max="15"/>
    <col width="11" customWidth="1" min="16" max="16"/>
    <col width="11" customWidth="1" min="17" max="17"/>
    <col width="11" customWidth="1" min="18" max="18"/>
    <col width="62" customWidth="1" min="19" max="19"/>
    <col width="11" customWidth="1" min="20" max="20"/>
    <col width="2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24" customWidth="1" min="28" max="28"/>
    <col width="11" customWidth="1" min="29" max="29"/>
    <col width="2" customWidth="1" min="30" max="30"/>
    <col width="8" customWidth="1" min="31" max="31"/>
    <col width="30" customWidth="1" min="32" max="32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3" t="n"/>
      <c r="J1" s="4" t="inlineStr">
        <is>
          <t>②③ マスタ定義書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5" t="inlineStr">
        <is>
          <t>突合</t>
        </is>
      </c>
      <c r="W1" s="2" t="n"/>
      <c r="X1" s="2" t="n"/>
      <c r="Y1" s="2" t="n"/>
      <c r="Z1" s="2" t="n"/>
      <c r="AA1" s="2" t="n"/>
      <c r="AB1" s="2" t="n"/>
      <c r="AC1" s="3" t="n"/>
      <c r="AE1" s="6" t="inlineStr">
        <is>
          <t>確認結果（記入欄）</t>
        </is>
      </c>
      <c r="AF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3" t="n"/>
      <c r="J2" s="4" t="inlineStr">
        <is>
          <t>横浜銀行様用出荷設定</t>
        </is>
      </c>
      <c r="K2" s="2" t="n"/>
      <c r="L2" s="2" t="n"/>
      <c r="M2" s="2" t="n"/>
      <c r="N2" s="3" t="n"/>
      <c r="P2" s="8" t="inlineStr">
        <is>
          <t>SQL</t>
        </is>
      </c>
      <c r="Q2" s="2" t="n"/>
      <c r="R2" s="2" t="n"/>
      <c r="S2" s="2" t="n"/>
      <c r="T2" s="3" t="n"/>
      <c r="V2" s="5" t="inlineStr">
        <is>
          <t>①②の突合（項目ごと）</t>
        </is>
      </c>
      <c r="W2" s="2" t="n"/>
      <c r="X2" s="2" t="n"/>
      <c r="Y2" s="2" t="n"/>
      <c r="Z2" s="2" t="n"/>
      <c r="AA2" s="2" t="n"/>
      <c r="AB2" s="3" t="n"/>
      <c r="AC2" s="5" t="inlineStr">
        <is>
          <t>①③の突合</t>
        </is>
      </c>
      <c r="AE2" s="6" t="inlineStr">
        <is>
          <t>確認結果</t>
        </is>
      </c>
      <c r="AF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J3" s="11" t="inlineStr">
        <is>
          <t>PRF_ID</t>
        </is>
      </c>
      <c r="K3" s="11" t="inlineStr">
        <is>
          <t>PRF_CODE</t>
        </is>
      </c>
      <c r="L3" s="11" t="inlineStr">
        <is>
          <t>PRF_NAME</t>
        </is>
      </c>
      <c r="M3" s="11" t="inlineStr">
        <is>
          <t>PRF_TYPE</t>
        </is>
      </c>
      <c r="N3" s="11" t="inlineStr">
        <is>
          <t>LAST_UPDATE_DATE</t>
        </is>
      </c>
      <c r="P3" s="12" t="inlineStr">
        <is>
          <t>固定</t>
        </is>
      </c>
      <c r="Q3" s="12" t="inlineStr">
        <is>
          <t>固定</t>
        </is>
      </c>
      <c r="R3" s="12" t="inlineStr">
        <is>
          <t>固定</t>
        </is>
      </c>
      <c r="S3" s="12" t="inlineStr">
        <is>
          <t>数式</t>
        </is>
      </c>
      <c r="T3" s="12" t="inlineStr">
        <is>
          <t>固定</t>
        </is>
      </c>
      <c r="V3" s="13" t="inlineStr">
        <is>
          <t>PRF_ID</t>
        </is>
      </c>
      <c r="W3" s="13" t="inlineStr">
        <is>
          <t>PRF_CODE</t>
        </is>
      </c>
      <c r="X3" s="13" t="inlineStr">
        <is>
          <t>PRF_NAME</t>
        </is>
      </c>
      <c r="Y3" s="13" t="inlineStr">
        <is>
          <t>PRF_TYPE</t>
        </is>
      </c>
      <c r="Z3" s="13" t="inlineStr">
        <is>
          <t>LAST_UPDATE_DATE</t>
        </is>
      </c>
      <c r="AA3" s="13" t="inlineStr">
        <is>
          <t>全項目一致</t>
        </is>
      </c>
      <c r="AB3" s="13" t="inlineStr">
        <is>
          <t>相違した項目</t>
        </is>
      </c>
      <c r="AC3" s="13" t="inlineStr">
        <is>
          <t>SQL文一致</t>
        </is>
      </c>
      <c r="AE3" s="14" t="inlineStr">
        <is>
          <t>判定</t>
        </is>
      </c>
      <c r="AF3" s="14" t="inlineStr">
        <is>
          <t>備考</t>
        </is>
      </c>
    </row>
    <row r="4">
      <c r="A4" s="15" t="inlineStr">
        <is>
          <t>INSERT INTO MST_PRF_TBL VALUES(9 , '0009' , 'L＆F管理者（リスク管理部）' , 'P' , to_timestamp('2026/12/24 00:00:00' , 'yyyy/MM/dd hh24:mi:ss'));</t>
        </is>
      </c>
      <c r="B4" s="16" t="n"/>
      <c r="C4" s="15" t="inlineStr">
        <is>
          <t xml:space="preserve">9 </t>
        </is>
      </c>
      <c r="D4" s="15" t="inlineStr">
        <is>
          <t xml:space="preserve"> '0009' </t>
        </is>
      </c>
      <c r="E4" s="15" t="inlineStr">
        <is>
          <t xml:space="preserve"> 'L＆F管理者（リスク管理部）' </t>
        </is>
      </c>
      <c r="F4" s="15" t="inlineStr">
        <is>
          <t xml:space="preserve"> 'P' </t>
        </is>
      </c>
      <c r="G4" s="15" t="inlineStr">
        <is>
          <t xml:space="preserve"> to_timestamp('2026/12/24 00:00:00' </t>
        </is>
      </c>
      <c r="H4" s="15" t="inlineStr">
        <is>
          <t xml:space="preserve"> 'yyyy/MM/dd hh24:mi:ss')</t>
        </is>
      </c>
      <c r="J4" s="17" t="inlineStr">
        <is>
          <t>9</t>
        </is>
      </c>
      <c r="K4" s="17" t="inlineStr">
        <is>
          <t>0009</t>
        </is>
      </c>
      <c r="L4" s="17" t="inlineStr">
        <is>
          <t>L＆F管理者（リスク管理部）</t>
        </is>
      </c>
      <c r="M4" s="17" t="inlineStr">
        <is>
          <t>P</t>
        </is>
      </c>
      <c r="N4" s="17" t="inlineStr">
        <is>
          <t>2026/12/24 00:00:00</t>
        </is>
      </c>
      <c r="P4" s="15" t="inlineStr">
        <is>
          <t>INSERT INTO</t>
        </is>
      </c>
      <c r="Q4" s="15" t="inlineStr">
        <is>
          <t>MST_PRF_TBL</t>
        </is>
      </c>
      <c r="R4" s="15" t="inlineStr">
        <is>
          <t>VALUES(</t>
        </is>
      </c>
      <c r="S4" s="15" t="inlineStr">
        <is>
          <t>9 , '0009' , 'L＆F管理者（リスク管理部）' , 'P' , to_timestamp('2026/12/24 00:00:00' , 'yyyy/MM/dd hh24:mi:ss')</t>
        </is>
      </c>
      <c r="T4" s="15" t="inlineStr">
        <is>
          <t>);</t>
        </is>
      </c>
      <c r="V4" s="18">
        <f>EXACT(TRIM(C4),J4&amp;"")</f>
        <v/>
      </c>
      <c r="W4" s="18">
        <f>EXACT(TRIM(D4),"'"&amp;K4&amp;"'")</f>
        <v/>
      </c>
      <c r="X4" s="18">
        <f>EXACT(TRIM(E4),"'"&amp;L4&amp;"'")</f>
        <v/>
      </c>
      <c r="Y4" s="18">
        <f>EXACT(TRIM(F4),"'"&amp;M4&amp;"'")</f>
        <v/>
      </c>
      <c r="Z4" s="18">
        <f>EXACT(TRIM(G4),"to_timestamp('"&amp;N4&amp;"'")</f>
        <v/>
      </c>
      <c r="AA4" s="18">
        <f>AND(V4:Z4)</f>
        <v/>
      </c>
      <c r="AB4" s="19">
        <f>TRIM(IF(V4,"",$V$3&amp;" ")&amp;IF(W4,"",$W$3&amp;" ")&amp;IF(X4,"",$X$3&amp;" ")&amp;IF(Y4,"",$Y$3&amp;" ")&amp;IF(Z4,"",$Z$3&amp;" "))</f>
        <v/>
      </c>
      <c r="AC4" s="18">
        <f>EXACT(SUBSTITUTE(A4," ",""),SUBSTITUTE(P4&amp;Q4&amp;R4&amp;S4&amp;T4," ",""))</f>
        <v/>
      </c>
    </row>
    <row r="5">
      <c r="A5" s="15" t="inlineStr">
        <is>
          <t>INSERT INTO MST_PRF_TBL VALUES(10 , '0010' , 'L＆F管理者（リスク管理部以外）' , 'P' , to_timestamp('2026/12/24 00:00:00' , 'yyyy/MM/dd hh24:mi:ss'));</t>
        </is>
      </c>
      <c r="B5" s="16" t="n"/>
      <c r="C5" s="15" t="inlineStr">
        <is>
          <t xml:space="preserve">10 </t>
        </is>
      </c>
      <c r="D5" s="15" t="inlineStr">
        <is>
          <t xml:space="preserve"> '0010' </t>
        </is>
      </c>
      <c r="E5" s="15" t="inlineStr">
        <is>
          <t xml:space="preserve"> 'L＆F管理者（リスク管理部以外）' </t>
        </is>
      </c>
      <c r="F5" s="15" t="inlineStr">
        <is>
          <t xml:space="preserve"> 'P' </t>
        </is>
      </c>
      <c r="G5" s="15" t="inlineStr">
        <is>
          <t xml:space="preserve"> to_timestamp('2026/12/24 00:00:00' </t>
        </is>
      </c>
      <c r="H5" s="15" t="inlineStr">
        <is>
          <t xml:space="preserve"> 'yyyy/MM/dd hh24:mi:ss')</t>
        </is>
      </c>
      <c r="J5" s="17" t="inlineStr">
        <is>
          <t>10</t>
        </is>
      </c>
      <c r="K5" s="17" t="inlineStr">
        <is>
          <t>0010</t>
        </is>
      </c>
      <c r="L5" s="17" t="inlineStr">
        <is>
          <t>L＆F管理者（リスク管理部以外）</t>
        </is>
      </c>
      <c r="M5" s="17" t="inlineStr">
        <is>
          <t>P</t>
        </is>
      </c>
      <c r="N5" s="17" t="inlineStr">
        <is>
          <t>2026/12/24 00:00:00</t>
        </is>
      </c>
      <c r="P5" s="15" t="inlineStr">
        <is>
          <t>INSERT INTO</t>
        </is>
      </c>
      <c r="Q5" s="15" t="inlineStr">
        <is>
          <t>MST_PRF_TBL</t>
        </is>
      </c>
      <c r="R5" s="15" t="inlineStr">
        <is>
          <t>VALUES(</t>
        </is>
      </c>
      <c r="S5" s="15" t="inlineStr">
        <is>
          <t>10 , '0010' , 'L＆F管理者（リスク管理部以外）' , 'P' , to_timestamp('2026/12/24 00:00:00' , 'yyyy/MM/dd hh24:mi:ss')</t>
        </is>
      </c>
      <c r="T5" s="15" t="inlineStr">
        <is>
          <t>);</t>
        </is>
      </c>
      <c r="V5" s="18">
        <f>EXACT(TRIM(C5),J5&amp;"")</f>
        <v/>
      </c>
      <c r="W5" s="18">
        <f>EXACT(TRIM(D5),"'"&amp;K5&amp;"'")</f>
        <v/>
      </c>
      <c r="X5" s="18">
        <f>EXACT(TRIM(E5),"'"&amp;L5&amp;"'")</f>
        <v/>
      </c>
      <c r="Y5" s="18">
        <f>EXACT(TRIM(F5),"'"&amp;M5&amp;"'")</f>
        <v/>
      </c>
      <c r="Z5" s="18">
        <f>EXACT(TRIM(G5),"to_timestamp('"&amp;N5&amp;"'")</f>
        <v/>
      </c>
      <c r="AA5" s="18">
        <f>AND(V5:Z5)</f>
        <v/>
      </c>
      <c r="AB5" s="19">
        <f>TRIM(IF(V5,"",$V$3&amp;" ")&amp;IF(W5,"",$W$3&amp;" ")&amp;IF(X5,"",$X$3&amp;" ")&amp;IF(Y5,"",$Y$3&amp;" ")&amp;IF(Z5,"",$Z$3&amp;" "))</f>
        <v/>
      </c>
      <c r="AC5" s="18">
        <f>EXACT(SUBSTITUTE(A5," ",""),SUBSTITUTE(P5&amp;Q5&amp;R5&amp;S5&amp;T5," ",""))</f>
        <v/>
      </c>
    </row>
    <row r="6">
      <c r="A6" s="15" t="inlineStr">
        <is>
          <t>INSERT INTO MST_PRF_TBL VALUES(11 , '0011' , 'L&amp;F担当者' , 'P' , to_timestamp('2026/12/24 00:00:00' , 'yyyy/MM/dd hh24:mi:ss'));</t>
        </is>
      </c>
      <c r="B6" s="16" t="n"/>
      <c r="C6" s="15" t="inlineStr">
        <is>
          <t xml:space="preserve">11 </t>
        </is>
      </c>
      <c r="D6" s="15" t="inlineStr">
        <is>
          <t xml:space="preserve"> '0011' </t>
        </is>
      </c>
      <c r="E6" s="15" t="inlineStr">
        <is>
          <t xml:space="preserve"> 'L&amp;F担当者' </t>
        </is>
      </c>
      <c r="F6" s="15" t="inlineStr">
        <is>
          <t xml:space="preserve"> 'P' </t>
        </is>
      </c>
      <c r="G6" s="15" t="inlineStr">
        <is>
          <t xml:space="preserve"> to_timestamp('2026/12/24 00:00:00' </t>
        </is>
      </c>
      <c r="H6" s="15" t="inlineStr">
        <is>
          <t xml:space="preserve"> 'yyyy/MM/dd hh24:mi:ss')</t>
        </is>
      </c>
      <c r="J6" s="17" t="inlineStr">
        <is>
          <t>11</t>
        </is>
      </c>
      <c r="K6" s="17" t="inlineStr">
        <is>
          <t>0011</t>
        </is>
      </c>
      <c r="L6" s="17" t="inlineStr">
        <is>
          <t>L&amp;F担当者</t>
        </is>
      </c>
      <c r="M6" s="17" t="inlineStr">
        <is>
          <t>P</t>
        </is>
      </c>
      <c r="N6" s="17" t="inlineStr">
        <is>
          <t>2026/12/24 00:00:00</t>
        </is>
      </c>
      <c r="P6" s="15" t="inlineStr">
        <is>
          <t>INSERT INTO</t>
        </is>
      </c>
      <c r="Q6" s="15" t="inlineStr">
        <is>
          <t>MST_PRF_TBL</t>
        </is>
      </c>
      <c r="R6" s="15" t="inlineStr">
        <is>
          <t>VALUES(</t>
        </is>
      </c>
      <c r="S6" s="15" t="inlineStr">
        <is>
          <t>11 , '0011' , 'L&amp;F担当者' , 'P' , to_timestamp('2026/12/24 00:00:00' , 'yyyy/MM/dd hh24:mi:ss')</t>
        </is>
      </c>
      <c r="T6" s="15" t="inlineStr">
        <is>
          <t>);</t>
        </is>
      </c>
      <c r="V6" s="18">
        <f>EXACT(TRIM(C6),J6&amp;"")</f>
        <v/>
      </c>
      <c r="W6" s="18">
        <f>EXACT(TRIM(D6),"'"&amp;K6&amp;"'")</f>
        <v/>
      </c>
      <c r="X6" s="18">
        <f>EXACT(TRIM(E6),"'"&amp;L6&amp;"'")</f>
        <v/>
      </c>
      <c r="Y6" s="18">
        <f>EXACT(TRIM(F6),"'"&amp;M6&amp;"'")</f>
        <v/>
      </c>
      <c r="Z6" s="18">
        <f>EXACT(TRIM(G6),"to_timestamp('"&amp;N6&amp;"'")</f>
        <v/>
      </c>
      <c r="AA6" s="18">
        <f>AND(V6:Z6)</f>
        <v/>
      </c>
      <c r="AB6" s="19">
        <f>TRIM(IF(V6,"",$V$3&amp;" ")&amp;IF(W6,"",$W$3&amp;" ")&amp;IF(X6,"",$X$3&amp;" ")&amp;IF(Y6,"",$Y$3&amp;" ")&amp;IF(Z6,"",$Z$3&amp;" "))</f>
        <v/>
      </c>
      <c r="AC6" s="18">
        <f>EXACT(SUBSTITUTE(A6," ",""),SUBSTITUTE(P6&amp;Q6&amp;R6&amp;S6&amp;T6," ",""))</f>
        <v/>
      </c>
    </row>
  </sheetData>
  <autoFilter ref="A3:AF6"/>
  <mergeCells count="9">
    <mergeCell ref="C2:H2"/>
    <mergeCell ref="AE2:AF2"/>
    <mergeCell ref="V1:AC1"/>
    <mergeCell ref="J2:N2"/>
    <mergeCell ref="AE1:AF1"/>
    <mergeCell ref="P2:T2"/>
    <mergeCell ref="V2:AB2"/>
    <mergeCell ref="J1:T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" customWidth="1" min="15" max="15"/>
    <col width="11" customWidth="1" min="16" max="16"/>
    <col width="11" customWidth="1" min="17" max="17"/>
    <col width="11" customWidth="1" min="18" max="18"/>
    <col width="62" customWidth="1" min="19" max="19"/>
    <col width="11" customWidth="1" min="20" max="20"/>
    <col width="2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24" customWidth="1" min="28" max="28"/>
    <col width="11" customWidth="1" min="29" max="29"/>
    <col width="2" customWidth="1" min="30" max="30"/>
    <col width="8" customWidth="1" min="31" max="31"/>
    <col width="30" customWidth="1" min="32" max="32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3" t="n"/>
      <c r="J1" s="4" t="inlineStr">
        <is>
          <t>②③ マスタ定義書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5" t="inlineStr">
        <is>
          <t>突合</t>
        </is>
      </c>
      <c r="W1" s="2" t="n"/>
      <c r="X1" s="2" t="n"/>
      <c r="Y1" s="2" t="n"/>
      <c r="Z1" s="2" t="n"/>
      <c r="AA1" s="2" t="n"/>
      <c r="AB1" s="2" t="n"/>
      <c r="AC1" s="3" t="n"/>
      <c r="AE1" s="6" t="inlineStr">
        <is>
          <t>確認結果（記入欄）</t>
        </is>
      </c>
      <c r="AF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3" t="n"/>
      <c r="J2" s="4" t="inlineStr">
        <is>
          <t>横浜銀行様用出荷設定</t>
        </is>
      </c>
      <c r="K2" s="2" t="n"/>
      <c r="L2" s="2" t="n"/>
      <c r="M2" s="2" t="n"/>
      <c r="N2" s="3" t="n"/>
      <c r="P2" s="8" t="inlineStr">
        <is>
          <t>SQL</t>
        </is>
      </c>
      <c r="Q2" s="2" t="n"/>
      <c r="R2" s="2" t="n"/>
      <c r="S2" s="2" t="n"/>
      <c r="T2" s="3" t="n"/>
      <c r="V2" s="5" t="inlineStr">
        <is>
          <t>①②の突合（項目ごと）</t>
        </is>
      </c>
      <c r="W2" s="2" t="n"/>
      <c r="X2" s="2" t="n"/>
      <c r="Y2" s="2" t="n"/>
      <c r="Z2" s="2" t="n"/>
      <c r="AA2" s="2" t="n"/>
      <c r="AB2" s="3" t="n"/>
      <c r="AC2" s="5" t="inlineStr">
        <is>
          <t>①③の突合</t>
        </is>
      </c>
      <c r="AE2" s="6" t="inlineStr">
        <is>
          <t>確認結果</t>
        </is>
      </c>
      <c r="AF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J3" s="11" t="inlineStr">
        <is>
          <t>UNIT_ID</t>
        </is>
      </c>
      <c r="K3" s="11" t="inlineStr">
        <is>
          <t>UNIT_CODE</t>
        </is>
      </c>
      <c r="L3" s="11" t="inlineStr">
        <is>
          <t>UNIT_NAME</t>
        </is>
      </c>
      <c r="M3" s="11" t="inlineStr">
        <is>
          <t>IS_INVALID</t>
        </is>
      </c>
      <c r="N3" s="11" t="inlineStr">
        <is>
          <t>LAST_UPDATE_DATE</t>
        </is>
      </c>
      <c r="P3" s="12" t="inlineStr">
        <is>
          <t>固定</t>
        </is>
      </c>
      <c r="Q3" s="12" t="inlineStr">
        <is>
          <t>固定</t>
        </is>
      </c>
      <c r="R3" s="12" t="inlineStr">
        <is>
          <t>固定</t>
        </is>
      </c>
      <c r="S3" s="12" t="inlineStr">
        <is>
          <t>数式</t>
        </is>
      </c>
      <c r="T3" s="12" t="inlineStr">
        <is>
          <t>固定</t>
        </is>
      </c>
      <c r="V3" s="13" t="inlineStr">
        <is>
          <t>UNIT_ID</t>
        </is>
      </c>
      <c r="W3" s="13" t="inlineStr">
        <is>
          <t>UNIT_CODE</t>
        </is>
      </c>
      <c r="X3" s="13" t="inlineStr">
        <is>
          <t>UNIT_NAME</t>
        </is>
      </c>
      <c r="Y3" s="13" t="inlineStr">
        <is>
          <t>IS_INVALID</t>
        </is>
      </c>
      <c r="Z3" s="13" t="inlineStr">
        <is>
          <t>LAST_UPDATE_DATE</t>
        </is>
      </c>
      <c r="AA3" s="13" t="inlineStr">
        <is>
          <t>全項目一致</t>
        </is>
      </c>
      <c r="AB3" s="13" t="inlineStr">
        <is>
          <t>相違した項目</t>
        </is>
      </c>
      <c r="AC3" s="13" t="inlineStr">
        <is>
          <t>SQL文一致</t>
        </is>
      </c>
      <c r="AE3" s="14" t="inlineStr">
        <is>
          <t>判定</t>
        </is>
      </c>
      <c r="AF3" s="14" t="inlineStr">
        <is>
          <t>備考</t>
        </is>
      </c>
    </row>
    <row r="4">
      <c r="A4" s="15" t="inlineStr">
        <is>
          <t>INSERT INTO MST_UNIT_TBL VALUES(578 , 'LF001' , '一括照合用' , 'N' , to_timestamp('2026/12/24 00:00:00' , 'yyyy/MM/dd hh24:mi:ss'));</t>
        </is>
      </c>
      <c r="B4" s="16" t="n"/>
      <c r="C4" s="15" t="inlineStr">
        <is>
          <t xml:space="preserve">578 </t>
        </is>
      </c>
      <c r="D4" s="15" t="inlineStr">
        <is>
          <t xml:space="preserve"> 'LF001' </t>
        </is>
      </c>
      <c r="E4" s="15" t="inlineStr">
        <is>
          <t xml:space="preserve"> '一括照合用' </t>
        </is>
      </c>
      <c r="F4" s="15" t="inlineStr">
        <is>
          <t xml:space="preserve"> 'N' </t>
        </is>
      </c>
      <c r="G4" s="15" t="inlineStr">
        <is>
          <t xml:space="preserve"> to_timestamp('2026/12/24 00:00:00' </t>
        </is>
      </c>
      <c r="H4" s="15" t="inlineStr">
        <is>
          <t xml:space="preserve"> 'yyyy/MM/dd hh24:mi:ss')</t>
        </is>
      </c>
      <c r="J4" s="17" t="inlineStr">
        <is>
          <t>578</t>
        </is>
      </c>
      <c r="K4" s="17" t="inlineStr">
        <is>
          <t>LF001</t>
        </is>
      </c>
      <c r="L4" s="17" t="inlineStr">
        <is>
          <t>一括照合用</t>
        </is>
      </c>
      <c r="M4" s="17" t="inlineStr">
        <is>
          <t>N</t>
        </is>
      </c>
      <c r="N4" s="17" t="inlineStr">
        <is>
          <t>2026/12/24 00:00:00</t>
        </is>
      </c>
      <c r="P4" s="15" t="inlineStr">
        <is>
          <t>INSERT INTO</t>
        </is>
      </c>
      <c r="Q4" s="15" t="inlineStr">
        <is>
          <t>MST_UNIT_TBL</t>
        </is>
      </c>
      <c r="R4" s="15" t="inlineStr">
        <is>
          <t>VALUES(</t>
        </is>
      </c>
      <c r="S4" s="15" t="inlineStr">
        <is>
          <t>578 , 'LF001' , '一括照合用' , 'N' , to_timestamp('2026/12/24 00:00:00' , 'yyyy/MM/dd hh24:mi:ss')</t>
        </is>
      </c>
      <c r="T4" s="15" t="inlineStr">
        <is>
          <t>);</t>
        </is>
      </c>
      <c r="V4" s="18">
        <f>EXACT(TRIM(C4),J4&amp;"")</f>
        <v/>
      </c>
      <c r="W4" s="18">
        <f>EXACT(TRIM(D4),"'"&amp;K4&amp;"'")</f>
        <v/>
      </c>
      <c r="X4" s="18">
        <f>EXACT(TRIM(E4),"'"&amp;L4&amp;"'")</f>
        <v/>
      </c>
      <c r="Y4" s="18">
        <f>EXACT(TRIM(F4),"'"&amp;M4&amp;"'")</f>
        <v/>
      </c>
      <c r="Z4" s="18">
        <f>EXACT(TRIM(G4),"to_timestamp('"&amp;N4&amp;"'")</f>
        <v/>
      </c>
      <c r="AA4" s="18">
        <f>AND(V4:Z4)</f>
        <v/>
      </c>
      <c r="AB4" s="19">
        <f>TRIM(IF(V4,"",$V$3&amp;" ")&amp;IF(W4,"",$W$3&amp;" ")&amp;IF(X4,"",$X$3&amp;" ")&amp;IF(Y4,"",$Y$3&amp;" ")&amp;IF(Z4,"",$Z$3&amp;" "))</f>
        <v/>
      </c>
      <c r="AC4" s="18">
        <f>EXACT(SUBSTITUTE(A4," ",""),SUBSTITUTE(P4&amp;Q4&amp;R4&amp;S4&amp;T4," ",""))</f>
        <v/>
      </c>
    </row>
    <row r="5">
      <c r="A5" s="15" t="inlineStr">
        <is>
          <t>INSERT INTO MST_UNIT_TBL VALUES(579 , 'LF002' , '監査部' , 'N' , to_timestamp('2026/12/24 00:00:00' , 'yyyy/MM/dd hh24:mi:ss'));</t>
        </is>
      </c>
      <c r="B5" s="16" t="n"/>
      <c r="C5" s="15" t="inlineStr">
        <is>
          <t xml:space="preserve">579 </t>
        </is>
      </c>
      <c r="D5" s="15" t="inlineStr">
        <is>
          <t xml:space="preserve"> 'LF002' </t>
        </is>
      </c>
      <c r="E5" s="15" t="inlineStr">
        <is>
          <t xml:space="preserve"> '監査部' </t>
        </is>
      </c>
      <c r="F5" s="15" t="inlineStr">
        <is>
          <t xml:space="preserve"> 'N' </t>
        </is>
      </c>
      <c r="G5" s="15" t="inlineStr">
        <is>
          <t xml:space="preserve"> to_timestamp('2026/12/24 00:00:00' </t>
        </is>
      </c>
      <c r="H5" s="15" t="inlineStr">
        <is>
          <t xml:space="preserve"> 'yyyy/MM/dd hh24:mi:ss')</t>
        </is>
      </c>
      <c r="J5" s="17" t="inlineStr">
        <is>
          <t>579</t>
        </is>
      </c>
      <c r="K5" s="17" t="inlineStr">
        <is>
          <t>LF002</t>
        </is>
      </c>
      <c r="L5" s="17" t="inlineStr">
        <is>
          <t>監査部</t>
        </is>
      </c>
      <c r="M5" s="17" t="inlineStr">
        <is>
          <t>N</t>
        </is>
      </c>
      <c r="N5" s="17" t="inlineStr">
        <is>
          <t>2026/12/24 00:00:00</t>
        </is>
      </c>
      <c r="P5" s="15" t="inlineStr">
        <is>
          <t>INSERT INTO</t>
        </is>
      </c>
      <c r="Q5" s="15" t="inlineStr">
        <is>
          <t>MST_UNIT_TBL</t>
        </is>
      </c>
      <c r="R5" s="15" t="inlineStr">
        <is>
          <t>VALUES(</t>
        </is>
      </c>
      <c r="S5" s="15" t="inlineStr">
        <is>
          <t>579 , 'LF002' , '監査部' , 'N' , to_timestamp('2026/12/24 00:00:00' , 'yyyy/MM/dd hh24:mi:ss')</t>
        </is>
      </c>
      <c r="T5" s="15" t="inlineStr">
        <is>
          <t>);</t>
        </is>
      </c>
      <c r="V5" s="18">
        <f>EXACT(TRIM(C5),J5&amp;"")</f>
        <v/>
      </c>
      <c r="W5" s="18">
        <f>EXACT(TRIM(D5),"'"&amp;K5&amp;"'")</f>
        <v/>
      </c>
      <c r="X5" s="18">
        <f>EXACT(TRIM(E5),"'"&amp;L5&amp;"'")</f>
        <v/>
      </c>
      <c r="Y5" s="18">
        <f>EXACT(TRIM(F5),"'"&amp;M5&amp;"'")</f>
        <v/>
      </c>
      <c r="Z5" s="18">
        <f>EXACT(TRIM(G5),"to_timestamp('"&amp;N5&amp;"'")</f>
        <v/>
      </c>
      <c r="AA5" s="18">
        <f>AND(V5:Z5)</f>
        <v/>
      </c>
      <c r="AB5" s="19">
        <f>TRIM(IF(V5,"",$V$3&amp;" ")&amp;IF(W5,"",$W$3&amp;" ")&amp;IF(X5,"",$X$3&amp;" ")&amp;IF(Y5,"",$Y$3&amp;" ")&amp;IF(Z5,"",$Z$3&amp;" "))</f>
        <v/>
      </c>
      <c r="AC5" s="18">
        <f>EXACT(SUBSTITUTE(A5," ",""),SUBSTITUTE(P5&amp;Q5&amp;R5&amp;S5&amp;T5," ",""))</f>
        <v/>
      </c>
    </row>
    <row r="6">
      <c r="A6" s="15" t="inlineStr">
        <is>
          <t>INSERT INTO MST_UNIT_TBL VALUES(580 , 'LF003' , '経営企画部' , 'N' , to_timestamp('2026/12/24 00:00:00' , 'yyyy/MM/dd hh24:mi:ss'));</t>
        </is>
      </c>
      <c r="B6" s="16" t="n"/>
      <c r="C6" s="15" t="inlineStr">
        <is>
          <t xml:space="preserve">580 </t>
        </is>
      </c>
      <c r="D6" s="15" t="inlineStr">
        <is>
          <t xml:space="preserve"> 'LF003' </t>
        </is>
      </c>
      <c r="E6" s="15" t="inlineStr">
        <is>
          <t xml:space="preserve"> '経営企画部' </t>
        </is>
      </c>
      <c r="F6" s="15" t="inlineStr">
        <is>
          <t xml:space="preserve"> 'N' </t>
        </is>
      </c>
      <c r="G6" s="15" t="inlineStr">
        <is>
          <t xml:space="preserve"> to_timestamp('2026/12/24 00:00:00' </t>
        </is>
      </c>
      <c r="H6" s="15" t="inlineStr">
        <is>
          <t xml:space="preserve"> 'yyyy/MM/dd hh24:mi:ss')</t>
        </is>
      </c>
      <c r="J6" s="17" t="inlineStr">
        <is>
          <t>580</t>
        </is>
      </c>
      <c r="K6" s="17" t="inlineStr">
        <is>
          <t>LF003</t>
        </is>
      </c>
      <c r="L6" s="17" t="inlineStr">
        <is>
          <t>経営企画部</t>
        </is>
      </c>
      <c r="M6" s="17" t="inlineStr">
        <is>
          <t>N</t>
        </is>
      </c>
      <c r="N6" s="17" t="inlineStr">
        <is>
          <t>2026/12/24 00:00:00</t>
        </is>
      </c>
      <c r="P6" s="15" t="inlineStr">
        <is>
          <t>INSERT INTO</t>
        </is>
      </c>
      <c r="Q6" s="15" t="inlineStr">
        <is>
          <t>MST_UNIT_TBL</t>
        </is>
      </c>
      <c r="R6" s="15" t="inlineStr">
        <is>
          <t>VALUES(</t>
        </is>
      </c>
      <c r="S6" s="15" t="inlineStr">
        <is>
          <t>580 , 'LF003' , '経営企画部' , 'N' , to_timestamp('2026/12/24 00:00:00' , 'yyyy/MM/dd hh24:mi:ss')</t>
        </is>
      </c>
      <c r="T6" s="15" t="inlineStr">
        <is>
          <t>);</t>
        </is>
      </c>
      <c r="V6" s="18">
        <f>EXACT(TRIM(C6),J6&amp;"")</f>
        <v/>
      </c>
      <c r="W6" s="18">
        <f>EXACT(TRIM(D6),"'"&amp;K6&amp;"'")</f>
        <v/>
      </c>
      <c r="X6" s="18">
        <f>EXACT(TRIM(E6),"'"&amp;L6&amp;"'")</f>
        <v/>
      </c>
      <c r="Y6" s="18">
        <f>EXACT(TRIM(F6),"'"&amp;M6&amp;"'")</f>
        <v/>
      </c>
      <c r="Z6" s="18">
        <f>EXACT(TRIM(G6),"to_timestamp('"&amp;N6&amp;"'")</f>
        <v/>
      </c>
      <c r="AA6" s="18">
        <f>AND(V6:Z6)</f>
        <v/>
      </c>
      <c r="AB6" s="19">
        <f>TRIM(IF(V6,"",$V$3&amp;" ")&amp;IF(W6,"",$W$3&amp;" ")&amp;IF(X6,"",$X$3&amp;" ")&amp;IF(Y6,"",$Y$3&amp;" ")&amp;IF(Z6,"",$Z$3&amp;" "))</f>
        <v/>
      </c>
      <c r="AC6" s="18">
        <f>EXACT(SUBSTITUTE(A6," ",""),SUBSTITUTE(P6&amp;Q6&amp;R6&amp;S6&amp;T6," ",""))</f>
        <v/>
      </c>
    </row>
    <row r="7">
      <c r="A7" s="15" t="inlineStr">
        <is>
          <t>INSERT INTO MST_UNIT_TBL VALUES(581 , 'LF004' , '業務改革室' , 'N' , to_timestamp('2026/12/24 00:00:00' , 'yyyy/MM/dd hh24:mi:ss'));</t>
        </is>
      </c>
      <c r="B7" s="16" t="n"/>
      <c r="C7" s="15" t="inlineStr">
        <is>
          <t xml:space="preserve">581 </t>
        </is>
      </c>
      <c r="D7" s="15" t="inlineStr">
        <is>
          <t xml:space="preserve"> 'LF004' </t>
        </is>
      </c>
      <c r="E7" s="15" t="inlineStr">
        <is>
          <t xml:space="preserve"> '業務改革室' </t>
        </is>
      </c>
      <c r="F7" s="15" t="inlineStr">
        <is>
          <t xml:space="preserve"> 'N' </t>
        </is>
      </c>
      <c r="G7" s="15" t="inlineStr">
        <is>
          <t xml:space="preserve"> to_timestamp('2026/12/24 00:00:00' </t>
        </is>
      </c>
      <c r="H7" s="15" t="inlineStr">
        <is>
          <t xml:space="preserve"> 'yyyy/MM/dd hh24:mi:ss')</t>
        </is>
      </c>
      <c r="J7" s="17" t="inlineStr">
        <is>
          <t>581</t>
        </is>
      </c>
      <c r="K7" s="17" t="inlineStr">
        <is>
          <t>LF004</t>
        </is>
      </c>
      <c r="L7" s="17" t="inlineStr">
        <is>
          <t>業務改革室</t>
        </is>
      </c>
      <c r="M7" s="17" t="inlineStr">
        <is>
          <t>N</t>
        </is>
      </c>
      <c r="N7" s="17" t="inlineStr">
        <is>
          <t>2026/12/24 00:00:00</t>
        </is>
      </c>
      <c r="P7" s="15" t="inlineStr">
        <is>
          <t>INSERT INTO</t>
        </is>
      </c>
      <c r="Q7" s="15" t="inlineStr">
        <is>
          <t>MST_UNIT_TBL</t>
        </is>
      </c>
      <c r="R7" s="15" t="inlineStr">
        <is>
          <t>VALUES(</t>
        </is>
      </c>
      <c r="S7" s="15" t="inlineStr">
        <is>
          <t>581 , 'LF004' , '業務改革室' , 'N' , to_timestamp('2026/12/24 00:00:00' , 'yyyy/MM/dd hh24:mi:ss')</t>
        </is>
      </c>
      <c r="T7" s="15" t="inlineStr">
        <is>
          <t>);</t>
        </is>
      </c>
      <c r="V7" s="18">
        <f>EXACT(TRIM(C7),J7&amp;"")</f>
        <v/>
      </c>
      <c r="W7" s="18">
        <f>EXACT(TRIM(D7),"'"&amp;K7&amp;"'")</f>
        <v/>
      </c>
      <c r="X7" s="18">
        <f>EXACT(TRIM(E7),"'"&amp;L7&amp;"'")</f>
        <v/>
      </c>
      <c r="Y7" s="18">
        <f>EXACT(TRIM(F7),"'"&amp;M7&amp;"'")</f>
        <v/>
      </c>
      <c r="Z7" s="18">
        <f>EXACT(TRIM(G7),"to_timestamp('"&amp;N7&amp;"'")</f>
        <v/>
      </c>
      <c r="AA7" s="18">
        <f>AND(V7:Z7)</f>
        <v/>
      </c>
      <c r="AB7" s="19">
        <f>TRIM(IF(V7,"",$V$3&amp;" ")&amp;IF(W7,"",$W$3&amp;" ")&amp;IF(X7,"",$X$3&amp;" ")&amp;IF(Y7,"",$Y$3&amp;" ")&amp;IF(Z7,"",$Z$3&amp;" "))</f>
        <v/>
      </c>
      <c r="AC7" s="18">
        <f>EXACT(SUBSTITUTE(A7," ",""),SUBSTITUTE(P7&amp;Q7&amp;R7&amp;S7&amp;T7," ",""))</f>
        <v/>
      </c>
    </row>
    <row r="8">
      <c r="A8" s="15" t="inlineStr">
        <is>
          <t>INSERT INTO MST_UNIT_TBL VALUES(582 , 'LF005' , '人財部' , 'N' , to_timestamp('2026/12/24 00:00:00' , 'yyyy/MM/dd hh24:mi:ss'));</t>
        </is>
      </c>
      <c r="B8" s="16" t="n"/>
      <c r="C8" s="15" t="inlineStr">
        <is>
          <t xml:space="preserve">582 </t>
        </is>
      </c>
      <c r="D8" s="15" t="inlineStr">
        <is>
          <t xml:space="preserve"> 'LF005' </t>
        </is>
      </c>
      <c r="E8" s="15" t="inlineStr">
        <is>
          <t xml:space="preserve"> '人財部' </t>
        </is>
      </c>
      <c r="F8" s="15" t="inlineStr">
        <is>
          <t xml:space="preserve"> 'N' </t>
        </is>
      </c>
      <c r="G8" s="15" t="inlineStr">
        <is>
          <t xml:space="preserve"> to_timestamp('2026/12/24 00:00:00' </t>
        </is>
      </c>
      <c r="H8" s="15" t="inlineStr">
        <is>
          <t xml:space="preserve"> 'yyyy/MM/dd hh24:mi:ss')</t>
        </is>
      </c>
      <c r="J8" s="17" t="inlineStr">
        <is>
          <t>582</t>
        </is>
      </c>
      <c r="K8" s="17" t="inlineStr">
        <is>
          <t>LF005</t>
        </is>
      </c>
      <c r="L8" s="17" t="inlineStr">
        <is>
          <t>人財部</t>
        </is>
      </c>
      <c r="M8" s="17" t="inlineStr">
        <is>
          <t>N</t>
        </is>
      </c>
      <c r="N8" s="17" t="inlineStr">
        <is>
          <t>2026/12/24 00:00:00</t>
        </is>
      </c>
      <c r="P8" s="15" t="inlineStr">
        <is>
          <t>INSERT INTO</t>
        </is>
      </c>
      <c r="Q8" s="15" t="inlineStr">
        <is>
          <t>MST_UNIT_TBL</t>
        </is>
      </c>
      <c r="R8" s="15" t="inlineStr">
        <is>
          <t>VALUES(</t>
        </is>
      </c>
      <c r="S8" s="15" t="inlineStr">
        <is>
          <t>582 , 'LF005' , '人財部' , 'N' , to_timestamp('2026/12/24 00:00:00' , 'yyyy/MM/dd hh24:mi:ss')</t>
        </is>
      </c>
      <c r="T8" s="15" t="inlineStr">
        <is>
          <t>);</t>
        </is>
      </c>
      <c r="V8" s="18">
        <f>EXACT(TRIM(C8),J8&amp;"")</f>
        <v/>
      </c>
      <c r="W8" s="18">
        <f>EXACT(TRIM(D8),"'"&amp;K8&amp;"'")</f>
        <v/>
      </c>
      <c r="X8" s="18">
        <f>EXACT(TRIM(E8),"'"&amp;L8&amp;"'")</f>
        <v/>
      </c>
      <c r="Y8" s="18">
        <f>EXACT(TRIM(F8),"'"&amp;M8&amp;"'")</f>
        <v/>
      </c>
      <c r="Z8" s="18">
        <f>EXACT(TRIM(G8),"to_timestamp('"&amp;N8&amp;"'")</f>
        <v/>
      </c>
      <c r="AA8" s="18">
        <f>AND(V8:Z8)</f>
        <v/>
      </c>
      <c r="AB8" s="19">
        <f>TRIM(IF(V8,"",$V$3&amp;" ")&amp;IF(W8,"",$W$3&amp;" ")&amp;IF(X8,"",$X$3&amp;" ")&amp;IF(Y8,"",$Y$3&amp;" ")&amp;IF(Z8,"",$Z$3&amp;" "))</f>
        <v/>
      </c>
      <c r="AC8" s="18">
        <f>EXACT(SUBSTITUTE(A8," ",""),SUBSTITUTE(P8&amp;Q8&amp;R8&amp;S8&amp;T8," ",""))</f>
        <v/>
      </c>
    </row>
    <row r="9">
      <c r="A9" s="15" t="inlineStr">
        <is>
          <t>INSERT INTO MST_UNIT_TBL VALUES(583 , 'LF006' , 'リスク管理部' , 'N' , to_timestamp('2026/12/24 00:00:00' , 'yyyy/MM/dd hh24:mi:ss'));</t>
        </is>
      </c>
      <c r="B9" s="16" t="n"/>
      <c r="C9" s="15" t="inlineStr">
        <is>
          <t xml:space="preserve">583 </t>
        </is>
      </c>
      <c r="D9" s="15" t="inlineStr">
        <is>
          <t xml:space="preserve"> 'LF006' </t>
        </is>
      </c>
      <c r="E9" s="15" t="inlineStr">
        <is>
          <t xml:space="preserve"> 'リスク管理部' </t>
        </is>
      </c>
      <c r="F9" s="15" t="inlineStr">
        <is>
          <t xml:space="preserve"> 'N' </t>
        </is>
      </c>
      <c r="G9" s="15" t="inlineStr">
        <is>
          <t xml:space="preserve"> to_timestamp('2026/12/24 00:00:00' </t>
        </is>
      </c>
      <c r="H9" s="15" t="inlineStr">
        <is>
          <t xml:space="preserve"> 'yyyy/MM/dd hh24:mi:ss')</t>
        </is>
      </c>
      <c r="J9" s="17" t="inlineStr">
        <is>
          <t>583</t>
        </is>
      </c>
      <c r="K9" s="17" t="inlineStr">
        <is>
          <t>LF006</t>
        </is>
      </c>
      <c r="L9" s="17" t="inlineStr">
        <is>
          <t>リスク管理部</t>
        </is>
      </c>
      <c r="M9" s="17" t="inlineStr">
        <is>
          <t>N</t>
        </is>
      </c>
      <c r="N9" s="17" t="inlineStr">
        <is>
          <t>2026/12/24 00:00:00</t>
        </is>
      </c>
      <c r="P9" s="15" t="inlineStr">
        <is>
          <t>INSERT INTO</t>
        </is>
      </c>
      <c r="Q9" s="15" t="inlineStr">
        <is>
          <t>MST_UNIT_TBL</t>
        </is>
      </c>
      <c r="R9" s="15" t="inlineStr">
        <is>
          <t>VALUES(</t>
        </is>
      </c>
      <c r="S9" s="15" t="inlineStr">
        <is>
          <t>583 , 'LF006' , 'リスク管理部' , 'N' , to_timestamp('2026/12/24 00:00:00' , 'yyyy/MM/dd hh24:mi:ss')</t>
        </is>
      </c>
      <c r="T9" s="15" t="inlineStr">
        <is>
          <t>);</t>
        </is>
      </c>
      <c r="V9" s="18">
        <f>EXACT(TRIM(C9),J9&amp;"")</f>
        <v/>
      </c>
      <c r="W9" s="18">
        <f>EXACT(TRIM(D9),"'"&amp;K9&amp;"'")</f>
        <v/>
      </c>
      <c r="X9" s="18">
        <f>EXACT(TRIM(E9),"'"&amp;L9&amp;"'")</f>
        <v/>
      </c>
      <c r="Y9" s="18">
        <f>EXACT(TRIM(F9),"'"&amp;M9&amp;"'")</f>
        <v/>
      </c>
      <c r="Z9" s="18">
        <f>EXACT(TRIM(G9),"to_timestamp('"&amp;N9&amp;"'")</f>
        <v/>
      </c>
      <c r="AA9" s="18">
        <f>AND(V9:Z9)</f>
        <v/>
      </c>
      <c r="AB9" s="19">
        <f>TRIM(IF(V9,"",$V$3&amp;" ")&amp;IF(W9,"",$W$3&amp;" ")&amp;IF(X9,"",$X$3&amp;" ")&amp;IF(Y9,"",$Y$3&amp;" ")&amp;IF(Z9,"",$Z$3&amp;" "))</f>
        <v/>
      </c>
      <c r="AC9" s="18">
        <f>EXACT(SUBSTITUTE(A9," ",""),SUBSTITUTE(P9&amp;Q9&amp;R9&amp;S9&amp;T9," ",""))</f>
        <v/>
      </c>
    </row>
    <row r="10">
      <c r="A10" s="15" t="inlineStr">
        <is>
          <t>INSERT INTO MST_UNIT_TBL VALUES(584 , 'LF007' , '財務経理部' , 'N' , to_timestamp('2026/12/24 00:00:00' , 'yyyy/MM/dd hh24:mi:ss'));</t>
        </is>
      </c>
      <c r="B10" s="16" t="n"/>
      <c r="C10" s="15" t="inlineStr">
        <is>
          <t xml:space="preserve">584 </t>
        </is>
      </c>
      <c r="D10" s="15" t="inlineStr">
        <is>
          <t xml:space="preserve"> 'LF007' </t>
        </is>
      </c>
      <c r="E10" s="15" t="inlineStr">
        <is>
          <t xml:space="preserve"> '財務経理部' </t>
        </is>
      </c>
      <c r="F10" s="15" t="inlineStr">
        <is>
          <t xml:space="preserve"> 'N' </t>
        </is>
      </c>
      <c r="G10" s="15" t="inlineStr">
        <is>
          <t xml:space="preserve"> to_timestamp('2026/12/24 00:00:00' </t>
        </is>
      </c>
      <c r="H10" s="15" t="inlineStr">
        <is>
          <t xml:space="preserve"> 'yyyy/MM/dd hh24:mi:ss')</t>
        </is>
      </c>
      <c r="J10" s="17" t="inlineStr">
        <is>
          <t>584</t>
        </is>
      </c>
      <c r="K10" s="17" t="inlineStr">
        <is>
          <t>LF007</t>
        </is>
      </c>
      <c r="L10" s="17" t="inlineStr">
        <is>
          <t>財務経理部</t>
        </is>
      </c>
      <c r="M10" s="17" t="inlineStr">
        <is>
          <t>N</t>
        </is>
      </c>
      <c r="N10" s="17" t="inlineStr">
        <is>
          <t>2026/12/24 00:00:00</t>
        </is>
      </c>
      <c r="P10" s="15" t="inlineStr">
        <is>
          <t>INSERT INTO</t>
        </is>
      </c>
      <c r="Q10" s="15" t="inlineStr">
        <is>
          <t>MST_UNIT_TBL</t>
        </is>
      </c>
      <c r="R10" s="15" t="inlineStr">
        <is>
          <t>VALUES(</t>
        </is>
      </c>
      <c r="S10" s="15" t="inlineStr">
        <is>
          <t>584 , 'LF007' , '財務経理部' , 'N' , to_timestamp('2026/12/24 00:00:00' , 'yyyy/MM/dd hh24:mi:ss')</t>
        </is>
      </c>
      <c r="T10" s="15" t="inlineStr">
        <is>
          <t>);</t>
        </is>
      </c>
      <c r="V10" s="18">
        <f>EXACT(TRIM(C10),J10&amp;"")</f>
        <v/>
      </c>
      <c r="W10" s="18">
        <f>EXACT(TRIM(D10),"'"&amp;K10&amp;"'")</f>
        <v/>
      </c>
      <c r="X10" s="18">
        <f>EXACT(TRIM(E10),"'"&amp;L10&amp;"'")</f>
        <v/>
      </c>
      <c r="Y10" s="18">
        <f>EXACT(TRIM(F10),"'"&amp;M10&amp;"'")</f>
        <v/>
      </c>
      <c r="Z10" s="18">
        <f>EXACT(TRIM(G10),"to_timestamp('"&amp;N10&amp;"'")</f>
        <v/>
      </c>
      <c r="AA10" s="18">
        <f>AND(V10:Z10)</f>
        <v/>
      </c>
      <c r="AB10" s="19">
        <f>TRIM(IF(V10,"",$V$3&amp;" ")&amp;IF(W10,"",$W$3&amp;" ")&amp;IF(X10,"",$X$3&amp;" ")&amp;IF(Y10,"",$Y$3&amp;" ")&amp;IF(Z10,"",$Z$3&amp;" "))</f>
        <v/>
      </c>
      <c r="AC10" s="18">
        <f>EXACT(SUBSTITUTE(A10," ",""),SUBSTITUTE(P10&amp;Q10&amp;R10&amp;S10&amp;T10," ",""))</f>
        <v/>
      </c>
    </row>
    <row r="11">
      <c r="A11" s="15" t="inlineStr">
        <is>
          <t>INSERT INTO MST_UNIT_TBL VALUES(585 , 'LF008' , 'ＩＴソリューション部' , 'N' , to_timestamp('2026/12/24 00:00:00' , 'yyyy/MM/dd hh24:mi:ss'));</t>
        </is>
      </c>
      <c r="B11" s="16" t="n"/>
      <c r="C11" s="15" t="inlineStr">
        <is>
          <t xml:space="preserve">585 </t>
        </is>
      </c>
      <c r="D11" s="15" t="inlineStr">
        <is>
          <t xml:space="preserve"> 'LF008' </t>
        </is>
      </c>
      <c r="E11" s="15" t="inlineStr">
        <is>
          <t xml:space="preserve"> 'ＩＴソリューション部' </t>
        </is>
      </c>
      <c r="F11" s="15" t="inlineStr">
        <is>
          <t xml:space="preserve"> 'N' </t>
        </is>
      </c>
      <c r="G11" s="15" t="inlineStr">
        <is>
          <t xml:space="preserve"> to_timestamp('2026/12/24 00:00:00' </t>
        </is>
      </c>
      <c r="H11" s="15" t="inlineStr">
        <is>
          <t xml:space="preserve"> 'yyyy/MM/dd hh24:mi:ss')</t>
        </is>
      </c>
      <c r="J11" s="17" t="inlineStr">
        <is>
          <t>585</t>
        </is>
      </c>
      <c r="K11" s="17" t="inlineStr">
        <is>
          <t>LF008</t>
        </is>
      </c>
      <c r="L11" s="17" t="inlineStr">
        <is>
          <t>ＩＴソリューション部</t>
        </is>
      </c>
      <c r="M11" s="17" t="inlineStr">
        <is>
          <t>N</t>
        </is>
      </c>
      <c r="N11" s="17" t="inlineStr">
        <is>
          <t>2026/12/24 00:00:00</t>
        </is>
      </c>
      <c r="P11" s="15" t="inlineStr">
        <is>
          <t>INSERT INTO</t>
        </is>
      </c>
      <c r="Q11" s="15" t="inlineStr">
        <is>
          <t>MST_UNIT_TBL</t>
        </is>
      </c>
      <c r="R11" s="15" t="inlineStr">
        <is>
          <t>VALUES(</t>
        </is>
      </c>
      <c r="S11" s="15" t="inlineStr">
        <is>
          <t>585 , 'LF008' , 'ＩＴソリューション部' , 'N' , to_timestamp('2026/12/24 00:00:00' , 'yyyy/MM/dd hh24:mi:ss')</t>
        </is>
      </c>
      <c r="T11" s="15" t="inlineStr">
        <is>
          <t>);</t>
        </is>
      </c>
      <c r="V11" s="18">
        <f>EXACT(TRIM(C11),J11&amp;"")</f>
        <v/>
      </c>
      <c r="W11" s="18">
        <f>EXACT(TRIM(D11),"'"&amp;K11&amp;"'")</f>
        <v/>
      </c>
      <c r="X11" s="18">
        <f>EXACT(TRIM(E11),"'"&amp;L11&amp;"'")</f>
        <v/>
      </c>
      <c r="Y11" s="18">
        <f>EXACT(TRIM(F11),"'"&amp;M11&amp;"'")</f>
        <v/>
      </c>
      <c r="Z11" s="18">
        <f>EXACT(TRIM(G11),"to_timestamp('"&amp;N11&amp;"'")</f>
        <v/>
      </c>
      <c r="AA11" s="18">
        <f>AND(V11:Z11)</f>
        <v/>
      </c>
      <c r="AB11" s="19">
        <f>TRIM(IF(V11,"",$V$3&amp;" ")&amp;IF(W11,"",$W$3&amp;" ")&amp;IF(X11,"",$X$3&amp;" ")&amp;IF(Y11,"",$Y$3&amp;" ")&amp;IF(Z11,"",$Z$3&amp;" "))</f>
        <v/>
      </c>
      <c r="AC11" s="18">
        <f>EXACT(SUBSTITUTE(A11," ",""),SUBSTITUTE(P11&amp;Q11&amp;R11&amp;S11&amp;T11," ",""))</f>
        <v/>
      </c>
    </row>
    <row r="12">
      <c r="A12" s="15" t="inlineStr">
        <is>
          <t>INSERT INTO MST_UNIT_TBL VALUES(586 , 'LF009' , '営業戦略部' , 'N' , to_timestamp('2026/12/24 00:00:00' , 'yyyy/MM/dd hh24:mi:ss'));</t>
        </is>
      </c>
      <c r="B12" s="16" t="n"/>
      <c r="C12" s="15" t="inlineStr">
        <is>
          <t xml:space="preserve">586 </t>
        </is>
      </c>
      <c r="D12" s="15" t="inlineStr">
        <is>
          <t xml:space="preserve"> 'LF009' </t>
        </is>
      </c>
      <c r="E12" s="15" t="inlineStr">
        <is>
          <t xml:space="preserve"> '営業戦略部' </t>
        </is>
      </c>
      <c r="F12" s="15" t="inlineStr">
        <is>
          <t xml:space="preserve"> 'N' </t>
        </is>
      </c>
      <c r="G12" s="15" t="inlineStr">
        <is>
          <t xml:space="preserve"> to_timestamp('2026/12/24 00:00:00' </t>
        </is>
      </c>
      <c r="H12" s="15" t="inlineStr">
        <is>
          <t xml:space="preserve"> 'yyyy/MM/dd hh24:mi:ss')</t>
        </is>
      </c>
      <c r="J12" s="17" t="inlineStr">
        <is>
          <t>586</t>
        </is>
      </c>
      <c r="K12" s="17" t="inlineStr">
        <is>
          <t>LF009</t>
        </is>
      </c>
      <c r="L12" s="17" t="inlineStr">
        <is>
          <t>営業戦略部</t>
        </is>
      </c>
      <c r="M12" s="17" t="inlineStr">
        <is>
          <t>N</t>
        </is>
      </c>
      <c r="N12" s="17" t="inlineStr">
        <is>
          <t>2026/12/24 00:00:00</t>
        </is>
      </c>
      <c r="P12" s="15" t="inlineStr">
        <is>
          <t>INSERT INTO</t>
        </is>
      </c>
      <c r="Q12" s="15" t="inlineStr">
        <is>
          <t>MST_UNIT_TBL</t>
        </is>
      </c>
      <c r="R12" s="15" t="inlineStr">
        <is>
          <t>VALUES(</t>
        </is>
      </c>
      <c r="S12" s="15" t="inlineStr">
        <is>
          <t>586 , 'LF009' , '営業戦略部' , 'N' , to_timestamp('2026/12/24 00:00:00' , 'yyyy/MM/dd hh24:mi:ss')</t>
        </is>
      </c>
      <c r="T12" s="15" t="inlineStr">
        <is>
          <t>);</t>
        </is>
      </c>
      <c r="V12" s="18">
        <f>EXACT(TRIM(C12),J12&amp;"")</f>
        <v/>
      </c>
      <c r="W12" s="18">
        <f>EXACT(TRIM(D12),"'"&amp;K12&amp;"'")</f>
        <v/>
      </c>
      <c r="X12" s="18">
        <f>EXACT(TRIM(E12),"'"&amp;L12&amp;"'")</f>
        <v/>
      </c>
      <c r="Y12" s="18">
        <f>EXACT(TRIM(F12),"'"&amp;M12&amp;"'")</f>
        <v/>
      </c>
      <c r="Z12" s="18">
        <f>EXACT(TRIM(G12),"to_timestamp('"&amp;N12&amp;"'")</f>
        <v/>
      </c>
      <c r="AA12" s="18">
        <f>AND(V12:Z12)</f>
        <v/>
      </c>
      <c r="AB12" s="19">
        <f>TRIM(IF(V12,"",$V$3&amp;" ")&amp;IF(W12,"",$W$3&amp;" ")&amp;IF(X12,"",$X$3&amp;" ")&amp;IF(Y12,"",$Y$3&amp;" ")&amp;IF(Z12,"",$Z$3&amp;" "))</f>
        <v/>
      </c>
      <c r="AC12" s="18">
        <f>EXACT(SUBSTITUTE(A12," ",""),SUBSTITUTE(P12&amp;Q12&amp;R12&amp;S12&amp;T12," ",""))</f>
        <v/>
      </c>
    </row>
    <row r="13">
      <c r="A13" s="15" t="inlineStr">
        <is>
          <t>INSERT INTO MST_UNIT_TBL VALUES(587 , 'LF010' , '営業推進部' , 'N' , to_timestamp('2026/12/24 00:00:00' , 'yyyy/MM/dd hh24:mi:ss'));</t>
        </is>
      </c>
      <c r="B13" s="16" t="n"/>
      <c r="C13" s="15" t="inlineStr">
        <is>
          <t xml:space="preserve">587 </t>
        </is>
      </c>
      <c r="D13" s="15" t="inlineStr">
        <is>
          <t xml:space="preserve"> 'LF010' </t>
        </is>
      </c>
      <c r="E13" s="15" t="inlineStr">
        <is>
          <t xml:space="preserve"> '営業推進部' </t>
        </is>
      </c>
      <c r="F13" s="15" t="inlineStr">
        <is>
          <t xml:space="preserve"> 'N' </t>
        </is>
      </c>
      <c r="G13" s="15" t="inlineStr">
        <is>
          <t xml:space="preserve"> to_timestamp('2026/12/24 00:00:00' </t>
        </is>
      </c>
      <c r="H13" s="15" t="inlineStr">
        <is>
          <t xml:space="preserve"> 'yyyy/MM/dd hh24:mi:ss')</t>
        </is>
      </c>
      <c r="J13" s="17" t="inlineStr">
        <is>
          <t>587</t>
        </is>
      </c>
      <c r="K13" s="17" t="inlineStr">
        <is>
          <t>LF010</t>
        </is>
      </c>
      <c r="L13" s="17" t="inlineStr">
        <is>
          <t>営業推進部</t>
        </is>
      </c>
      <c r="M13" s="17" t="inlineStr">
        <is>
          <t>N</t>
        </is>
      </c>
      <c r="N13" s="17" t="inlineStr">
        <is>
          <t>2026/12/24 00:00:00</t>
        </is>
      </c>
      <c r="P13" s="15" t="inlineStr">
        <is>
          <t>INSERT INTO</t>
        </is>
      </c>
      <c r="Q13" s="15" t="inlineStr">
        <is>
          <t>MST_UNIT_TBL</t>
        </is>
      </c>
      <c r="R13" s="15" t="inlineStr">
        <is>
          <t>VALUES(</t>
        </is>
      </c>
      <c r="S13" s="15" t="inlineStr">
        <is>
          <t>587 , 'LF010' , '営業推進部' , 'N' , to_timestamp('2026/12/24 00:00:00' , 'yyyy/MM/dd hh24:mi:ss')</t>
        </is>
      </c>
      <c r="T13" s="15" t="inlineStr">
        <is>
          <t>);</t>
        </is>
      </c>
      <c r="V13" s="18">
        <f>EXACT(TRIM(C13),J13&amp;"")</f>
        <v/>
      </c>
      <c r="W13" s="18">
        <f>EXACT(TRIM(D13),"'"&amp;K13&amp;"'")</f>
        <v/>
      </c>
      <c r="X13" s="18">
        <f>EXACT(TRIM(E13),"'"&amp;L13&amp;"'")</f>
        <v/>
      </c>
      <c r="Y13" s="18">
        <f>EXACT(TRIM(F13),"'"&amp;M13&amp;"'")</f>
        <v/>
      </c>
      <c r="Z13" s="18">
        <f>EXACT(TRIM(G13),"to_timestamp('"&amp;N13&amp;"'")</f>
        <v/>
      </c>
      <c r="AA13" s="18">
        <f>AND(V13:Z13)</f>
        <v/>
      </c>
      <c r="AB13" s="19">
        <f>TRIM(IF(V13,"",$V$3&amp;" ")&amp;IF(W13,"",$W$3&amp;" ")&amp;IF(X13,"",$X$3&amp;" ")&amp;IF(Y13,"",$Y$3&amp;" ")&amp;IF(Z13,"",$Z$3&amp;" "))</f>
        <v/>
      </c>
      <c r="AC13" s="18">
        <f>EXACT(SUBSTITUTE(A13," ",""),SUBSTITUTE(P13&amp;Q13&amp;R13&amp;S13&amp;T13," ",""))</f>
        <v/>
      </c>
    </row>
    <row r="14">
      <c r="A14" s="15" t="inlineStr">
        <is>
          <t>INSERT INTO MST_UNIT_TBL VALUES(588 , 'LF011' , '与信企画室' , 'N' , to_timestamp('2026/12/24 00:00:00' , 'yyyy/MM/dd hh24:mi:ss'));</t>
        </is>
      </c>
      <c r="B14" s="16" t="n"/>
      <c r="C14" s="15" t="inlineStr">
        <is>
          <t xml:space="preserve">588 </t>
        </is>
      </c>
      <c r="D14" s="15" t="inlineStr">
        <is>
          <t xml:space="preserve"> 'LF011' </t>
        </is>
      </c>
      <c r="E14" s="15" t="inlineStr">
        <is>
          <t xml:space="preserve"> '与信企画室' </t>
        </is>
      </c>
      <c r="F14" s="15" t="inlineStr">
        <is>
          <t xml:space="preserve"> 'N' </t>
        </is>
      </c>
      <c r="G14" s="15" t="inlineStr">
        <is>
          <t xml:space="preserve"> to_timestamp('2026/12/24 00:00:00' </t>
        </is>
      </c>
      <c r="H14" s="15" t="inlineStr">
        <is>
          <t xml:space="preserve"> 'yyyy/MM/dd hh24:mi:ss')</t>
        </is>
      </c>
      <c r="J14" s="17" t="inlineStr">
        <is>
          <t>588</t>
        </is>
      </c>
      <c r="K14" s="17" t="inlineStr">
        <is>
          <t>LF011</t>
        </is>
      </c>
      <c r="L14" s="17" t="inlineStr">
        <is>
          <t>与信企画室</t>
        </is>
      </c>
      <c r="M14" s="17" t="inlineStr">
        <is>
          <t>N</t>
        </is>
      </c>
      <c r="N14" s="17" t="inlineStr">
        <is>
          <t>2026/12/24 00:00:00</t>
        </is>
      </c>
      <c r="P14" s="15" t="inlineStr">
        <is>
          <t>INSERT INTO</t>
        </is>
      </c>
      <c r="Q14" s="15" t="inlineStr">
        <is>
          <t>MST_UNIT_TBL</t>
        </is>
      </c>
      <c r="R14" s="15" t="inlineStr">
        <is>
          <t>VALUES(</t>
        </is>
      </c>
      <c r="S14" s="15" t="inlineStr">
        <is>
          <t>588 , 'LF011' , '与信企画室' , 'N' , to_timestamp('2026/12/24 00:00:00' , 'yyyy/MM/dd hh24:mi:ss')</t>
        </is>
      </c>
      <c r="T14" s="15" t="inlineStr">
        <is>
          <t>);</t>
        </is>
      </c>
      <c r="V14" s="18">
        <f>EXACT(TRIM(C14),J14&amp;"")</f>
        <v/>
      </c>
      <c r="W14" s="18">
        <f>EXACT(TRIM(D14),"'"&amp;K14&amp;"'")</f>
        <v/>
      </c>
      <c r="X14" s="18">
        <f>EXACT(TRIM(E14),"'"&amp;L14&amp;"'")</f>
        <v/>
      </c>
      <c r="Y14" s="18">
        <f>EXACT(TRIM(F14),"'"&amp;M14&amp;"'")</f>
        <v/>
      </c>
      <c r="Z14" s="18">
        <f>EXACT(TRIM(G14),"to_timestamp('"&amp;N14&amp;"'")</f>
        <v/>
      </c>
      <c r="AA14" s="18">
        <f>AND(V14:Z14)</f>
        <v/>
      </c>
      <c r="AB14" s="19">
        <f>TRIM(IF(V14,"",$V$3&amp;" ")&amp;IF(W14,"",$W$3&amp;" ")&amp;IF(X14,"",$X$3&amp;" ")&amp;IF(Y14,"",$Y$3&amp;" ")&amp;IF(Z14,"",$Z$3&amp;" "))</f>
        <v/>
      </c>
      <c r="AC14" s="18">
        <f>EXACT(SUBSTITUTE(A14," ",""),SUBSTITUTE(P14&amp;Q14&amp;R14&amp;S14&amp;T14," ",""))</f>
        <v/>
      </c>
    </row>
    <row r="15">
      <c r="A15" s="15" t="inlineStr">
        <is>
          <t>INSERT INTO MST_UNIT_TBL VALUES(589 , 'LF012' , '融資第一部' , 'N' , to_timestamp('2026/12/24 00:00:00' , 'yyyy/MM/dd hh24:mi:ss'));</t>
        </is>
      </c>
      <c r="B15" s="16" t="n"/>
      <c r="C15" s="15" t="inlineStr">
        <is>
          <t xml:space="preserve">589 </t>
        </is>
      </c>
      <c r="D15" s="15" t="inlineStr">
        <is>
          <t xml:space="preserve"> 'LF012' </t>
        </is>
      </c>
      <c r="E15" s="15" t="inlineStr">
        <is>
          <t xml:space="preserve"> '融資第一部' </t>
        </is>
      </c>
      <c r="F15" s="15" t="inlineStr">
        <is>
          <t xml:space="preserve"> 'N' </t>
        </is>
      </c>
      <c r="G15" s="15" t="inlineStr">
        <is>
          <t xml:space="preserve"> to_timestamp('2026/12/24 00:00:00' </t>
        </is>
      </c>
      <c r="H15" s="15" t="inlineStr">
        <is>
          <t xml:space="preserve"> 'yyyy/MM/dd hh24:mi:ss')</t>
        </is>
      </c>
      <c r="J15" s="17" t="inlineStr">
        <is>
          <t>589</t>
        </is>
      </c>
      <c r="K15" s="17" t="inlineStr">
        <is>
          <t>LF012</t>
        </is>
      </c>
      <c r="L15" s="17" t="inlineStr">
        <is>
          <t>融資第一部</t>
        </is>
      </c>
      <c r="M15" s="17" t="inlineStr">
        <is>
          <t>N</t>
        </is>
      </c>
      <c r="N15" s="17" t="inlineStr">
        <is>
          <t>2026/12/24 00:00:00</t>
        </is>
      </c>
      <c r="P15" s="15" t="inlineStr">
        <is>
          <t>INSERT INTO</t>
        </is>
      </c>
      <c r="Q15" s="15" t="inlineStr">
        <is>
          <t>MST_UNIT_TBL</t>
        </is>
      </c>
      <c r="R15" s="15" t="inlineStr">
        <is>
          <t>VALUES(</t>
        </is>
      </c>
      <c r="S15" s="15" t="inlineStr">
        <is>
          <t>589 , 'LF012' , '融資第一部' , 'N' , to_timestamp('2026/12/24 00:00:00' , 'yyyy/MM/dd hh24:mi:ss')</t>
        </is>
      </c>
      <c r="T15" s="15" t="inlineStr">
        <is>
          <t>);</t>
        </is>
      </c>
      <c r="V15" s="18">
        <f>EXACT(TRIM(C15),J15&amp;"")</f>
        <v/>
      </c>
      <c r="W15" s="18">
        <f>EXACT(TRIM(D15),"'"&amp;K15&amp;"'")</f>
        <v/>
      </c>
      <c r="X15" s="18">
        <f>EXACT(TRIM(E15),"'"&amp;L15&amp;"'")</f>
        <v/>
      </c>
      <c r="Y15" s="18">
        <f>EXACT(TRIM(F15),"'"&amp;M15&amp;"'")</f>
        <v/>
      </c>
      <c r="Z15" s="18">
        <f>EXACT(TRIM(G15),"to_timestamp('"&amp;N15&amp;"'")</f>
        <v/>
      </c>
      <c r="AA15" s="18">
        <f>AND(V15:Z15)</f>
        <v/>
      </c>
      <c r="AB15" s="19">
        <f>TRIM(IF(V15,"",$V$3&amp;" ")&amp;IF(W15,"",$W$3&amp;" ")&amp;IF(X15,"",$X$3&amp;" ")&amp;IF(Y15,"",$Y$3&amp;" ")&amp;IF(Z15,"",$Z$3&amp;" "))</f>
        <v/>
      </c>
      <c r="AC15" s="18">
        <f>EXACT(SUBSTITUTE(A15," ",""),SUBSTITUTE(P15&amp;Q15&amp;R15&amp;S15&amp;T15," ",""))</f>
        <v/>
      </c>
    </row>
    <row r="16">
      <c r="A16" s="15" t="inlineStr">
        <is>
          <t>INSERT INTO MST_UNIT_TBL VALUES(590 , 'LF013' , '融資第二部' , 'N' , to_timestamp('2026/12/24 00:00:00' , 'yyyy/MM/dd hh24:mi:ss'));</t>
        </is>
      </c>
      <c r="B16" s="16" t="n"/>
      <c r="C16" s="15" t="inlineStr">
        <is>
          <t xml:space="preserve">590 </t>
        </is>
      </c>
      <c r="D16" s="15" t="inlineStr">
        <is>
          <t xml:space="preserve"> 'LF013' </t>
        </is>
      </c>
      <c r="E16" s="15" t="inlineStr">
        <is>
          <t xml:space="preserve"> '融資第二部' </t>
        </is>
      </c>
      <c r="F16" s="15" t="inlineStr">
        <is>
          <t xml:space="preserve"> 'N' </t>
        </is>
      </c>
      <c r="G16" s="15" t="inlineStr">
        <is>
          <t xml:space="preserve"> to_timestamp('2026/12/24 00:00:00' </t>
        </is>
      </c>
      <c r="H16" s="15" t="inlineStr">
        <is>
          <t xml:space="preserve"> 'yyyy/MM/dd hh24:mi:ss')</t>
        </is>
      </c>
      <c r="J16" s="17" t="inlineStr">
        <is>
          <t>590</t>
        </is>
      </c>
      <c r="K16" s="17" t="inlineStr">
        <is>
          <t>LF013</t>
        </is>
      </c>
      <c r="L16" s="17" t="inlineStr">
        <is>
          <t>融資第二部</t>
        </is>
      </c>
      <c r="M16" s="17" t="inlineStr">
        <is>
          <t>N</t>
        </is>
      </c>
      <c r="N16" s="17" t="inlineStr">
        <is>
          <t>2026/12/24 00:00:00</t>
        </is>
      </c>
      <c r="P16" s="15" t="inlineStr">
        <is>
          <t>INSERT INTO</t>
        </is>
      </c>
      <c r="Q16" s="15" t="inlineStr">
        <is>
          <t>MST_UNIT_TBL</t>
        </is>
      </c>
      <c r="R16" s="15" t="inlineStr">
        <is>
          <t>VALUES(</t>
        </is>
      </c>
      <c r="S16" s="15" t="inlineStr">
        <is>
          <t>590 , 'LF013' , '融資第二部' , 'N' , to_timestamp('2026/12/24 00:00:00' , 'yyyy/MM/dd hh24:mi:ss')</t>
        </is>
      </c>
      <c r="T16" s="15" t="inlineStr">
        <is>
          <t>);</t>
        </is>
      </c>
      <c r="V16" s="18">
        <f>EXACT(TRIM(C16),J16&amp;"")</f>
        <v/>
      </c>
      <c r="W16" s="18">
        <f>EXACT(TRIM(D16),"'"&amp;K16&amp;"'")</f>
        <v/>
      </c>
      <c r="X16" s="18">
        <f>EXACT(TRIM(E16),"'"&amp;L16&amp;"'")</f>
        <v/>
      </c>
      <c r="Y16" s="18">
        <f>EXACT(TRIM(F16),"'"&amp;M16&amp;"'")</f>
        <v/>
      </c>
      <c r="Z16" s="18">
        <f>EXACT(TRIM(G16),"to_timestamp('"&amp;N16&amp;"'")</f>
        <v/>
      </c>
      <c r="AA16" s="18">
        <f>AND(V16:Z16)</f>
        <v/>
      </c>
      <c r="AB16" s="19">
        <f>TRIM(IF(V16,"",$V$3&amp;" ")&amp;IF(W16,"",$W$3&amp;" ")&amp;IF(X16,"",$X$3&amp;" ")&amp;IF(Y16,"",$Y$3&amp;" ")&amp;IF(Z16,"",$Z$3&amp;" "))</f>
        <v/>
      </c>
      <c r="AC16" s="18">
        <f>EXACT(SUBSTITUTE(A16," ",""),SUBSTITUTE(P16&amp;Q16&amp;R16&amp;S16&amp;T16," ",""))</f>
        <v/>
      </c>
    </row>
    <row r="17">
      <c r="A17" s="15" t="inlineStr">
        <is>
          <t>INSERT INTO MST_UNIT_TBL VALUES(591 , 'LF014' , '債権管理部' , 'N' , to_timestamp('2026/12/24 00:00:00' , 'yyyy/MM/dd hh24:mi:ss'));</t>
        </is>
      </c>
      <c r="B17" s="16" t="n"/>
      <c r="C17" s="15" t="inlineStr">
        <is>
          <t xml:space="preserve">591 </t>
        </is>
      </c>
      <c r="D17" s="15" t="inlineStr">
        <is>
          <t xml:space="preserve"> 'LF014' </t>
        </is>
      </c>
      <c r="E17" s="15" t="inlineStr">
        <is>
          <t xml:space="preserve"> '債権管理部' </t>
        </is>
      </c>
      <c r="F17" s="15" t="inlineStr">
        <is>
          <t xml:space="preserve"> 'N' </t>
        </is>
      </c>
      <c r="G17" s="15" t="inlineStr">
        <is>
          <t xml:space="preserve"> to_timestamp('2026/12/24 00:00:00' </t>
        </is>
      </c>
      <c r="H17" s="15" t="inlineStr">
        <is>
          <t xml:space="preserve"> 'yyyy/MM/dd hh24:mi:ss')</t>
        </is>
      </c>
      <c r="J17" s="17" t="inlineStr">
        <is>
          <t>591</t>
        </is>
      </c>
      <c r="K17" s="17" t="inlineStr">
        <is>
          <t>LF014</t>
        </is>
      </c>
      <c r="L17" s="17" t="inlineStr">
        <is>
          <t>債権管理部</t>
        </is>
      </c>
      <c r="M17" s="17" t="inlineStr">
        <is>
          <t>N</t>
        </is>
      </c>
      <c r="N17" s="17" t="inlineStr">
        <is>
          <t>2026/12/24 00:00:00</t>
        </is>
      </c>
      <c r="P17" s="15" t="inlineStr">
        <is>
          <t>INSERT INTO</t>
        </is>
      </c>
      <c r="Q17" s="15" t="inlineStr">
        <is>
          <t>MST_UNIT_TBL</t>
        </is>
      </c>
      <c r="R17" s="15" t="inlineStr">
        <is>
          <t>VALUES(</t>
        </is>
      </c>
      <c r="S17" s="15" t="inlineStr">
        <is>
          <t>591 , 'LF014' , '債権管理部' , 'N' , to_timestamp('2026/12/24 00:00:00' , 'yyyy/MM/dd hh24:mi:ss')</t>
        </is>
      </c>
      <c r="T17" s="15" t="inlineStr">
        <is>
          <t>);</t>
        </is>
      </c>
      <c r="V17" s="18">
        <f>EXACT(TRIM(C17),J17&amp;"")</f>
        <v/>
      </c>
      <c r="W17" s="18">
        <f>EXACT(TRIM(D17),"'"&amp;K17&amp;"'")</f>
        <v/>
      </c>
      <c r="X17" s="18">
        <f>EXACT(TRIM(E17),"'"&amp;L17&amp;"'")</f>
        <v/>
      </c>
      <c r="Y17" s="18">
        <f>EXACT(TRIM(F17),"'"&amp;M17&amp;"'")</f>
        <v/>
      </c>
      <c r="Z17" s="18">
        <f>EXACT(TRIM(G17),"to_timestamp('"&amp;N17&amp;"'")</f>
        <v/>
      </c>
      <c r="AA17" s="18">
        <f>AND(V17:Z17)</f>
        <v/>
      </c>
      <c r="AB17" s="19">
        <f>TRIM(IF(V17,"",$V$3&amp;" ")&amp;IF(W17,"",$W$3&amp;" ")&amp;IF(X17,"",$X$3&amp;" ")&amp;IF(Y17,"",$Y$3&amp;" ")&amp;IF(Z17,"",$Z$3&amp;" "))</f>
        <v/>
      </c>
      <c r="AC17" s="18">
        <f>EXACT(SUBSTITUTE(A17," ",""),SUBSTITUTE(P17&amp;Q17&amp;R17&amp;S17&amp;T17," ",""))</f>
        <v/>
      </c>
    </row>
    <row r="18">
      <c r="A18" s="15" t="inlineStr">
        <is>
          <t>INSERT INTO MST_UNIT_TBL VALUES(592 , 'LF015' , '本店営業第一部' , 'N' , to_timestamp('2026/12/24 00:00:00' , 'yyyy/MM/dd hh24:mi:ss'));</t>
        </is>
      </c>
      <c r="B18" s="16" t="n"/>
      <c r="C18" s="15" t="inlineStr">
        <is>
          <t xml:space="preserve">592 </t>
        </is>
      </c>
      <c r="D18" s="15" t="inlineStr">
        <is>
          <t xml:space="preserve"> 'LF015' </t>
        </is>
      </c>
      <c r="E18" s="15" t="inlineStr">
        <is>
          <t xml:space="preserve"> '本店営業第一部' </t>
        </is>
      </c>
      <c r="F18" s="15" t="inlineStr">
        <is>
          <t xml:space="preserve"> 'N' </t>
        </is>
      </c>
      <c r="G18" s="15" t="inlineStr">
        <is>
          <t xml:space="preserve"> to_timestamp('2026/12/24 00:00:00' </t>
        </is>
      </c>
      <c r="H18" s="15" t="inlineStr">
        <is>
          <t xml:space="preserve"> 'yyyy/MM/dd hh24:mi:ss')</t>
        </is>
      </c>
      <c r="J18" s="17" t="inlineStr">
        <is>
          <t>592</t>
        </is>
      </c>
      <c r="K18" s="17" t="inlineStr">
        <is>
          <t>LF015</t>
        </is>
      </c>
      <c r="L18" s="17" t="inlineStr">
        <is>
          <t>本店営業第一部</t>
        </is>
      </c>
      <c r="M18" s="17" t="inlineStr">
        <is>
          <t>N</t>
        </is>
      </c>
      <c r="N18" s="17" t="inlineStr">
        <is>
          <t>2026/12/24 00:00:00</t>
        </is>
      </c>
      <c r="P18" s="15" t="inlineStr">
        <is>
          <t>INSERT INTO</t>
        </is>
      </c>
      <c r="Q18" s="15" t="inlineStr">
        <is>
          <t>MST_UNIT_TBL</t>
        </is>
      </c>
      <c r="R18" s="15" t="inlineStr">
        <is>
          <t>VALUES(</t>
        </is>
      </c>
      <c r="S18" s="15" t="inlineStr">
        <is>
          <t>592 , 'LF015' , '本店営業第一部' , 'N' , to_timestamp('2026/12/24 00:00:00' , 'yyyy/MM/dd hh24:mi:ss')</t>
        </is>
      </c>
      <c r="T18" s="15" t="inlineStr">
        <is>
          <t>);</t>
        </is>
      </c>
      <c r="V18" s="18">
        <f>EXACT(TRIM(C18),J18&amp;"")</f>
        <v/>
      </c>
      <c r="W18" s="18">
        <f>EXACT(TRIM(D18),"'"&amp;K18&amp;"'")</f>
        <v/>
      </c>
      <c r="X18" s="18">
        <f>EXACT(TRIM(E18),"'"&amp;L18&amp;"'")</f>
        <v/>
      </c>
      <c r="Y18" s="18">
        <f>EXACT(TRIM(F18),"'"&amp;M18&amp;"'")</f>
        <v/>
      </c>
      <c r="Z18" s="18">
        <f>EXACT(TRIM(G18),"to_timestamp('"&amp;N18&amp;"'")</f>
        <v/>
      </c>
      <c r="AA18" s="18">
        <f>AND(V18:Z18)</f>
        <v/>
      </c>
      <c r="AB18" s="19">
        <f>TRIM(IF(V18,"",$V$3&amp;" ")&amp;IF(W18,"",$W$3&amp;" ")&amp;IF(X18,"",$X$3&amp;" ")&amp;IF(Y18,"",$Y$3&amp;" ")&amp;IF(Z18,"",$Z$3&amp;" "))</f>
        <v/>
      </c>
      <c r="AC18" s="18">
        <f>EXACT(SUBSTITUTE(A18," ",""),SUBSTITUTE(P18&amp;Q18&amp;R18&amp;S18&amp;T18," ",""))</f>
        <v/>
      </c>
    </row>
    <row r="19">
      <c r="A19" s="15" t="inlineStr">
        <is>
          <t>INSERT INTO MST_UNIT_TBL VALUES(593 , 'LF016' , '本店営業第二部' , 'N' , to_timestamp('2026/12/24 00:00:00' , 'yyyy/MM/dd hh24:mi:ss'));</t>
        </is>
      </c>
      <c r="B19" s="16" t="n"/>
      <c r="C19" s="15" t="inlineStr">
        <is>
          <t xml:space="preserve">593 </t>
        </is>
      </c>
      <c r="D19" s="15" t="inlineStr">
        <is>
          <t xml:space="preserve"> 'LF016' </t>
        </is>
      </c>
      <c r="E19" s="15" t="inlineStr">
        <is>
          <t xml:space="preserve"> '本店営業第二部' </t>
        </is>
      </c>
      <c r="F19" s="15" t="inlineStr">
        <is>
          <t xml:space="preserve"> 'N' </t>
        </is>
      </c>
      <c r="G19" s="15" t="inlineStr">
        <is>
          <t xml:space="preserve"> to_timestamp('2026/12/24 00:00:00' </t>
        </is>
      </c>
      <c r="H19" s="15" t="inlineStr">
        <is>
          <t xml:space="preserve"> 'yyyy/MM/dd hh24:mi:ss')</t>
        </is>
      </c>
      <c r="J19" s="17" t="inlineStr">
        <is>
          <t>593</t>
        </is>
      </c>
      <c r="K19" s="17" t="inlineStr">
        <is>
          <t>LF016</t>
        </is>
      </c>
      <c r="L19" s="17" t="inlineStr">
        <is>
          <t>本店営業第二部</t>
        </is>
      </c>
      <c r="M19" s="17" t="inlineStr">
        <is>
          <t>N</t>
        </is>
      </c>
      <c r="N19" s="17" t="inlineStr">
        <is>
          <t>2026/12/24 00:00:00</t>
        </is>
      </c>
      <c r="P19" s="15" t="inlineStr">
        <is>
          <t>INSERT INTO</t>
        </is>
      </c>
      <c r="Q19" s="15" t="inlineStr">
        <is>
          <t>MST_UNIT_TBL</t>
        </is>
      </c>
      <c r="R19" s="15" t="inlineStr">
        <is>
          <t>VALUES(</t>
        </is>
      </c>
      <c r="S19" s="15" t="inlineStr">
        <is>
          <t>593 , 'LF016' , '本店営業第二部' , 'N' , to_timestamp('2026/12/24 00:00:00' , 'yyyy/MM/dd hh24:mi:ss')</t>
        </is>
      </c>
      <c r="T19" s="15" t="inlineStr">
        <is>
          <t>);</t>
        </is>
      </c>
      <c r="V19" s="18">
        <f>EXACT(TRIM(C19),J19&amp;"")</f>
        <v/>
      </c>
      <c r="W19" s="18">
        <f>EXACT(TRIM(D19),"'"&amp;K19&amp;"'")</f>
        <v/>
      </c>
      <c r="X19" s="18">
        <f>EXACT(TRIM(E19),"'"&amp;L19&amp;"'")</f>
        <v/>
      </c>
      <c r="Y19" s="18">
        <f>EXACT(TRIM(F19),"'"&amp;M19&amp;"'")</f>
        <v/>
      </c>
      <c r="Z19" s="18">
        <f>EXACT(TRIM(G19),"to_timestamp('"&amp;N19&amp;"'")</f>
        <v/>
      </c>
      <c r="AA19" s="18">
        <f>AND(V19:Z19)</f>
        <v/>
      </c>
      <c r="AB19" s="19">
        <f>TRIM(IF(V19,"",$V$3&amp;" ")&amp;IF(W19,"",$W$3&amp;" ")&amp;IF(X19,"",$X$3&amp;" ")&amp;IF(Y19,"",$Y$3&amp;" ")&amp;IF(Z19,"",$Z$3&amp;" "))</f>
        <v/>
      </c>
      <c r="AC19" s="18">
        <f>EXACT(SUBSTITUTE(A19," ",""),SUBSTITUTE(P19&amp;Q19&amp;R19&amp;S19&amp;T19," ",""))</f>
        <v/>
      </c>
    </row>
    <row r="20">
      <c r="A20" s="15" t="inlineStr">
        <is>
          <t>INSERT INTO MST_UNIT_TBL VALUES(594 , 'LF017' , '本店営業第四部' , 'N' , to_timestamp('2026/12/24 00:00:00' , 'yyyy/MM/dd hh24:mi:ss'));</t>
        </is>
      </c>
      <c r="B20" s="16" t="n"/>
      <c r="C20" s="15" t="inlineStr">
        <is>
          <t xml:space="preserve">594 </t>
        </is>
      </c>
      <c r="D20" s="15" t="inlineStr">
        <is>
          <t xml:space="preserve"> 'LF017' </t>
        </is>
      </c>
      <c r="E20" s="15" t="inlineStr">
        <is>
          <t xml:space="preserve"> '本店営業第四部' </t>
        </is>
      </c>
      <c r="F20" s="15" t="inlineStr">
        <is>
          <t xml:space="preserve"> 'N' </t>
        </is>
      </c>
      <c r="G20" s="15" t="inlineStr">
        <is>
          <t xml:space="preserve"> to_timestamp('2026/12/24 00:00:00' </t>
        </is>
      </c>
      <c r="H20" s="15" t="inlineStr">
        <is>
          <t xml:space="preserve"> 'yyyy/MM/dd hh24:mi:ss')</t>
        </is>
      </c>
      <c r="J20" s="17" t="inlineStr">
        <is>
          <t>594</t>
        </is>
      </c>
      <c r="K20" s="17" t="inlineStr">
        <is>
          <t>LF017</t>
        </is>
      </c>
      <c r="L20" s="17" t="inlineStr">
        <is>
          <t>本店営業第四部</t>
        </is>
      </c>
      <c r="M20" s="17" t="inlineStr">
        <is>
          <t>N</t>
        </is>
      </c>
      <c r="N20" s="17" t="inlineStr">
        <is>
          <t>2026/12/24 00:00:00</t>
        </is>
      </c>
      <c r="P20" s="15" t="inlineStr">
        <is>
          <t>INSERT INTO</t>
        </is>
      </c>
      <c r="Q20" s="15" t="inlineStr">
        <is>
          <t>MST_UNIT_TBL</t>
        </is>
      </c>
      <c r="R20" s="15" t="inlineStr">
        <is>
          <t>VALUES(</t>
        </is>
      </c>
      <c r="S20" s="15" t="inlineStr">
        <is>
          <t>594 , 'LF017' , '本店営業第四部' , 'N' , to_timestamp('2026/12/24 00:00:00' , 'yyyy/MM/dd hh24:mi:ss')</t>
        </is>
      </c>
      <c r="T20" s="15" t="inlineStr">
        <is>
          <t>);</t>
        </is>
      </c>
      <c r="V20" s="18">
        <f>EXACT(TRIM(C20),J20&amp;"")</f>
        <v/>
      </c>
      <c r="W20" s="18">
        <f>EXACT(TRIM(D20),"'"&amp;K20&amp;"'")</f>
        <v/>
      </c>
      <c r="X20" s="18">
        <f>EXACT(TRIM(E20),"'"&amp;L20&amp;"'")</f>
        <v/>
      </c>
      <c r="Y20" s="18">
        <f>EXACT(TRIM(F20),"'"&amp;M20&amp;"'")</f>
        <v/>
      </c>
      <c r="Z20" s="18">
        <f>EXACT(TRIM(G20),"to_timestamp('"&amp;N20&amp;"'")</f>
        <v/>
      </c>
      <c r="AA20" s="18">
        <f>AND(V20:Z20)</f>
        <v/>
      </c>
      <c r="AB20" s="19">
        <f>TRIM(IF(V20,"",$V$3&amp;" ")&amp;IF(W20,"",$W$3&amp;" ")&amp;IF(X20,"",$X$3&amp;" ")&amp;IF(Y20,"",$Y$3&amp;" ")&amp;IF(Z20,"",$Z$3&amp;" "))</f>
        <v/>
      </c>
      <c r="AC20" s="18">
        <f>EXACT(SUBSTITUTE(A20," ",""),SUBSTITUTE(P20&amp;Q20&amp;R20&amp;S20&amp;T20," ",""))</f>
        <v/>
      </c>
    </row>
    <row r="21">
      <c r="A21" s="15" t="inlineStr">
        <is>
          <t>INSERT INTO MST_UNIT_TBL VALUES(595 , 'LF018' , '新宿支店' , 'N' , to_timestamp('2026/12/24 00:00:00' , 'yyyy/MM/dd hh24:mi:ss'));</t>
        </is>
      </c>
      <c r="B21" s="16" t="n"/>
      <c r="C21" s="15" t="inlineStr">
        <is>
          <t xml:space="preserve">595 </t>
        </is>
      </c>
      <c r="D21" s="15" t="inlineStr">
        <is>
          <t xml:space="preserve"> 'LF018' </t>
        </is>
      </c>
      <c r="E21" s="15" t="inlineStr">
        <is>
          <t xml:space="preserve"> '新宿支店' </t>
        </is>
      </c>
      <c r="F21" s="15" t="inlineStr">
        <is>
          <t xml:space="preserve"> 'N' </t>
        </is>
      </c>
      <c r="G21" s="15" t="inlineStr">
        <is>
          <t xml:space="preserve"> to_timestamp('2026/12/24 00:00:00' </t>
        </is>
      </c>
      <c r="H21" s="15" t="inlineStr">
        <is>
          <t xml:space="preserve"> 'yyyy/MM/dd hh24:mi:ss')</t>
        </is>
      </c>
      <c r="J21" s="17" t="inlineStr">
        <is>
          <t>595</t>
        </is>
      </c>
      <c r="K21" s="17" t="inlineStr">
        <is>
          <t>LF018</t>
        </is>
      </c>
      <c r="L21" s="17" t="inlineStr">
        <is>
          <t>新宿支店</t>
        </is>
      </c>
      <c r="M21" s="17" t="inlineStr">
        <is>
          <t>N</t>
        </is>
      </c>
      <c r="N21" s="17" t="inlineStr">
        <is>
          <t>2026/12/24 00:00:00</t>
        </is>
      </c>
      <c r="P21" s="15" t="inlineStr">
        <is>
          <t>INSERT INTO</t>
        </is>
      </c>
      <c r="Q21" s="15" t="inlineStr">
        <is>
          <t>MST_UNIT_TBL</t>
        </is>
      </c>
      <c r="R21" s="15" t="inlineStr">
        <is>
          <t>VALUES(</t>
        </is>
      </c>
      <c r="S21" s="15" t="inlineStr">
        <is>
          <t>595 , 'LF018' , '新宿支店' , 'N' , to_timestamp('2026/12/24 00:00:00' , 'yyyy/MM/dd hh24:mi:ss')</t>
        </is>
      </c>
      <c r="T21" s="15" t="inlineStr">
        <is>
          <t>);</t>
        </is>
      </c>
      <c r="V21" s="18">
        <f>EXACT(TRIM(C21),J21&amp;"")</f>
        <v/>
      </c>
      <c r="W21" s="18">
        <f>EXACT(TRIM(D21),"'"&amp;K21&amp;"'")</f>
        <v/>
      </c>
      <c r="X21" s="18">
        <f>EXACT(TRIM(E21),"'"&amp;L21&amp;"'")</f>
        <v/>
      </c>
      <c r="Y21" s="18">
        <f>EXACT(TRIM(F21),"'"&amp;M21&amp;"'")</f>
        <v/>
      </c>
      <c r="Z21" s="18">
        <f>EXACT(TRIM(G21),"to_timestamp('"&amp;N21&amp;"'")</f>
        <v/>
      </c>
      <c r="AA21" s="18">
        <f>AND(V21:Z21)</f>
        <v/>
      </c>
      <c r="AB21" s="19">
        <f>TRIM(IF(V21,"",$V$3&amp;" ")&amp;IF(W21,"",$W$3&amp;" ")&amp;IF(X21,"",$X$3&amp;" ")&amp;IF(Y21,"",$Y$3&amp;" ")&amp;IF(Z21,"",$Z$3&amp;" "))</f>
        <v/>
      </c>
      <c r="AC21" s="18">
        <f>EXACT(SUBSTITUTE(A21," ",""),SUBSTITUTE(P21&amp;Q21&amp;R21&amp;S21&amp;T21," ",""))</f>
        <v/>
      </c>
    </row>
    <row r="22">
      <c r="A22" s="15" t="inlineStr">
        <is>
          <t>INSERT INTO MST_UNIT_TBL VALUES(596 , 'LF019' , '池袋支店' , 'N' , to_timestamp('2026/12/24 00:00:00' , 'yyyy/MM/dd hh24:mi:ss'));</t>
        </is>
      </c>
      <c r="B22" s="16" t="n"/>
      <c r="C22" s="15" t="inlineStr">
        <is>
          <t xml:space="preserve">596 </t>
        </is>
      </c>
      <c r="D22" s="15" t="inlineStr">
        <is>
          <t xml:space="preserve"> 'LF019' </t>
        </is>
      </c>
      <c r="E22" s="15" t="inlineStr">
        <is>
          <t xml:space="preserve"> '池袋支店' </t>
        </is>
      </c>
      <c r="F22" s="15" t="inlineStr">
        <is>
          <t xml:space="preserve"> 'N' </t>
        </is>
      </c>
      <c r="G22" s="15" t="inlineStr">
        <is>
          <t xml:space="preserve"> to_timestamp('2026/12/24 00:00:00' </t>
        </is>
      </c>
      <c r="H22" s="15" t="inlineStr">
        <is>
          <t xml:space="preserve"> 'yyyy/MM/dd hh24:mi:ss')</t>
        </is>
      </c>
      <c r="J22" s="17" t="inlineStr">
        <is>
          <t>596</t>
        </is>
      </c>
      <c r="K22" s="17" t="inlineStr">
        <is>
          <t>LF019</t>
        </is>
      </c>
      <c r="L22" s="17" t="inlineStr">
        <is>
          <t>池袋支店</t>
        </is>
      </c>
      <c r="M22" s="17" t="inlineStr">
        <is>
          <t>N</t>
        </is>
      </c>
      <c r="N22" s="17" t="inlineStr">
        <is>
          <t>2026/12/24 00:00:00</t>
        </is>
      </c>
      <c r="P22" s="15" t="inlineStr">
        <is>
          <t>INSERT INTO</t>
        </is>
      </c>
      <c r="Q22" s="15" t="inlineStr">
        <is>
          <t>MST_UNIT_TBL</t>
        </is>
      </c>
      <c r="R22" s="15" t="inlineStr">
        <is>
          <t>VALUES(</t>
        </is>
      </c>
      <c r="S22" s="15" t="inlineStr">
        <is>
          <t>596 , 'LF019' , '池袋支店' , 'N' , to_timestamp('2026/12/24 00:00:00' , 'yyyy/MM/dd hh24:mi:ss')</t>
        </is>
      </c>
      <c r="T22" s="15" t="inlineStr">
        <is>
          <t>);</t>
        </is>
      </c>
      <c r="V22" s="18">
        <f>EXACT(TRIM(C22),J22&amp;"")</f>
        <v/>
      </c>
      <c r="W22" s="18">
        <f>EXACT(TRIM(D22),"'"&amp;K22&amp;"'")</f>
        <v/>
      </c>
      <c r="X22" s="18">
        <f>EXACT(TRIM(E22),"'"&amp;L22&amp;"'")</f>
        <v/>
      </c>
      <c r="Y22" s="18">
        <f>EXACT(TRIM(F22),"'"&amp;M22&amp;"'")</f>
        <v/>
      </c>
      <c r="Z22" s="18">
        <f>EXACT(TRIM(G22),"to_timestamp('"&amp;N22&amp;"'")</f>
        <v/>
      </c>
      <c r="AA22" s="18">
        <f>AND(V22:Z22)</f>
        <v/>
      </c>
      <c r="AB22" s="19">
        <f>TRIM(IF(V22,"",$V$3&amp;" ")&amp;IF(W22,"",$W$3&amp;" ")&amp;IF(X22,"",$X$3&amp;" ")&amp;IF(Y22,"",$Y$3&amp;" ")&amp;IF(Z22,"",$Z$3&amp;" "))</f>
        <v/>
      </c>
      <c r="AC22" s="18">
        <f>EXACT(SUBSTITUTE(A22," ",""),SUBSTITUTE(P22&amp;Q22&amp;R22&amp;S22&amp;T22," ",""))</f>
        <v/>
      </c>
    </row>
    <row r="23">
      <c r="A23" s="15" t="inlineStr">
        <is>
          <t>INSERT INTO MST_UNIT_TBL VALUES(597 , 'LF020' , '横浜支店' , 'N' , to_timestamp('2026/12/24 00:00:00' , 'yyyy/MM/dd hh24:mi:ss'));</t>
        </is>
      </c>
      <c r="B23" s="16" t="n"/>
      <c r="C23" s="15" t="inlineStr">
        <is>
          <t xml:space="preserve">597 </t>
        </is>
      </c>
      <c r="D23" s="15" t="inlineStr">
        <is>
          <t xml:space="preserve"> 'LF020' </t>
        </is>
      </c>
      <c r="E23" s="15" t="inlineStr">
        <is>
          <t xml:space="preserve"> '横浜支店' </t>
        </is>
      </c>
      <c r="F23" s="15" t="inlineStr">
        <is>
          <t xml:space="preserve"> 'N' </t>
        </is>
      </c>
      <c r="G23" s="15" t="inlineStr">
        <is>
          <t xml:space="preserve"> to_timestamp('2026/12/24 00:00:00' </t>
        </is>
      </c>
      <c r="H23" s="15" t="inlineStr">
        <is>
          <t xml:space="preserve"> 'yyyy/MM/dd hh24:mi:ss')</t>
        </is>
      </c>
      <c r="J23" s="17" t="inlineStr">
        <is>
          <t>597</t>
        </is>
      </c>
      <c r="K23" s="17" t="inlineStr">
        <is>
          <t>LF020</t>
        </is>
      </c>
      <c r="L23" s="17" t="inlineStr">
        <is>
          <t>横浜支店</t>
        </is>
      </c>
      <c r="M23" s="17" t="inlineStr">
        <is>
          <t>N</t>
        </is>
      </c>
      <c r="N23" s="17" t="inlineStr">
        <is>
          <t>2026/12/24 00:00:00</t>
        </is>
      </c>
      <c r="P23" s="15" t="inlineStr">
        <is>
          <t>INSERT INTO</t>
        </is>
      </c>
      <c r="Q23" s="15" t="inlineStr">
        <is>
          <t>MST_UNIT_TBL</t>
        </is>
      </c>
      <c r="R23" s="15" t="inlineStr">
        <is>
          <t>VALUES(</t>
        </is>
      </c>
      <c r="S23" s="15" t="inlineStr">
        <is>
          <t>597 , 'LF020' , '横浜支店' , 'N' , to_timestamp('2026/12/24 00:00:00' , 'yyyy/MM/dd hh24:mi:ss')</t>
        </is>
      </c>
      <c r="T23" s="15" t="inlineStr">
        <is>
          <t>);</t>
        </is>
      </c>
      <c r="V23" s="18">
        <f>EXACT(TRIM(C23),J23&amp;"")</f>
        <v/>
      </c>
      <c r="W23" s="18">
        <f>EXACT(TRIM(D23),"'"&amp;K23&amp;"'")</f>
        <v/>
      </c>
      <c r="X23" s="18">
        <f>EXACT(TRIM(E23),"'"&amp;L23&amp;"'")</f>
        <v/>
      </c>
      <c r="Y23" s="18">
        <f>EXACT(TRIM(F23),"'"&amp;M23&amp;"'")</f>
        <v/>
      </c>
      <c r="Z23" s="18">
        <f>EXACT(TRIM(G23),"to_timestamp('"&amp;N23&amp;"'")</f>
        <v/>
      </c>
      <c r="AA23" s="18">
        <f>AND(V23:Z23)</f>
        <v/>
      </c>
      <c r="AB23" s="19">
        <f>TRIM(IF(V23,"",$V$3&amp;" ")&amp;IF(W23,"",$W$3&amp;" ")&amp;IF(X23,"",$X$3&amp;" ")&amp;IF(Y23,"",$Y$3&amp;" ")&amp;IF(Z23,"",$Z$3&amp;" "))</f>
        <v/>
      </c>
      <c r="AC23" s="18">
        <f>EXACT(SUBSTITUTE(A23," ",""),SUBSTITUTE(P23&amp;Q23&amp;R23&amp;S23&amp;T23," ",""))</f>
        <v/>
      </c>
    </row>
    <row r="24">
      <c r="A24" s="15" t="inlineStr">
        <is>
          <t>INSERT INTO MST_UNIT_TBL VALUES(598 , 'LF021' , '大阪支店' , 'N' , to_timestamp('2026/12/24 00:00:00' , 'yyyy/MM/dd hh24:mi:ss'));</t>
        </is>
      </c>
      <c r="B24" s="16" t="n"/>
      <c r="C24" s="15" t="inlineStr">
        <is>
          <t xml:space="preserve">598 </t>
        </is>
      </c>
      <c r="D24" s="15" t="inlineStr">
        <is>
          <t xml:space="preserve"> 'LF021' </t>
        </is>
      </c>
      <c r="E24" s="15" t="inlineStr">
        <is>
          <t xml:space="preserve"> '大阪支店' </t>
        </is>
      </c>
      <c r="F24" s="15" t="inlineStr">
        <is>
          <t xml:space="preserve"> 'N' </t>
        </is>
      </c>
      <c r="G24" s="15" t="inlineStr">
        <is>
          <t xml:space="preserve"> to_timestamp('2026/12/24 00:00:00' </t>
        </is>
      </c>
      <c r="H24" s="15" t="inlineStr">
        <is>
          <t xml:space="preserve"> 'yyyy/MM/dd hh24:mi:ss')</t>
        </is>
      </c>
      <c r="J24" s="17" t="inlineStr">
        <is>
          <t>598</t>
        </is>
      </c>
      <c r="K24" s="17" t="inlineStr">
        <is>
          <t>LF021</t>
        </is>
      </c>
      <c r="L24" s="17" t="inlineStr">
        <is>
          <t>大阪支店</t>
        </is>
      </c>
      <c r="M24" s="17" t="inlineStr">
        <is>
          <t>N</t>
        </is>
      </c>
      <c r="N24" s="17" t="inlineStr">
        <is>
          <t>2026/12/24 00:00:00</t>
        </is>
      </c>
      <c r="P24" s="15" t="inlineStr">
        <is>
          <t>INSERT INTO</t>
        </is>
      </c>
      <c r="Q24" s="15" t="inlineStr">
        <is>
          <t>MST_UNIT_TBL</t>
        </is>
      </c>
      <c r="R24" s="15" t="inlineStr">
        <is>
          <t>VALUES(</t>
        </is>
      </c>
      <c r="S24" s="15" t="inlineStr">
        <is>
          <t>598 , 'LF021' , '大阪支店' , 'N' , to_timestamp('2026/12/24 00:00:00' , 'yyyy/MM/dd hh24:mi:ss')</t>
        </is>
      </c>
      <c r="T24" s="15" t="inlineStr">
        <is>
          <t>);</t>
        </is>
      </c>
      <c r="V24" s="18">
        <f>EXACT(TRIM(C24),J24&amp;"")</f>
        <v/>
      </c>
      <c r="W24" s="18">
        <f>EXACT(TRIM(D24),"'"&amp;K24&amp;"'")</f>
        <v/>
      </c>
      <c r="X24" s="18">
        <f>EXACT(TRIM(E24),"'"&amp;L24&amp;"'")</f>
        <v/>
      </c>
      <c r="Y24" s="18">
        <f>EXACT(TRIM(F24),"'"&amp;M24&amp;"'")</f>
        <v/>
      </c>
      <c r="Z24" s="18">
        <f>EXACT(TRIM(G24),"to_timestamp('"&amp;N24&amp;"'")</f>
        <v/>
      </c>
      <c r="AA24" s="18">
        <f>AND(V24:Z24)</f>
        <v/>
      </c>
      <c r="AB24" s="19">
        <f>TRIM(IF(V24,"",$V$3&amp;" ")&amp;IF(W24,"",$W$3&amp;" ")&amp;IF(X24,"",$X$3&amp;" ")&amp;IF(Y24,"",$Y$3&amp;" ")&amp;IF(Z24,"",$Z$3&amp;" "))</f>
        <v/>
      </c>
      <c r="AC24" s="18">
        <f>EXACT(SUBSTITUTE(A24," ",""),SUBSTITUTE(P24&amp;Q24&amp;R24&amp;S24&amp;T24," ",""))</f>
        <v/>
      </c>
    </row>
    <row r="25">
      <c r="A25" s="15" t="inlineStr">
        <is>
          <t>INSERT INTO MST_UNIT_TBL VALUES(599 , 'LF022' , '名古屋支店' , 'N' , to_timestamp('2026/12/24 00:00:00' , 'yyyy/MM/dd hh24:mi:ss'));</t>
        </is>
      </c>
      <c r="B25" s="16" t="n"/>
      <c r="C25" s="15" t="inlineStr">
        <is>
          <t xml:space="preserve">599 </t>
        </is>
      </c>
      <c r="D25" s="15" t="inlineStr">
        <is>
          <t xml:space="preserve"> 'LF022' </t>
        </is>
      </c>
      <c r="E25" s="15" t="inlineStr">
        <is>
          <t xml:space="preserve"> '名古屋支店' </t>
        </is>
      </c>
      <c r="F25" s="15" t="inlineStr">
        <is>
          <t xml:space="preserve"> 'N' </t>
        </is>
      </c>
      <c r="G25" s="15" t="inlineStr">
        <is>
          <t xml:space="preserve"> to_timestamp('2026/12/24 00:00:00' </t>
        </is>
      </c>
      <c r="H25" s="15" t="inlineStr">
        <is>
          <t xml:space="preserve"> 'yyyy/MM/dd hh24:mi:ss')</t>
        </is>
      </c>
      <c r="J25" s="17" t="inlineStr">
        <is>
          <t>599</t>
        </is>
      </c>
      <c r="K25" s="17" t="inlineStr">
        <is>
          <t>LF022</t>
        </is>
      </c>
      <c r="L25" s="17" t="inlineStr">
        <is>
          <t>名古屋支店</t>
        </is>
      </c>
      <c r="M25" s="17" t="inlineStr">
        <is>
          <t>N</t>
        </is>
      </c>
      <c r="N25" s="17" t="inlineStr">
        <is>
          <t>2026/12/24 00:00:00</t>
        </is>
      </c>
      <c r="P25" s="15" t="inlineStr">
        <is>
          <t>INSERT INTO</t>
        </is>
      </c>
      <c r="Q25" s="15" t="inlineStr">
        <is>
          <t>MST_UNIT_TBL</t>
        </is>
      </c>
      <c r="R25" s="15" t="inlineStr">
        <is>
          <t>VALUES(</t>
        </is>
      </c>
      <c r="S25" s="15" t="inlineStr">
        <is>
          <t>599 , 'LF022' , '名古屋支店' , 'N' , to_timestamp('2026/12/24 00:00:00' , 'yyyy/MM/dd hh24:mi:ss')</t>
        </is>
      </c>
      <c r="T25" s="15" t="inlineStr">
        <is>
          <t>);</t>
        </is>
      </c>
      <c r="V25" s="18">
        <f>EXACT(TRIM(C25),J25&amp;"")</f>
        <v/>
      </c>
      <c r="W25" s="18">
        <f>EXACT(TRIM(D25),"'"&amp;K25&amp;"'")</f>
        <v/>
      </c>
      <c r="X25" s="18">
        <f>EXACT(TRIM(E25),"'"&amp;L25&amp;"'")</f>
        <v/>
      </c>
      <c r="Y25" s="18">
        <f>EXACT(TRIM(F25),"'"&amp;M25&amp;"'")</f>
        <v/>
      </c>
      <c r="Z25" s="18">
        <f>EXACT(TRIM(G25),"to_timestamp('"&amp;N25&amp;"'")</f>
        <v/>
      </c>
      <c r="AA25" s="18">
        <f>AND(V25:Z25)</f>
        <v/>
      </c>
      <c r="AB25" s="19">
        <f>TRIM(IF(V25,"",$V$3&amp;" ")&amp;IF(W25,"",$W$3&amp;" ")&amp;IF(X25,"",$X$3&amp;" ")&amp;IF(Y25,"",$Y$3&amp;" ")&amp;IF(Z25,"",$Z$3&amp;" "))</f>
        <v/>
      </c>
      <c r="AC25" s="18">
        <f>EXACT(SUBSTITUTE(A25," ",""),SUBSTITUTE(P25&amp;Q25&amp;R25&amp;S25&amp;T25," ",""))</f>
        <v/>
      </c>
    </row>
    <row r="26">
      <c r="A26" s="15" t="inlineStr">
        <is>
          <t>INSERT INTO MST_UNIT_TBL VALUES(600 , 'LF023' , '仙台支店' , 'N' , to_timestamp('2026/12/24 00:00:00' , 'yyyy/MM/dd hh24:mi:ss'));</t>
        </is>
      </c>
      <c r="B26" s="16" t="n"/>
      <c r="C26" s="15" t="inlineStr">
        <is>
          <t xml:space="preserve">600 </t>
        </is>
      </c>
      <c r="D26" s="15" t="inlineStr">
        <is>
          <t xml:space="preserve"> 'LF023' </t>
        </is>
      </c>
      <c r="E26" s="15" t="inlineStr">
        <is>
          <t xml:space="preserve"> '仙台支店' </t>
        </is>
      </c>
      <c r="F26" s="15" t="inlineStr">
        <is>
          <t xml:space="preserve"> 'N' </t>
        </is>
      </c>
      <c r="G26" s="15" t="inlineStr">
        <is>
          <t xml:space="preserve"> to_timestamp('2026/12/24 00:00:00' </t>
        </is>
      </c>
      <c r="H26" s="15" t="inlineStr">
        <is>
          <t xml:space="preserve"> 'yyyy/MM/dd hh24:mi:ss')</t>
        </is>
      </c>
      <c r="J26" s="17" t="inlineStr">
        <is>
          <t>600</t>
        </is>
      </c>
      <c r="K26" s="17" t="inlineStr">
        <is>
          <t>LF023</t>
        </is>
      </c>
      <c r="L26" s="17" t="inlineStr">
        <is>
          <t>仙台支店</t>
        </is>
      </c>
      <c r="M26" s="17" t="inlineStr">
        <is>
          <t>N</t>
        </is>
      </c>
      <c r="N26" s="17" t="inlineStr">
        <is>
          <t>2026/12/24 00:00:00</t>
        </is>
      </c>
      <c r="P26" s="15" t="inlineStr">
        <is>
          <t>INSERT INTO</t>
        </is>
      </c>
      <c r="Q26" s="15" t="inlineStr">
        <is>
          <t>MST_UNIT_TBL</t>
        </is>
      </c>
      <c r="R26" s="15" t="inlineStr">
        <is>
          <t>VALUES(</t>
        </is>
      </c>
      <c r="S26" s="15" t="inlineStr">
        <is>
          <t>600 , 'LF023' , '仙台支店' , 'N' , to_timestamp('2026/12/24 00:00:00' , 'yyyy/MM/dd hh24:mi:ss')</t>
        </is>
      </c>
      <c r="T26" s="15" t="inlineStr">
        <is>
          <t>);</t>
        </is>
      </c>
      <c r="V26" s="18">
        <f>EXACT(TRIM(C26),J26&amp;"")</f>
        <v/>
      </c>
      <c r="W26" s="18">
        <f>EXACT(TRIM(D26),"'"&amp;K26&amp;"'")</f>
        <v/>
      </c>
      <c r="X26" s="18">
        <f>EXACT(TRIM(E26),"'"&amp;L26&amp;"'")</f>
        <v/>
      </c>
      <c r="Y26" s="18">
        <f>EXACT(TRIM(F26),"'"&amp;M26&amp;"'")</f>
        <v/>
      </c>
      <c r="Z26" s="18">
        <f>EXACT(TRIM(G26),"to_timestamp('"&amp;N26&amp;"'")</f>
        <v/>
      </c>
      <c r="AA26" s="18">
        <f>AND(V26:Z26)</f>
        <v/>
      </c>
      <c r="AB26" s="19">
        <f>TRIM(IF(V26,"",$V$3&amp;" ")&amp;IF(W26,"",$W$3&amp;" ")&amp;IF(X26,"",$X$3&amp;" ")&amp;IF(Y26,"",$Y$3&amp;" ")&amp;IF(Z26,"",$Z$3&amp;" "))</f>
        <v/>
      </c>
      <c r="AC26" s="18">
        <f>EXACT(SUBSTITUTE(A26," ",""),SUBSTITUTE(P26&amp;Q26&amp;R26&amp;S26&amp;T26," ",""))</f>
        <v/>
      </c>
    </row>
    <row r="27">
      <c r="A27" s="15" t="inlineStr">
        <is>
          <t>INSERT INTO MST_UNIT_TBL VALUES(601 , 'LF024' , '福岡支店' , 'N' , to_timestamp('2026/12/24 00:00:00' , 'yyyy/MM/dd hh24:mi:ss'));</t>
        </is>
      </c>
      <c r="B27" s="16" t="n"/>
      <c r="C27" s="15" t="inlineStr">
        <is>
          <t xml:space="preserve">601 </t>
        </is>
      </c>
      <c r="D27" s="15" t="inlineStr">
        <is>
          <t xml:space="preserve"> 'LF024' </t>
        </is>
      </c>
      <c r="E27" s="15" t="inlineStr">
        <is>
          <t xml:space="preserve"> '福岡支店' </t>
        </is>
      </c>
      <c r="F27" s="15" t="inlineStr">
        <is>
          <t xml:space="preserve"> 'N' </t>
        </is>
      </c>
      <c r="G27" s="15" t="inlineStr">
        <is>
          <t xml:space="preserve"> to_timestamp('2026/12/24 00:00:00' </t>
        </is>
      </c>
      <c r="H27" s="15" t="inlineStr">
        <is>
          <t xml:space="preserve"> 'yyyy/MM/dd hh24:mi:ss')</t>
        </is>
      </c>
      <c r="J27" s="17" t="inlineStr">
        <is>
          <t>601</t>
        </is>
      </c>
      <c r="K27" s="17" t="inlineStr">
        <is>
          <t>LF024</t>
        </is>
      </c>
      <c r="L27" s="17" t="inlineStr">
        <is>
          <t>福岡支店</t>
        </is>
      </c>
      <c r="M27" s="17" t="inlineStr">
        <is>
          <t>N</t>
        </is>
      </c>
      <c r="N27" s="17" t="inlineStr">
        <is>
          <t>2026/12/24 00:00:00</t>
        </is>
      </c>
      <c r="P27" s="15" t="inlineStr">
        <is>
          <t>INSERT INTO</t>
        </is>
      </c>
      <c r="Q27" s="15" t="inlineStr">
        <is>
          <t>MST_UNIT_TBL</t>
        </is>
      </c>
      <c r="R27" s="15" t="inlineStr">
        <is>
          <t>VALUES(</t>
        </is>
      </c>
      <c r="S27" s="15" t="inlineStr">
        <is>
          <t>601 , 'LF024' , '福岡支店' , 'N' , to_timestamp('2026/12/24 00:00:00' , 'yyyy/MM/dd hh24:mi:ss')</t>
        </is>
      </c>
      <c r="T27" s="15" t="inlineStr">
        <is>
          <t>);</t>
        </is>
      </c>
      <c r="V27" s="18">
        <f>EXACT(TRIM(C27),J27&amp;"")</f>
        <v/>
      </c>
      <c r="W27" s="18">
        <f>EXACT(TRIM(D27),"'"&amp;K27&amp;"'")</f>
        <v/>
      </c>
      <c r="X27" s="18">
        <f>EXACT(TRIM(E27),"'"&amp;L27&amp;"'")</f>
        <v/>
      </c>
      <c r="Y27" s="18">
        <f>EXACT(TRIM(F27),"'"&amp;M27&amp;"'")</f>
        <v/>
      </c>
      <c r="Z27" s="18">
        <f>EXACT(TRIM(G27),"to_timestamp('"&amp;N27&amp;"'")</f>
        <v/>
      </c>
      <c r="AA27" s="18">
        <f>AND(V27:Z27)</f>
        <v/>
      </c>
      <c r="AB27" s="19">
        <f>TRIM(IF(V27,"",$V$3&amp;" ")&amp;IF(W27,"",$W$3&amp;" ")&amp;IF(X27,"",$X$3&amp;" ")&amp;IF(Y27,"",$Y$3&amp;" ")&amp;IF(Z27,"",$Z$3&amp;" "))</f>
        <v/>
      </c>
      <c r="AC27" s="18">
        <f>EXACT(SUBSTITUTE(A27," ",""),SUBSTITUTE(P27&amp;Q27&amp;R27&amp;S27&amp;T27," ",""))</f>
        <v/>
      </c>
    </row>
    <row r="28">
      <c r="A28" s="15" t="inlineStr">
        <is>
          <t>INSERT INTO MST_UNIT_TBL VALUES(602 , 'LF025' , '広島営業部' , 'N' , to_timestamp('2026/12/24 00:00:00' , 'yyyy/MM/dd hh24:mi:ss'));</t>
        </is>
      </c>
      <c r="B28" s="16" t="n"/>
      <c r="C28" s="15" t="inlineStr">
        <is>
          <t xml:space="preserve">602 </t>
        </is>
      </c>
      <c r="D28" s="15" t="inlineStr">
        <is>
          <t xml:space="preserve"> 'LF025' </t>
        </is>
      </c>
      <c r="E28" s="15" t="inlineStr">
        <is>
          <t xml:space="preserve"> '広島営業部' </t>
        </is>
      </c>
      <c r="F28" s="15" t="inlineStr">
        <is>
          <t xml:space="preserve"> 'N' </t>
        </is>
      </c>
      <c r="G28" s="15" t="inlineStr">
        <is>
          <t xml:space="preserve"> to_timestamp('2026/12/24 00:00:00' </t>
        </is>
      </c>
      <c r="H28" s="15" t="inlineStr">
        <is>
          <t xml:space="preserve"> 'yyyy/MM/dd hh24:mi:ss')</t>
        </is>
      </c>
      <c r="J28" s="17" t="inlineStr">
        <is>
          <t>602</t>
        </is>
      </c>
      <c r="K28" s="17" t="inlineStr">
        <is>
          <t>LF025</t>
        </is>
      </c>
      <c r="L28" s="17" t="inlineStr">
        <is>
          <t>広島営業部</t>
        </is>
      </c>
      <c r="M28" s="17" t="inlineStr">
        <is>
          <t>N</t>
        </is>
      </c>
      <c r="N28" s="17" t="inlineStr">
        <is>
          <t>2026/12/24 00:00:00</t>
        </is>
      </c>
      <c r="P28" s="15" t="inlineStr">
        <is>
          <t>INSERT INTO</t>
        </is>
      </c>
      <c r="Q28" s="15" t="inlineStr">
        <is>
          <t>MST_UNIT_TBL</t>
        </is>
      </c>
      <c r="R28" s="15" t="inlineStr">
        <is>
          <t>VALUES(</t>
        </is>
      </c>
      <c r="S28" s="15" t="inlineStr">
        <is>
          <t>602 , 'LF025' , '広島営業部' , 'N' , to_timestamp('2026/12/24 00:00:00' , 'yyyy/MM/dd hh24:mi:ss')</t>
        </is>
      </c>
      <c r="T28" s="15" t="inlineStr">
        <is>
          <t>);</t>
        </is>
      </c>
      <c r="V28" s="18">
        <f>EXACT(TRIM(C28),J28&amp;"")</f>
        <v/>
      </c>
      <c r="W28" s="18">
        <f>EXACT(TRIM(D28),"'"&amp;K28&amp;"'")</f>
        <v/>
      </c>
      <c r="X28" s="18">
        <f>EXACT(TRIM(E28),"'"&amp;L28&amp;"'")</f>
        <v/>
      </c>
      <c r="Y28" s="18">
        <f>EXACT(TRIM(F28),"'"&amp;M28&amp;"'")</f>
        <v/>
      </c>
      <c r="Z28" s="18">
        <f>EXACT(TRIM(G28),"to_timestamp('"&amp;N28&amp;"'")</f>
        <v/>
      </c>
      <c r="AA28" s="18">
        <f>AND(V28:Z28)</f>
        <v/>
      </c>
      <c r="AB28" s="19">
        <f>TRIM(IF(V28,"",$V$3&amp;" ")&amp;IF(W28,"",$W$3&amp;" ")&amp;IF(X28,"",$X$3&amp;" ")&amp;IF(Y28,"",$Y$3&amp;" ")&amp;IF(Z28,"",$Z$3&amp;" "))</f>
        <v/>
      </c>
      <c r="AC28" s="18">
        <f>EXACT(SUBSTITUTE(A28," ",""),SUBSTITUTE(P28&amp;Q28&amp;R28&amp;S28&amp;T28," ",""))</f>
        <v/>
      </c>
    </row>
  </sheetData>
  <autoFilter ref="A3:AF28"/>
  <mergeCells count="9">
    <mergeCell ref="C2:H2"/>
    <mergeCell ref="AE2:AF2"/>
    <mergeCell ref="V1:AC1"/>
    <mergeCell ref="J2:N2"/>
    <mergeCell ref="AE1:AF1"/>
    <mergeCell ref="P2:T2"/>
    <mergeCell ref="V2:AB2"/>
    <mergeCell ref="J1:T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" customWidth="1" min="6" max="6"/>
    <col width="15" customWidth="1" min="7" max="7"/>
    <col width="15" customWidth="1" min="8" max="8"/>
    <col width="15" customWidth="1" min="9" max="9"/>
    <col width="2" customWidth="1" min="10" max="10"/>
    <col width="11" customWidth="1" min="11" max="11"/>
    <col width="11" customWidth="1" min="12" max="12"/>
    <col width="11" customWidth="1" min="13" max="13"/>
    <col width="62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24" customWidth="1" min="21" max="21"/>
    <col width="11" customWidth="1" min="22" max="22"/>
    <col width="2" customWidth="1" min="23" max="23"/>
    <col width="8" customWidth="1" min="24" max="24"/>
    <col width="30" customWidth="1" min="25" max="25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3" t="n"/>
      <c r="G1" s="4" t="inlineStr">
        <is>
          <t>②③ マスタ定義書</t>
        </is>
      </c>
      <c r="H1" s="2" t="n"/>
      <c r="I1" s="2" t="n"/>
      <c r="J1" s="2" t="n"/>
      <c r="K1" s="2" t="n"/>
      <c r="L1" s="2" t="n"/>
      <c r="M1" s="2" t="n"/>
      <c r="N1" s="2" t="n"/>
      <c r="O1" s="3" t="n"/>
      <c r="Q1" s="5" t="inlineStr">
        <is>
          <t>突合</t>
        </is>
      </c>
      <c r="R1" s="2" t="n"/>
      <c r="S1" s="2" t="n"/>
      <c r="T1" s="2" t="n"/>
      <c r="U1" s="2" t="n"/>
      <c r="V1" s="3" t="n"/>
      <c r="X1" s="6" t="inlineStr">
        <is>
          <t>確認結果（記入欄）</t>
        </is>
      </c>
      <c r="Y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3" t="n"/>
      <c r="G2" s="4" t="inlineStr">
        <is>
          <t>横浜銀行様用出荷設定</t>
        </is>
      </c>
      <c r="H2" s="2" t="n"/>
      <c r="I2" s="3" t="n"/>
      <c r="K2" s="8" t="inlineStr">
        <is>
          <t>SQL</t>
        </is>
      </c>
      <c r="L2" s="2" t="n"/>
      <c r="M2" s="2" t="n"/>
      <c r="N2" s="2" t="n"/>
      <c r="O2" s="3" t="n"/>
      <c r="Q2" s="5" t="inlineStr">
        <is>
          <t>①②の突合（項目ごと）</t>
        </is>
      </c>
      <c r="R2" s="2" t="n"/>
      <c r="S2" s="2" t="n"/>
      <c r="T2" s="2" t="n"/>
      <c r="U2" s="3" t="n"/>
      <c r="V2" s="5" t="inlineStr">
        <is>
          <t>①③の突合</t>
        </is>
      </c>
      <c r="X2" s="6" t="inlineStr">
        <is>
          <t>確認結果</t>
        </is>
      </c>
      <c r="Y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G3" s="11" t="inlineStr">
        <is>
          <t>EXEC_AUTH_ID</t>
        </is>
      </c>
      <c r="H3" s="11" t="inlineStr">
        <is>
          <t>DEAL_ID</t>
        </is>
      </c>
      <c r="I3" s="11" t="inlineStr">
        <is>
          <t>EXEC_AUTH_NAME</t>
        </is>
      </c>
      <c r="K3" s="12" t="inlineStr">
        <is>
          <t>固定</t>
        </is>
      </c>
      <c r="L3" s="12" t="inlineStr">
        <is>
          <t>固定</t>
        </is>
      </c>
      <c r="M3" s="12" t="inlineStr">
        <is>
          <t>固定</t>
        </is>
      </c>
      <c r="N3" s="12" t="inlineStr">
        <is>
          <t>数式</t>
        </is>
      </c>
      <c r="O3" s="12" t="inlineStr">
        <is>
          <t>固定</t>
        </is>
      </c>
      <c r="Q3" s="13" t="inlineStr">
        <is>
          <t>EXEC_AUTH_ID</t>
        </is>
      </c>
      <c r="R3" s="13" t="inlineStr">
        <is>
          <t>DEAL_ID</t>
        </is>
      </c>
      <c r="S3" s="13" t="inlineStr">
        <is>
          <t>EXEC_AUTH_NAME</t>
        </is>
      </c>
      <c r="T3" s="13" t="inlineStr">
        <is>
          <t>全項目一致</t>
        </is>
      </c>
      <c r="U3" s="13" t="inlineStr">
        <is>
          <t>相違した項目</t>
        </is>
      </c>
      <c r="V3" s="13" t="inlineStr">
        <is>
          <t>SQL文一致</t>
        </is>
      </c>
      <c r="X3" s="14" t="inlineStr">
        <is>
          <t>判定</t>
        </is>
      </c>
      <c r="Y3" s="14" t="inlineStr">
        <is>
          <t>備考</t>
        </is>
      </c>
    </row>
    <row r="4">
      <c r="A4" s="15" t="inlineStr">
        <is>
          <t>INSERT INTO MST_AUTH_TBL VALUES(551 , 10 , 'LF・LOANS＋');</t>
        </is>
      </c>
      <c r="B4" s="16" t="n"/>
      <c r="C4" s="15" t="inlineStr">
        <is>
          <t xml:space="preserve">551 </t>
        </is>
      </c>
      <c r="D4" s="15" t="inlineStr">
        <is>
          <t xml:space="preserve"> 10 </t>
        </is>
      </c>
      <c r="E4" s="15" t="inlineStr">
        <is>
          <t xml:space="preserve"> 'LF・LOANS＋'</t>
        </is>
      </c>
      <c r="G4" s="17" t="inlineStr">
        <is>
          <t>551</t>
        </is>
      </c>
      <c r="H4" s="17" t="inlineStr">
        <is>
          <t>10</t>
        </is>
      </c>
      <c r="I4" s="17" t="inlineStr">
        <is>
          <t>LF・LOANS＋</t>
        </is>
      </c>
      <c r="K4" s="15" t="inlineStr">
        <is>
          <t>INSERT INTO</t>
        </is>
      </c>
      <c r="L4" s="15" t="inlineStr">
        <is>
          <t>MST_AUTH_TBL</t>
        </is>
      </c>
      <c r="M4" s="15" t="inlineStr">
        <is>
          <t>VALUES(</t>
        </is>
      </c>
      <c r="N4" s="15" t="inlineStr">
        <is>
          <t>551 , 10 , 'LF・LOANS＋'</t>
        </is>
      </c>
      <c r="O4" s="15" t="inlineStr">
        <is>
          <t>);</t>
        </is>
      </c>
      <c r="Q4" s="18">
        <f>EXACT(TRIM(C4),G4&amp;"")</f>
        <v/>
      </c>
      <c r="R4" s="18">
        <f>EXACT(TRIM(D4),H4&amp;"")</f>
        <v/>
      </c>
      <c r="S4" s="18">
        <f>EXACT(TRIM(E4),"'"&amp;I4&amp;"'")</f>
        <v/>
      </c>
      <c r="T4" s="18">
        <f>AND(Q4:S4)</f>
        <v/>
      </c>
      <c r="U4" s="19">
        <f>TRIM(IF(Q4,"",$Q$3&amp;" ")&amp;IF(R4,"",$R$3&amp;" ")&amp;IF(S4,"",$S$3&amp;" "))</f>
        <v/>
      </c>
      <c r="V4" s="18">
        <f>EXACT(SUBSTITUTE(A4," ",""),SUBSTITUTE(K4&amp;L4&amp;M4&amp;N4&amp;O4," ",""))</f>
        <v/>
      </c>
    </row>
    <row r="5">
      <c r="A5" s="15" t="inlineStr">
        <is>
          <t>INSERT INTO MST_AUTH_TBL VALUES(552 , 11 , 'LF・LOANS＋');</t>
        </is>
      </c>
      <c r="B5" s="16" t="n"/>
      <c r="C5" s="15" t="inlineStr">
        <is>
          <t xml:space="preserve">552 </t>
        </is>
      </c>
      <c r="D5" s="15" t="inlineStr">
        <is>
          <t xml:space="preserve"> 11 </t>
        </is>
      </c>
      <c r="E5" s="15" t="inlineStr">
        <is>
          <t xml:space="preserve"> 'LF・LOANS＋'</t>
        </is>
      </c>
      <c r="G5" s="17" t="inlineStr">
        <is>
          <t>552</t>
        </is>
      </c>
      <c r="H5" s="17" t="inlineStr">
        <is>
          <t>11</t>
        </is>
      </c>
      <c r="I5" s="17" t="inlineStr">
        <is>
          <t>LF・LOANS＋</t>
        </is>
      </c>
      <c r="K5" s="15" t="inlineStr">
        <is>
          <t>INSERT INTO</t>
        </is>
      </c>
      <c r="L5" s="15" t="inlineStr">
        <is>
          <t>MST_AUTH_TBL</t>
        </is>
      </c>
      <c r="M5" s="15" t="inlineStr">
        <is>
          <t>VALUES(</t>
        </is>
      </c>
      <c r="N5" s="15" t="inlineStr">
        <is>
          <t>552 , 11 , 'LF・LOANS＋'</t>
        </is>
      </c>
      <c r="O5" s="15" t="inlineStr">
        <is>
          <t>);</t>
        </is>
      </c>
      <c r="Q5" s="18">
        <f>EXACT(TRIM(C5),G5&amp;"")</f>
        <v/>
      </c>
      <c r="R5" s="18">
        <f>EXACT(TRIM(D5),H5&amp;"")</f>
        <v/>
      </c>
      <c r="S5" s="18">
        <f>EXACT(TRIM(E5),"'"&amp;I5&amp;"'")</f>
        <v/>
      </c>
      <c r="T5" s="18">
        <f>AND(Q5:S5)</f>
        <v/>
      </c>
      <c r="U5" s="19">
        <f>TRIM(IF(Q5,"",$Q$3&amp;" ")&amp;IF(R5,"",$R$3&amp;" ")&amp;IF(S5,"",$S$3&amp;" "))</f>
        <v/>
      </c>
      <c r="V5" s="18">
        <f>EXACT(SUBSTITUTE(A5," ",""),SUBSTITUTE(K5&amp;L5&amp;M5&amp;N5&amp;O5," ",""))</f>
        <v/>
      </c>
    </row>
    <row r="6">
      <c r="A6" s="15" t="inlineStr">
        <is>
          <t>INSERT INTO MST_AUTH_TBL VALUES(553 , 27 , 'LF・LOANS＋');</t>
        </is>
      </c>
      <c r="B6" s="16" t="n"/>
      <c r="C6" s="15" t="inlineStr">
        <is>
          <t xml:space="preserve">553 </t>
        </is>
      </c>
      <c r="D6" s="15" t="inlineStr">
        <is>
          <t xml:space="preserve"> 27 </t>
        </is>
      </c>
      <c r="E6" s="15" t="inlineStr">
        <is>
          <t xml:space="preserve"> 'LF・LOANS＋'</t>
        </is>
      </c>
      <c r="G6" s="17" t="inlineStr">
        <is>
          <t>553</t>
        </is>
      </c>
      <c r="H6" s="17" t="inlineStr">
        <is>
          <t>27</t>
        </is>
      </c>
      <c r="I6" s="17" t="inlineStr">
        <is>
          <t>LF・LOANS＋</t>
        </is>
      </c>
      <c r="K6" s="15" t="inlineStr">
        <is>
          <t>INSERT INTO</t>
        </is>
      </c>
      <c r="L6" s="15" t="inlineStr">
        <is>
          <t>MST_AUTH_TBL</t>
        </is>
      </c>
      <c r="M6" s="15" t="inlineStr">
        <is>
          <t>VALUES(</t>
        </is>
      </c>
      <c r="N6" s="15" t="inlineStr">
        <is>
          <t>553 , 27 , 'LF・LOANS＋'</t>
        </is>
      </c>
      <c r="O6" s="15" t="inlineStr">
        <is>
          <t>);</t>
        </is>
      </c>
      <c r="Q6" s="18">
        <f>EXACT(TRIM(C6),G6&amp;"")</f>
        <v/>
      </c>
      <c r="R6" s="18">
        <f>EXACT(TRIM(D6),H6&amp;"")</f>
        <v/>
      </c>
      <c r="S6" s="18">
        <f>EXACT(TRIM(E6),"'"&amp;I6&amp;"'")</f>
        <v/>
      </c>
      <c r="T6" s="18">
        <f>AND(Q6:S6)</f>
        <v/>
      </c>
      <c r="U6" s="19">
        <f>TRIM(IF(Q6,"",$Q$3&amp;" ")&amp;IF(R6,"",$R$3&amp;" ")&amp;IF(S6,"",$S$3&amp;" "))</f>
        <v/>
      </c>
      <c r="V6" s="18">
        <f>EXACT(SUBSTITUTE(A6," ",""),SUBSTITUTE(K6&amp;L6&amp;M6&amp;N6&amp;O6," ",""))</f>
        <v/>
      </c>
    </row>
    <row r="7">
      <c r="A7" s="15" t="inlineStr">
        <is>
          <t>INSERT INTO MST_AUTH_TBL VALUES(554 , 10 , 'LF・OLION');</t>
        </is>
      </c>
      <c r="B7" s="16" t="n"/>
      <c r="C7" s="15" t="inlineStr">
        <is>
          <t xml:space="preserve">554 </t>
        </is>
      </c>
      <c r="D7" s="15" t="inlineStr">
        <is>
          <t xml:space="preserve"> 10 </t>
        </is>
      </c>
      <c r="E7" s="15" t="inlineStr">
        <is>
          <t xml:space="preserve"> 'LF・OLION'</t>
        </is>
      </c>
      <c r="G7" s="17" t="inlineStr">
        <is>
          <t>554</t>
        </is>
      </c>
      <c r="H7" s="17" t="inlineStr">
        <is>
          <t>10</t>
        </is>
      </c>
      <c r="I7" s="17" t="inlineStr">
        <is>
          <t>LF・OLION</t>
        </is>
      </c>
      <c r="K7" s="15" t="inlineStr">
        <is>
          <t>INSERT INTO</t>
        </is>
      </c>
      <c r="L7" s="15" t="inlineStr">
        <is>
          <t>MST_AUTH_TBL</t>
        </is>
      </c>
      <c r="M7" s="15" t="inlineStr">
        <is>
          <t>VALUES(</t>
        </is>
      </c>
      <c r="N7" s="15" t="inlineStr">
        <is>
          <t>554 , 10 , 'LF・OLION'</t>
        </is>
      </c>
      <c r="O7" s="15" t="inlineStr">
        <is>
          <t>);</t>
        </is>
      </c>
      <c r="Q7" s="18">
        <f>EXACT(TRIM(C7),G7&amp;"")</f>
        <v/>
      </c>
      <c r="R7" s="18">
        <f>EXACT(TRIM(D7),H7&amp;"")</f>
        <v/>
      </c>
      <c r="S7" s="18">
        <f>EXACT(TRIM(E7),"'"&amp;I7&amp;"'")</f>
        <v/>
      </c>
      <c r="T7" s="18">
        <f>AND(Q7:S7)</f>
        <v/>
      </c>
      <c r="U7" s="19">
        <f>TRIM(IF(Q7,"",$Q$3&amp;" ")&amp;IF(R7,"",$R$3&amp;" ")&amp;IF(S7,"",$S$3&amp;" "))</f>
        <v/>
      </c>
      <c r="V7" s="18">
        <f>EXACT(SUBSTITUTE(A7," ",""),SUBSTITUTE(K7&amp;L7&amp;M7&amp;N7&amp;O7," ",""))</f>
        <v/>
      </c>
    </row>
    <row r="8">
      <c r="A8" s="15" t="inlineStr">
        <is>
          <t>INSERT INTO MST_AUTH_TBL VALUES(555 , 11 , 'LF・OLION');</t>
        </is>
      </c>
      <c r="B8" s="16" t="n"/>
      <c r="C8" s="15" t="inlineStr">
        <is>
          <t xml:space="preserve">555 </t>
        </is>
      </c>
      <c r="D8" s="15" t="inlineStr">
        <is>
          <t xml:space="preserve"> 11 </t>
        </is>
      </c>
      <c r="E8" s="15" t="inlineStr">
        <is>
          <t xml:space="preserve"> 'LF・OLION'</t>
        </is>
      </c>
      <c r="G8" s="17" t="inlineStr">
        <is>
          <t>555</t>
        </is>
      </c>
      <c r="H8" s="17" t="inlineStr">
        <is>
          <t>11</t>
        </is>
      </c>
      <c r="I8" s="17" t="inlineStr">
        <is>
          <t>LF・OLION</t>
        </is>
      </c>
      <c r="K8" s="15" t="inlineStr">
        <is>
          <t>INSERT INTO</t>
        </is>
      </c>
      <c r="L8" s="15" t="inlineStr">
        <is>
          <t>MST_AUTH_TBL</t>
        </is>
      </c>
      <c r="M8" s="15" t="inlineStr">
        <is>
          <t>VALUES(</t>
        </is>
      </c>
      <c r="N8" s="15" t="inlineStr">
        <is>
          <t>555 , 11 , 'LF・OLION'</t>
        </is>
      </c>
      <c r="O8" s="15" t="inlineStr">
        <is>
          <t>);</t>
        </is>
      </c>
      <c r="Q8" s="18">
        <f>EXACT(TRIM(C8),G8&amp;"")</f>
        <v/>
      </c>
      <c r="R8" s="18">
        <f>EXACT(TRIM(D8),H8&amp;"")</f>
        <v/>
      </c>
      <c r="S8" s="18">
        <f>EXACT(TRIM(E8),"'"&amp;I8&amp;"'")</f>
        <v/>
      </c>
      <c r="T8" s="18">
        <f>AND(Q8:S8)</f>
        <v/>
      </c>
      <c r="U8" s="19">
        <f>TRIM(IF(Q8,"",$Q$3&amp;" ")&amp;IF(R8,"",$R$3&amp;" ")&amp;IF(S8,"",$S$3&amp;" "))</f>
        <v/>
      </c>
      <c r="V8" s="18">
        <f>EXACT(SUBSTITUTE(A8," ",""),SUBSTITUTE(K8&amp;L8&amp;M8&amp;N8&amp;O8," ",""))</f>
        <v/>
      </c>
    </row>
    <row r="9">
      <c r="A9" s="15" t="inlineStr">
        <is>
          <t>INSERT INTO MST_AUTH_TBL VALUES(556 , 27 , 'LF・OLION');</t>
        </is>
      </c>
      <c r="B9" s="16" t="n"/>
      <c r="C9" s="15" t="inlineStr">
        <is>
          <t xml:space="preserve">556 </t>
        </is>
      </c>
      <c r="D9" s="15" t="inlineStr">
        <is>
          <t xml:space="preserve"> 27 </t>
        </is>
      </c>
      <c r="E9" s="15" t="inlineStr">
        <is>
          <t xml:space="preserve"> 'LF・OLION'</t>
        </is>
      </c>
      <c r="G9" s="17" t="inlineStr">
        <is>
          <t>556</t>
        </is>
      </c>
      <c r="H9" s="17" t="inlineStr">
        <is>
          <t>27</t>
        </is>
      </c>
      <c r="I9" s="17" t="inlineStr">
        <is>
          <t>LF・OLION</t>
        </is>
      </c>
      <c r="K9" s="15" t="inlineStr">
        <is>
          <t>INSERT INTO</t>
        </is>
      </c>
      <c r="L9" s="15" t="inlineStr">
        <is>
          <t>MST_AUTH_TBL</t>
        </is>
      </c>
      <c r="M9" s="15" t="inlineStr">
        <is>
          <t>VALUES(</t>
        </is>
      </c>
      <c r="N9" s="15" t="inlineStr">
        <is>
          <t>556 , 27 , 'LF・OLION'</t>
        </is>
      </c>
      <c r="O9" s="15" t="inlineStr">
        <is>
          <t>);</t>
        </is>
      </c>
      <c r="Q9" s="18">
        <f>EXACT(TRIM(C9),G9&amp;"")</f>
        <v/>
      </c>
      <c r="R9" s="18">
        <f>EXACT(TRIM(D9),H9&amp;"")</f>
        <v/>
      </c>
      <c r="S9" s="18">
        <f>EXACT(TRIM(E9),"'"&amp;I9&amp;"'")</f>
        <v/>
      </c>
      <c r="T9" s="18">
        <f>AND(Q9:S9)</f>
        <v/>
      </c>
      <c r="U9" s="19">
        <f>TRIM(IF(Q9,"",$Q$3&amp;" ")&amp;IF(R9,"",$R$3&amp;" ")&amp;IF(S9,"",$S$3&amp;" "))</f>
        <v/>
      </c>
      <c r="V9" s="18">
        <f>EXACT(SUBSTITUTE(A9," ",""),SUBSTITUTE(K9&amp;L9&amp;M9&amp;N9&amp;O9," ",""))</f>
        <v/>
      </c>
    </row>
    <row r="10">
      <c r="A10" s="15" t="inlineStr">
        <is>
          <t>INSERT INTO MST_AUTH_TBL VALUES(557 , 10 , 'LF・NEON');</t>
        </is>
      </c>
      <c r="B10" s="16" t="n"/>
      <c r="C10" s="15" t="inlineStr">
        <is>
          <t xml:space="preserve">557 </t>
        </is>
      </c>
      <c r="D10" s="15" t="inlineStr">
        <is>
          <t xml:space="preserve"> 10 </t>
        </is>
      </c>
      <c r="E10" s="15" t="inlineStr">
        <is>
          <t xml:space="preserve"> 'LF・NEON'</t>
        </is>
      </c>
      <c r="G10" s="17" t="inlineStr">
        <is>
          <t>557</t>
        </is>
      </c>
      <c r="H10" s="17" t="inlineStr">
        <is>
          <t>10</t>
        </is>
      </c>
      <c r="I10" s="17" t="inlineStr">
        <is>
          <t>LF・NEON</t>
        </is>
      </c>
      <c r="K10" s="15" t="inlineStr">
        <is>
          <t>INSERT INTO</t>
        </is>
      </c>
      <c r="L10" s="15" t="inlineStr">
        <is>
          <t>MST_AUTH_TBL</t>
        </is>
      </c>
      <c r="M10" s="15" t="inlineStr">
        <is>
          <t>VALUES(</t>
        </is>
      </c>
      <c r="N10" s="15" t="inlineStr">
        <is>
          <t>557 , 10 , 'LF・NEON'</t>
        </is>
      </c>
      <c r="O10" s="15" t="inlineStr">
        <is>
          <t>);</t>
        </is>
      </c>
      <c r="Q10" s="18">
        <f>EXACT(TRIM(C10),G10&amp;"")</f>
        <v/>
      </c>
      <c r="R10" s="18">
        <f>EXACT(TRIM(D10),H10&amp;"")</f>
        <v/>
      </c>
      <c r="S10" s="18">
        <f>EXACT(TRIM(E10),"'"&amp;I10&amp;"'")</f>
        <v/>
      </c>
      <c r="T10" s="18">
        <f>AND(Q10:S10)</f>
        <v/>
      </c>
      <c r="U10" s="19">
        <f>TRIM(IF(Q10,"",$Q$3&amp;" ")&amp;IF(R10,"",$R$3&amp;" ")&amp;IF(S10,"",$S$3&amp;" "))</f>
        <v/>
      </c>
      <c r="V10" s="18">
        <f>EXACT(SUBSTITUTE(A10," ",""),SUBSTITUTE(K10&amp;L10&amp;M10&amp;N10&amp;O10," ",""))</f>
        <v/>
      </c>
    </row>
    <row r="11">
      <c r="A11" s="15" t="inlineStr">
        <is>
          <t>INSERT INTO MST_AUTH_TBL VALUES(558 , 11 , 'LF・NEON');</t>
        </is>
      </c>
      <c r="B11" s="16" t="n"/>
      <c r="C11" s="15" t="inlineStr">
        <is>
          <t xml:space="preserve">558 </t>
        </is>
      </c>
      <c r="D11" s="15" t="inlineStr">
        <is>
          <t xml:space="preserve"> 11 </t>
        </is>
      </c>
      <c r="E11" s="15" t="inlineStr">
        <is>
          <t xml:space="preserve"> 'LF・NEON'</t>
        </is>
      </c>
      <c r="G11" s="17" t="inlineStr">
        <is>
          <t>558</t>
        </is>
      </c>
      <c r="H11" s="17" t="inlineStr">
        <is>
          <t>11</t>
        </is>
      </c>
      <c r="I11" s="17" t="inlineStr">
        <is>
          <t>LF・NEON</t>
        </is>
      </c>
      <c r="K11" s="15" t="inlineStr">
        <is>
          <t>INSERT INTO</t>
        </is>
      </c>
      <c r="L11" s="15" t="inlineStr">
        <is>
          <t>MST_AUTH_TBL</t>
        </is>
      </c>
      <c r="M11" s="15" t="inlineStr">
        <is>
          <t>VALUES(</t>
        </is>
      </c>
      <c r="N11" s="15" t="inlineStr">
        <is>
          <t>558 , 11 , 'LF・NEON'</t>
        </is>
      </c>
      <c r="O11" s="15" t="inlineStr">
        <is>
          <t>);</t>
        </is>
      </c>
      <c r="Q11" s="18">
        <f>EXACT(TRIM(C11),G11&amp;"")</f>
        <v/>
      </c>
      <c r="R11" s="18">
        <f>EXACT(TRIM(D11),H11&amp;"")</f>
        <v/>
      </c>
      <c r="S11" s="18">
        <f>EXACT(TRIM(E11),"'"&amp;I11&amp;"'")</f>
        <v/>
      </c>
      <c r="T11" s="18">
        <f>AND(Q11:S11)</f>
        <v/>
      </c>
      <c r="U11" s="19">
        <f>TRIM(IF(Q11,"",$Q$3&amp;" ")&amp;IF(R11,"",$R$3&amp;" ")&amp;IF(S11,"",$S$3&amp;" "))</f>
        <v/>
      </c>
      <c r="V11" s="18">
        <f>EXACT(SUBSTITUTE(A11," ",""),SUBSTITUTE(K11&amp;L11&amp;M11&amp;N11&amp;O11," ",""))</f>
        <v/>
      </c>
    </row>
    <row r="12">
      <c r="A12" s="15" t="inlineStr">
        <is>
          <t>INSERT INTO MST_AUTH_TBL VALUES(559 , 27 , 'LF・NEON');</t>
        </is>
      </c>
      <c r="B12" s="16" t="n"/>
      <c r="C12" s="15" t="inlineStr">
        <is>
          <t xml:space="preserve">559 </t>
        </is>
      </c>
      <c r="D12" s="15" t="inlineStr">
        <is>
          <t xml:space="preserve"> 27 </t>
        </is>
      </c>
      <c r="E12" s="15" t="inlineStr">
        <is>
          <t xml:space="preserve"> 'LF・NEON'</t>
        </is>
      </c>
      <c r="G12" s="17" t="inlineStr">
        <is>
          <t>559</t>
        </is>
      </c>
      <c r="H12" s="17" t="inlineStr">
        <is>
          <t>27</t>
        </is>
      </c>
      <c r="I12" s="17" t="inlineStr">
        <is>
          <t>LF・NEON</t>
        </is>
      </c>
      <c r="K12" s="15" t="inlineStr">
        <is>
          <t>INSERT INTO</t>
        </is>
      </c>
      <c r="L12" s="15" t="inlineStr">
        <is>
          <t>MST_AUTH_TBL</t>
        </is>
      </c>
      <c r="M12" s="15" t="inlineStr">
        <is>
          <t>VALUES(</t>
        </is>
      </c>
      <c r="N12" s="15" t="inlineStr">
        <is>
          <t>559 , 27 , 'LF・NEON'</t>
        </is>
      </c>
      <c r="O12" s="15" t="inlineStr">
        <is>
          <t>);</t>
        </is>
      </c>
      <c r="Q12" s="18">
        <f>EXACT(TRIM(C12),G12&amp;"")</f>
        <v/>
      </c>
      <c r="R12" s="18">
        <f>EXACT(TRIM(D12),H12&amp;"")</f>
        <v/>
      </c>
      <c r="S12" s="18">
        <f>EXACT(TRIM(E12),"'"&amp;I12&amp;"'")</f>
        <v/>
      </c>
      <c r="T12" s="18">
        <f>AND(Q12:S12)</f>
        <v/>
      </c>
      <c r="U12" s="19">
        <f>TRIM(IF(Q12,"",$Q$3&amp;" ")&amp;IF(R12,"",$R$3&amp;" ")&amp;IF(S12,"",$S$3&amp;" "))</f>
        <v/>
      </c>
      <c r="V12" s="18">
        <f>EXACT(SUBSTITUTE(A12," ",""),SUBSTITUTE(K12&amp;L12&amp;M12&amp;N12&amp;O12," ",""))</f>
        <v/>
      </c>
    </row>
    <row r="13">
      <c r="A13" s="15" t="inlineStr">
        <is>
          <t>INSERT INTO MST_AUTH_TBL VALUES(560 , 10 , 'LF・融資先以外');</t>
        </is>
      </c>
      <c r="B13" s="16" t="n"/>
      <c r="C13" s="15" t="inlineStr">
        <is>
          <t xml:space="preserve">560 </t>
        </is>
      </c>
      <c r="D13" s="15" t="inlineStr">
        <is>
          <t xml:space="preserve"> 10 </t>
        </is>
      </c>
      <c r="E13" s="15" t="inlineStr">
        <is>
          <t xml:space="preserve"> 'LF・融資先以外'</t>
        </is>
      </c>
      <c r="G13" s="17" t="inlineStr">
        <is>
          <t>560</t>
        </is>
      </c>
      <c r="H13" s="17" t="inlineStr">
        <is>
          <t>10</t>
        </is>
      </c>
      <c r="I13" s="17" t="inlineStr">
        <is>
          <t>LF・融資先以外</t>
        </is>
      </c>
      <c r="K13" s="15" t="inlineStr">
        <is>
          <t>INSERT INTO</t>
        </is>
      </c>
      <c r="L13" s="15" t="inlineStr">
        <is>
          <t>MST_AUTH_TBL</t>
        </is>
      </c>
      <c r="M13" s="15" t="inlineStr">
        <is>
          <t>VALUES(</t>
        </is>
      </c>
      <c r="N13" s="15" t="inlineStr">
        <is>
          <t>560 , 10 , 'LF・融資先以外'</t>
        </is>
      </c>
      <c r="O13" s="15" t="inlineStr">
        <is>
          <t>);</t>
        </is>
      </c>
      <c r="Q13" s="18">
        <f>EXACT(TRIM(C13),G13&amp;"")</f>
        <v/>
      </c>
      <c r="R13" s="18">
        <f>EXACT(TRIM(D13),H13&amp;"")</f>
        <v/>
      </c>
      <c r="S13" s="18">
        <f>EXACT(TRIM(E13),"'"&amp;I13&amp;"'")</f>
        <v/>
      </c>
      <c r="T13" s="18">
        <f>AND(Q13:S13)</f>
        <v/>
      </c>
      <c r="U13" s="19">
        <f>TRIM(IF(Q13,"",$Q$3&amp;" ")&amp;IF(R13,"",$R$3&amp;" ")&amp;IF(S13,"",$S$3&amp;" "))</f>
        <v/>
      </c>
      <c r="V13" s="18">
        <f>EXACT(SUBSTITUTE(A13," ",""),SUBSTITUTE(K13&amp;L13&amp;M13&amp;N13&amp;O13," ",""))</f>
        <v/>
      </c>
    </row>
    <row r="14">
      <c r="A14" s="15" t="inlineStr">
        <is>
          <t>INSERT INTO MST_AUTH_TBL VALUES(561 , 11 , 'LF・融資先以外');</t>
        </is>
      </c>
      <c r="B14" s="16" t="n"/>
      <c r="C14" s="15" t="inlineStr">
        <is>
          <t xml:space="preserve">561 </t>
        </is>
      </c>
      <c r="D14" s="15" t="inlineStr">
        <is>
          <t xml:space="preserve"> 11 </t>
        </is>
      </c>
      <c r="E14" s="15" t="inlineStr">
        <is>
          <t xml:space="preserve"> 'LF・融資先以外'</t>
        </is>
      </c>
      <c r="G14" s="17" t="inlineStr">
        <is>
          <t>561</t>
        </is>
      </c>
      <c r="H14" s="17" t="inlineStr">
        <is>
          <t>11</t>
        </is>
      </c>
      <c r="I14" s="17" t="inlineStr">
        <is>
          <t>LF・融資先以外</t>
        </is>
      </c>
      <c r="K14" s="15" t="inlineStr">
        <is>
          <t>INSERT INTO</t>
        </is>
      </c>
      <c r="L14" s="15" t="inlineStr">
        <is>
          <t>MST_AUTH_TBL</t>
        </is>
      </c>
      <c r="M14" s="15" t="inlineStr">
        <is>
          <t>VALUES(</t>
        </is>
      </c>
      <c r="N14" s="15" t="inlineStr">
        <is>
          <t>561 , 11 , 'LF・融資先以外'</t>
        </is>
      </c>
      <c r="O14" s="15" t="inlineStr">
        <is>
          <t>);</t>
        </is>
      </c>
      <c r="Q14" s="18">
        <f>EXACT(TRIM(C14),G14&amp;"")</f>
        <v/>
      </c>
      <c r="R14" s="18">
        <f>EXACT(TRIM(D14),H14&amp;"")</f>
        <v/>
      </c>
      <c r="S14" s="18">
        <f>EXACT(TRIM(E14),"'"&amp;I14&amp;"'")</f>
        <v/>
      </c>
      <c r="T14" s="18">
        <f>AND(Q14:S14)</f>
        <v/>
      </c>
      <c r="U14" s="19">
        <f>TRIM(IF(Q14,"",$Q$3&amp;" ")&amp;IF(R14,"",$R$3&amp;" ")&amp;IF(S14,"",$S$3&amp;" "))</f>
        <v/>
      </c>
      <c r="V14" s="18">
        <f>EXACT(SUBSTITUTE(A14," ",""),SUBSTITUTE(K14&amp;L14&amp;M14&amp;N14&amp;O14," ",""))</f>
        <v/>
      </c>
    </row>
    <row r="15">
      <c r="A15" s="15" t="inlineStr">
        <is>
          <t>INSERT INTO MST_AUTH_TBL VALUES(562 , 27 , 'LF・融資先以外');</t>
        </is>
      </c>
      <c r="B15" s="16" t="n"/>
      <c r="C15" s="15" t="inlineStr">
        <is>
          <t xml:space="preserve">562 </t>
        </is>
      </c>
      <c r="D15" s="15" t="inlineStr">
        <is>
          <t xml:space="preserve"> 27 </t>
        </is>
      </c>
      <c r="E15" s="15" t="inlineStr">
        <is>
          <t xml:space="preserve"> 'LF・融資先以外'</t>
        </is>
      </c>
      <c r="G15" s="17" t="inlineStr">
        <is>
          <t>562</t>
        </is>
      </c>
      <c r="H15" s="17" t="inlineStr">
        <is>
          <t>27</t>
        </is>
      </c>
      <c r="I15" s="17" t="inlineStr">
        <is>
          <t>LF・融資先以外</t>
        </is>
      </c>
      <c r="K15" s="15" t="inlineStr">
        <is>
          <t>INSERT INTO</t>
        </is>
      </c>
      <c r="L15" s="15" t="inlineStr">
        <is>
          <t>MST_AUTH_TBL</t>
        </is>
      </c>
      <c r="M15" s="15" t="inlineStr">
        <is>
          <t>VALUES(</t>
        </is>
      </c>
      <c r="N15" s="15" t="inlineStr">
        <is>
          <t>562 , 27 , 'LF・融資先以外'</t>
        </is>
      </c>
      <c r="O15" s="15" t="inlineStr">
        <is>
          <t>);</t>
        </is>
      </c>
      <c r="Q15" s="18">
        <f>EXACT(TRIM(C15),G15&amp;"")</f>
        <v/>
      </c>
      <c r="R15" s="18">
        <f>EXACT(TRIM(D15),H15&amp;"")</f>
        <v/>
      </c>
      <c r="S15" s="18">
        <f>EXACT(TRIM(E15),"'"&amp;I15&amp;"'")</f>
        <v/>
      </c>
      <c r="T15" s="18">
        <f>AND(Q15:S15)</f>
        <v/>
      </c>
      <c r="U15" s="19">
        <f>TRIM(IF(Q15,"",$Q$3&amp;" ")&amp;IF(R15,"",$R$3&amp;" ")&amp;IF(S15,"",$S$3&amp;" "))</f>
        <v/>
      </c>
      <c r="V15" s="18">
        <f>EXACT(SUBSTITUTE(A15," ",""),SUBSTITUTE(K15&amp;L15&amp;M15&amp;N15&amp;O15," ",""))</f>
        <v/>
      </c>
    </row>
    <row r="16">
      <c r="A16" s="15" t="inlineStr">
        <is>
          <t>INSERT INTO MST_AUTH_TBL VALUES(563 , 10 , 'LF・損害金');</t>
        </is>
      </c>
      <c r="B16" s="16" t="n"/>
      <c r="C16" s="15" t="inlineStr">
        <is>
          <t xml:space="preserve">563 </t>
        </is>
      </c>
      <c r="D16" s="15" t="inlineStr">
        <is>
          <t xml:space="preserve"> 10 </t>
        </is>
      </c>
      <c r="E16" s="15" t="inlineStr">
        <is>
          <t xml:space="preserve"> 'LF・損害金'</t>
        </is>
      </c>
      <c r="G16" s="17" t="inlineStr">
        <is>
          <t>563</t>
        </is>
      </c>
      <c r="H16" s="17" t="inlineStr">
        <is>
          <t>10</t>
        </is>
      </c>
      <c r="I16" s="17" t="inlineStr">
        <is>
          <t>LF・損害金</t>
        </is>
      </c>
      <c r="K16" s="15" t="inlineStr">
        <is>
          <t>INSERT INTO</t>
        </is>
      </c>
      <c r="L16" s="15" t="inlineStr">
        <is>
          <t>MST_AUTH_TBL</t>
        </is>
      </c>
      <c r="M16" s="15" t="inlineStr">
        <is>
          <t>VALUES(</t>
        </is>
      </c>
      <c r="N16" s="15" t="inlineStr">
        <is>
          <t>563 , 10 , 'LF・損害金'</t>
        </is>
      </c>
      <c r="O16" s="15" t="inlineStr">
        <is>
          <t>);</t>
        </is>
      </c>
      <c r="Q16" s="18">
        <f>EXACT(TRIM(C16),G16&amp;"")</f>
        <v/>
      </c>
      <c r="R16" s="18">
        <f>EXACT(TRIM(D16),H16&amp;"")</f>
        <v/>
      </c>
      <c r="S16" s="18">
        <f>EXACT(TRIM(E16),"'"&amp;I16&amp;"'")</f>
        <v/>
      </c>
      <c r="T16" s="18">
        <f>AND(Q16:S16)</f>
        <v/>
      </c>
      <c r="U16" s="19">
        <f>TRIM(IF(Q16,"",$Q$3&amp;" ")&amp;IF(R16,"",$R$3&amp;" ")&amp;IF(S16,"",$S$3&amp;" "))</f>
        <v/>
      </c>
      <c r="V16" s="18">
        <f>EXACT(SUBSTITUTE(A16," ",""),SUBSTITUTE(K16&amp;L16&amp;M16&amp;N16&amp;O16," ",""))</f>
        <v/>
      </c>
    </row>
    <row r="17">
      <c r="A17" s="15" t="inlineStr">
        <is>
          <t>INSERT INTO MST_AUTH_TBL VALUES(564 , 11 , 'LF・損害金');</t>
        </is>
      </c>
      <c r="B17" s="16" t="n"/>
      <c r="C17" s="15" t="inlineStr">
        <is>
          <t xml:space="preserve">564 </t>
        </is>
      </c>
      <c r="D17" s="15" t="inlineStr">
        <is>
          <t xml:space="preserve"> 11 </t>
        </is>
      </c>
      <c r="E17" s="15" t="inlineStr">
        <is>
          <t xml:space="preserve"> 'LF・損害金'</t>
        </is>
      </c>
      <c r="G17" s="17" t="inlineStr">
        <is>
          <t>564</t>
        </is>
      </c>
      <c r="H17" s="17" t="inlineStr">
        <is>
          <t>11</t>
        </is>
      </c>
      <c r="I17" s="17" t="inlineStr">
        <is>
          <t>LF・損害金</t>
        </is>
      </c>
      <c r="K17" s="15" t="inlineStr">
        <is>
          <t>INSERT INTO</t>
        </is>
      </c>
      <c r="L17" s="15" t="inlineStr">
        <is>
          <t>MST_AUTH_TBL</t>
        </is>
      </c>
      <c r="M17" s="15" t="inlineStr">
        <is>
          <t>VALUES(</t>
        </is>
      </c>
      <c r="N17" s="15" t="inlineStr">
        <is>
          <t>564 , 11 , 'LF・損害金'</t>
        </is>
      </c>
      <c r="O17" s="15" t="inlineStr">
        <is>
          <t>);</t>
        </is>
      </c>
      <c r="Q17" s="18">
        <f>EXACT(TRIM(C17),G17&amp;"")</f>
        <v/>
      </c>
      <c r="R17" s="18">
        <f>EXACT(TRIM(D17),H17&amp;"")</f>
        <v/>
      </c>
      <c r="S17" s="18">
        <f>EXACT(TRIM(E17),"'"&amp;I17&amp;"'")</f>
        <v/>
      </c>
      <c r="T17" s="18">
        <f>AND(Q17:S17)</f>
        <v/>
      </c>
      <c r="U17" s="19">
        <f>TRIM(IF(Q17,"",$Q$3&amp;" ")&amp;IF(R17,"",$R$3&amp;" ")&amp;IF(S17,"",$S$3&amp;" "))</f>
        <v/>
      </c>
      <c r="V17" s="18">
        <f>EXACT(SUBSTITUTE(A17," ",""),SUBSTITUTE(K17&amp;L17&amp;M17&amp;N17&amp;O17," ",""))</f>
        <v/>
      </c>
    </row>
    <row r="18">
      <c r="A18" s="15" t="inlineStr">
        <is>
          <t>INSERT INTO MST_AUTH_TBL VALUES(565 , 27 , 'LF・損害金');</t>
        </is>
      </c>
      <c r="B18" s="16" t="n"/>
      <c r="C18" s="15" t="inlineStr">
        <is>
          <t xml:space="preserve">565 </t>
        </is>
      </c>
      <c r="D18" s="15" t="inlineStr">
        <is>
          <t xml:space="preserve"> 27 </t>
        </is>
      </c>
      <c r="E18" s="15" t="inlineStr">
        <is>
          <t xml:space="preserve"> 'LF・損害金'</t>
        </is>
      </c>
      <c r="G18" s="17" t="inlineStr">
        <is>
          <t>565</t>
        </is>
      </c>
      <c r="H18" s="17" t="inlineStr">
        <is>
          <t>27</t>
        </is>
      </c>
      <c r="I18" s="17" t="inlineStr">
        <is>
          <t>LF・損害金</t>
        </is>
      </c>
      <c r="K18" s="15" t="inlineStr">
        <is>
          <t>INSERT INTO</t>
        </is>
      </c>
      <c r="L18" s="15" t="inlineStr">
        <is>
          <t>MST_AUTH_TBL</t>
        </is>
      </c>
      <c r="M18" s="15" t="inlineStr">
        <is>
          <t>VALUES(</t>
        </is>
      </c>
      <c r="N18" s="15" t="inlineStr">
        <is>
          <t>565 , 27 , 'LF・損害金'</t>
        </is>
      </c>
      <c r="O18" s="15" t="inlineStr">
        <is>
          <t>);</t>
        </is>
      </c>
      <c r="Q18" s="18">
        <f>EXACT(TRIM(C18),G18&amp;"")</f>
        <v/>
      </c>
      <c r="R18" s="18">
        <f>EXACT(TRIM(D18),H18&amp;"")</f>
        <v/>
      </c>
      <c r="S18" s="18">
        <f>EXACT(TRIM(E18),"'"&amp;I18&amp;"'")</f>
        <v/>
      </c>
      <c r="T18" s="18">
        <f>AND(Q18:S18)</f>
        <v/>
      </c>
      <c r="U18" s="19">
        <f>TRIM(IF(Q18,"",$Q$3&amp;" ")&amp;IF(R18,"",$R$3&amp;" ")&amp;IF(S18,"",$S$3&amp;" "))</f>
        <v/>
      </c>
      <c r="V18" s="18">
        <f>EXACT(SUBSTITUTE(A18," ",""),SUBSTITUTE(K18&amp;L18&amp;M18&amp;N18&amp;O18," ",""))</f>
        <v/>
      </c>
    </row>
    <row r="19">
      <c r="A19" s="15" t="inlineStr">
        <is>
          <t>INSERT INTO MST_AUTH_TBL VALUES(566 , 10 , 'LF・DM送付先一覧');</t>
        </is>
      </c>
      <c r="B19" s="16" t="n"/>
      <c r="C19" s="15" t="inlineStr">
        <is>
          <t xml:space="preserve">566 </t>
        </is>
      </c>
      <c r="D19" s="15" t="inlineStr">
        <is>
          <t xml:space="preserve"> 10 </t>
        </is>
      </c>
      <c r="E19" s="15" t="inlineStr">
        <is>
          <t xml:space="preserve"> 'LF・DM送付先一覧'</t>
        </is>
      </c>
      <c r="G19" s="17" t="inlineStr">
        <is>
          <t>566</t>
        </is>
      </c>
      <c r="H19" s="17" t="inlineStr">
        <is>
          <t>10</t>
        </is>
      </c>
      <c r="I19" s="17" t="inlineStr">
        <is>
          <t>LF・DM送付先一覧</t>
        </is>
      </c>
      <c r="K19" s="15" t="inlineStr">
        <is>
          <t>INSERT INTO</t>
        </is>
      </c>
      <c r="L19" s="15" t="inlineStr">
        <is>
          <t>MST_AUTH_TBL</t>
        </is>
      </c>
      <c r="M19" s="15" t="inlineStr">
        <is>
          <t>VALUES(</t>
        </is>
      </c>
      <c r="N19" s="15" t="inlineStr">
        <is>
          <t>566 , 10 , 'LF・DM送付先一覧'</t>
        </is>
      </c>
      <c r="O19" s="15" t="inlineStr">
        <is>
          <t>);</t>
        </is>
      </c>
      <c r="Q19" s="18">
        <f>EXACT(TRIM(C19),G19&amp;"")</f>
        <v/>
      </c>
      <c r="R19" s="18">
        <f>EXACT(TRIM(D19),H19&amp;"")</f>
        <v/>
      </c>
      <c r="S19" s="18">
        <f>EXACT(TRIM(E19),"'"&amp;I19&amp;"'")</f>
        <v/>
      </c>
      <c r="T19" s="18">
        <f>AND(Q19:S19)</f>
        <v/>
      </c>
      <c r="U19" s="19">
        <f>TRIM(IF(Q19,"",$Q$3&amp;" ")&amp;IF(R19,"",$R$3&amp;" ")&amp;IF(S19,"",$S$3&amp;" "))</f>
        <v/>
      </c>
      <c r="V19" s="18">
        <f>EXACT(SUBSTITUTE(A19," ",""),SUBSTITUTE(K19&amp;L19&amp;M19&amp;N19&amp;O19," ",""))</f>
        <v/>
      </c>
    </row>
    <row r="20">
      <c r="A20" s="15" t="inlineStr">
        <is>
          <t>INSERT INTO MST_AUTH_TBL VALUES(567 , 11 , 'LF・DM送付先一覧');</t>
        </is>
      </c>
      <c r="B20" s="16" t="n"/>
      <c r="C20" s="15" t="inlineStr">
        <is>
          <t xml:space="preserve">567 </t>
        </is>
      </c>
      <c r="D20" s="15" t="inlineStr">
        <is>
          <t xml:space="preserve"> 11 </t>
        </is>
      </c>
      <c r="E20" s="15" t="inlineStr">
        <is>
          <t xml:space="preserve"> 'LF・DM送付先一覧'</t>
        </is>
      </c>
      <c r="G20" s="17" t="inlineStr">
        <is>
          <t>567</t>
        </is>
      </c>
      <c r="H20" s="17" t="inlineStr">
        <is>
          <t>11</t>
        </is>
      </c>
      <c r="I20" s="17" t="inlineStr">
        <is>
          <t>LF・DM送付先一覧</t>
        </is>
      </c>
      <c r="K20" s="15" t="inlineStr">
        <is>
          <t>INSERT INTO</t>
        </is>
      </c>
      <c r="L20" s="15" t="inlineStr">
        <is>
          <t>MST_AUTH_TBL</t>
        </is>
      </c>
      <c r="M20" s="15" t="inlineStr">
        <is>
          <t>VALUES(</t>
        </is>
      </c>
      <c r="N20" s="15" t="inlineStr">
        <is>
          <t>567 , 11 , 'LF・DM送付先一覧'</t>
        </is>
      </c>
      <c r="O20" s="15" t="inlineStr">
        <is>
          <t>);</t>
        </is>
      </c>
      <c r="Q20" s="18">
        <f>EXACT(TRIM(C20),G20&amp;"")</f>
        <v/>
      </c>
      <c r="R20" s="18">
        <f>EXACT(TRIM(D20),H20&amp;"")</f>
        <v/>
      </c>
      <c r="S20" s="18">
        <f>EXACT(TRIM(E20),"'"&amp;I20&amp;"'")</f>
        <v/>
      </c>
      <c r="T20" s="18">
        <f>AND(Q20:S20)</f>
        <v/>
      </c>
      <c r="U20" s="19">
        <f>TRIM(IF(Q20,"",$Q$3&amp;" ")&amp;IF(R20,"",$R$3&amp;" ")&amp;IF(S20,"",$S$3&amp;" "))</f>
        <v/>
      </c>
      <c r="V20" s="18">
        <f>EXACT(SUBSTITUTE(A20," ",""),SUBSTITUTE(K20&amp;L20&amp;M20&amp;N20&amp;O20," ",""))</f>
        <v/>
      </c>
    </row>
    <row r="21">
      <c r="A21" s="15" t="inlineStr">
        <is>
          <t>INSERT INTO MST_AUTH_TBL VALUES(568 , 27 , 'LF・DM送付先一覧');</t>
        </is>
      </c>
      <c r="B21" s="16" t="n"/>
      <c r="C21" s="15" t="inlineStr">
        <is>
          <t xml:space="preserve">568 </t>
        </is>
      </c>
      <c r="D21" s="15" t="inlineStr">
        <is>
          <t xml:space="preserve"> 27 </t>
        </is>
      </c>
      <c r="E21" s="15" t="inlineStr">
        <is>
          <t xml:space="preserve"> 'LF・DM送付先一覧'</t>
        </is>
      </c>
      <c r="G21" s="17" t="inlineStr">
        <is>
          <t>568</t>
        </is>
      </c>
      <c r="H21" s="17" t="inlineStr">
        <is>
          <t>27</t>
        </is>
      </c>
      <c r="I21" s="17" t="inlineStr">
        <is>
          <t>LF・DM送付先一覧</t>
        </is>
      </c>
      <c r="K21" s="15" t="inlineStr">
        <is>
          <t>INSERT INTO</t>
        </is>
      </c>
      <c r="L21" s="15" t="inlineStr">
        <is>
          <t>MST_AUTH_TBL</t>
        </is>
      </c>
      <c r="M21" s="15" t="inlineStr">
        <is>
          <t>VALUES(</t>
        </is>
      </c>
      <c r="N21" s="15" t="inlineStr">
        <is>
          <t>568 , 27 , 'LF・DM送付先一覧'</t>
        </is>
      </c>
      <c r="O21" s="15" t="inlineStr">
        <is>
          <t>);</t>
        </is>
      </c>
      <c r="Q21" s="18">
        <f>EXACT(TRIM(C21),G21&amp;"")</f>
        <v/>
      </c>
      <c r="R21" s="18">
        <f>EXACT(TRIM(D21),H21&amp;"")</f>
        <v/>
      </c>
      <c r="S21" s="18">
        <f>EXACT(TRIM(E21),"'"&amp;I21&amp;"'")</f>
        <v/>
      </c>
      <c r="T21" s="18">
        <f>AND(Q21:S21)</f>
        <v/>
      </c>
      <c r="U21" s="19">
        <f>TRIM(IF(Q21,"",$Q$3&amp;" ")&amp;IF(R21,"",$R$3&amp;" ")&amp;IF(S21,"",$S$3&amp;" "))</f>
        <v/>
      </c>
      <c r="V21" s="18">
        <f>EXACT(SUBSTITUTE(A21," ",""),SUBSTITUTE(K21&amp;L21&amp;M21&amp;N21&amp;O21," ",""))</f>
        <v/>
      </c>
    </row>
  </sheetData>
  <autoFilter ref="A3:Y21"/>
  <mergeCells count="9">
    <mergeCell ref="C2:E2"/>
    <mergeCell ref="G2:I2"/>
    <mergeCell ref="G1:O1"/>
    <mergeCell ref="Q2:U2"/>
    <mergeCell ref="X2:Y2"/>
    <mergeCell ref="X1:Y1"/>
    <mergeCell ref="K2:O2"/>
    <mergeCell ref="A1:E1"/>
    <mergeCell ref="Q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8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" customWidth="1" min="5" max="5"/>
    <col width="15" customWidth="1" min="6" max="6"/>
    <col width="15" customWidth="1" min="7" max="7"/>
    <col width="2" customWidth="1" min="8" max="8"/>
    <col width="11" customWidth="1" min="9" max="9"/>
    <col width="11" customWidth="1" min="10" max="10"/>
    <col width="11" customWidth="1" min="11" max="11"/>
    <col width="62" customWidth="1" min="12" max="12"/>
    <col width="11" customWidth="1" min="13" max="13"/>
    <col width="2" customWidth="1" min="14" max="14"/>
    <col width="11" customWidth="1" min="15" max="15"/>
    <col width="11" customWidth="1" min="16" max="16"/>
    <col width="11" customWidth="1" min="17" max="17"/>
    <col width="24" customWidth="1" min="18" max="18"/>
    <col width="11" customWidth="1" min="19" max="19"/>
    <col width="2" customWidth="1" min="20" max="20"/>
    <col width="8" customWidth="1" min="21" max="21"/>
    <col width="30" customWidth="1" min="22" max="22"/>
  </cols>
  <sheetData>
    <row r="1" ht="20" customHeight="1">
      <c r="A1" s="1" t="inlineStr">
        <is>
          <t>① 資材（insert.sql）</t>
        </is>
      </c>
      <c r="B1" s="2" t="n"/>
      <c r="C1" s="2" t="n"/>
      <c r="D1" s="3" t="n"/>
      <c r="F1" s="4" t="inlineStr">
        <is>
          <t>②③ マスタ定義書</t>
        </is>
      </c>
      <c r="G1" s="2" t="n"/>
      <c r="H1" s="2" t="n"/>
      <c r="I1" s="2" t="n"/>
      <c r="J1" s="2" t="n"/>
      <c r="K1" s="2" t="n"/>
      <c r="L1" s="2" t="n"/>
      <c r="M1" s="3" t="n"/>
      <c r="O1" s="5" t="inlineStr">
        <is>
          <t>突合</t>
        </is>
      </c>
      <c r="P1" s="2" t="n"/>
      <c r="Q1" s="2" t="n"/>
      <c r="R1" s="2" t="n"/>
      <c r="S1" s="3" t="n"/>
      <c r="U1" s="6" t="inlineStr">
        <is>
          <t>確認結果（記入欄）</t>
        </is>
      </c>
      <c r="V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3" t="n"/>
      <c r="F2" s="4" t="inlineStr">
        <is>
          <t>横浜銀行様用出荷設定</t>
        </is>
      </c>
      <c r="G2" s="3" t="n"/>
      <c r="I2" s="8" t="inlineStr">
        <is>
          <t>SQL</t>
        </is>
      </c>
      <c r="J2" s="2" t="n"/>
      <c r="K2" s="2" t="n"/>
      <c r="L2" s="2" t="n"/>
      <c r="M2" s="3" t="n"/>
      <c r="O2" s="5" t="inlineStr">
        <is>
          <t>①②の突合（項目ごと）</t>
        </is>
      </c>
      <c r="P2" s="2" t="n"/>
      <c r="Q2" s="2" t="n"/>
      <c r="R2" s="3" t="n"/>
      <c r="S2" s="5" t="inlineStr">
        <is>
          <t>①③の突合</t>
        </is>
      </c>
      <c r="U2" s="6" t="inlineStr">
        <is>
          <t>確認結果</t>
        </is>
      </c>
      <c r="V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F3" s="11" t="inlineStr">
        <is>
          <t>PRF_ID</t>
        </is>
      </c>
      <c r="G3" s="11" t="inlineStr">
        <is>
          <t>EXEC_AUTH_ID</t>
        </is>
      </c>
      <c r="I3" s="12" t="inlineStr">
        <is>
          <t>固定</t>
        </is>
      </c>
      <c r="J3" s="12" t="inlineStr">
        <is>
          <t>固定</t>
        </is>
      </c>
      <c r="K3" s="12" t="inlineStr">
        <is>
          <t>固定</t>
        </is>
      </c>
      <c r="L3" s="12" t="inlineStr">
        <is>
          <t>数式</t>
        </is>
      </c>
      <c r="M3" s="12" t="inlineStr">
        <is>
          <t>固定</t>
        </is>
      </c>
      <c r="O3" s="13" t="inlineStr">
        <is>
          <t>PRF_ID</t>
        </is>
      </c>
      <c r="P3" s="13" t="inlineStr">
        <is>
          <t>EXEC_AUTH_ID</t>
        </is>
      </c>
      <c r="Q3" s="13" t="inlineStr">
        <is>
          <t>全項目一致</t>
        </is>
      </c>
      <c r="R3" s="13" t="inlineStr">
        <is>
          <t>相違した項目</t>
        </is>
      </c>
      <c r="S3" s="13" t="inlineStr">
        <is>
          <t>SQL文一致</t>
        </is>
      </c>
      <c r="U3" s="14" t="inlineStr">
        <is>
          <t>判定</t>
        </is>
      </c>
      <c r="V3" s="14" t="inlineStr">
        <is>
          <t>備考</t>
        </is>
      </c>
    </row>
    <row r="4">
      <c r="A4" s="15" t="inlineStr">
        <is>
          <t>INSERT INTO CNF_PRF_TBL VALUES(9 , 1);</t>
        </is>
      </c>
      <c r="B4" s="16" t="n"/>
      <c r="C4" s="15" t="inlineStr">
        <is>
          <t xml:space="preserve">9 </t>
        </is>
      </c>
      <c r="D4" s="15" t="inlineStr">
        <is>
          <t xml:space="preserve"> 1</t>
        </is>
      </c>
      <c r="F4" s="17" t="inlineStr">
        <is>
          <t>9</t>
        </is>
      </c>
      <c r="G4" s="17" t="inlineStr">
        <is>
          <t>1</t>
        </is>
      </c>
      <c r="I4" s="15" t="inlineStr">
        <is>
          <t>INSERT INTO</t>
        </is>
      </c>
      <c r="J4" s="15" t="inlineStr">
        <is>
          <t>CNF_PRF_TBL</t>
        </is>
      </c>
      <c r="K4" s="15" t="inlineStr">
        <is>
          <t>VALUES(</t>
        </is>
      </c>
      <c r="L4" s="15" t="inlineStr">
        <is>
          <t>9 , 1</t>
        </is>
      </c>
      <c r="M4" s="15" t="inlineStr">
        <is>
          <t>);</t>
        </is>
      </c>
      <c r="O4" s="18">
        <f>EXACT(TRIM(C4),F4&amp;"")</f>
        <v/>
      </c>
      <c r="P4" s="18">
        <f>EXACT(TRIM(D4),G4&amp;"")</f>
        <v/>
      </c>
      <c r="Q4" s="18">
        <f>AND(O4:P4)</f>
        <v/>
      </c>
      <c r="R4" s="19">
        <f>TRIM(IF(O4,"",$O$3&amp;" ")&amp;IF(P4,"",$P$3&amp;" "))</f>
        <v/>
      </c>
      <c r="S4" s="18">
        <f>EXACT(SUBSTITUTE(A4," ",""),SUBSTITUTE(I4&amp;J4&amp;K4&amp;L4&amp;M4," ",""))</f>
        <v/>
      </c>
    </row>
    <row r="5">
      <c r="A5" s="15" t="inlineStr">
        <is>
          <t>INSERT INTO CNF_PRF_TBL VALUES(9 , 2);</t>
        </is>
      </c>
      <c r="B5" s="16" t="n"/>
      <c r="C5" s="15" t="inlineStr">
        <is>
          <t xml:space="preserve">9 </t>
        </is>
      </c>
      <c r="D5" s="15" t="inlineStr">
        <is>
          <t xml:space="preserve"> 2</t>
        </is>
      </c>
      <c r="F5" s="17" t="inlineStr">
        <is>
          <t>9</t>
        </is>
      </c>
      <c r="G5" s="17" t="inlineStr">
        <is>
          <t>2</t>
        </is>
      </c>
      <c r="I5" s="15" t="inlineStr">
        <is>
          <t>INSERT INTO</t>
        </is>
      </c>
      <c r="J5" s="15" t="inlineStr">
        <is>
          <t>CNF_PRF_TBL</t>
        </is>
      </c>
      <c r="K5" s="15" t="inlineStr">
        <is>
          <t>VALUES(</t>
        </is>
      </c>
      <c r="L5" s="15" t="inlineStr">
        <is>
          <t>9 , 2</t>
        </is>
      </c>
      <c r="M5" s="15" t="inlineStr">
        <is>
          <t>);</t>
        </is>
      </c>
      <c r="O5" s="18">
        <f>EXACT(TRIM(C5),F5&amp;"")</f>
        <v/>
      </c>
      <c r="P5" s="18">
        <f>EXACT(TRIM(D5),G5&amp;"")</f>
        <v/>
      </c>
      <c r="Q5" s="18">
        <f>AND(O5:P5)</f>
        <v/>
      </c>
      <c r="R5" s="19">
        <f>TRIM(IF(O5,"",$O$3&amp;" ")&amp;IF(P5,"",$P$3&amp;" "))</f>
        <v/>
      </c>
      <c r="S5" s="18">
        <f>EXACT(SUBSTITUTE(A5," ",""),SUBSTITUTE(I5&amp;J5&amp;K5&amp;L5&amp;M5," ",""))</f>
        <v/>
      </c>
    </row>
    <row r="6">
      <c r="A6" s="15" t="inlineStr">
        <is>
          <t>INSERT INTO CNF_PRF_TBL VALUES(9 , 3);</t>
        </is>
      </c>
      <c r="B6" s="16" t="n"/>
      <c r="C6" s="15" t="inlineStr">
        <is>
          <t xml:space="preserve">9 </t>
        </is>
      </c>
      <c r="D6" s="15" t="inlineStr">
        <is>
          <t xml:space="preserve"> 3</t>
        </is>
      </c>
      <c r="F6" s="17" t="inlineStr">
        <is>
          <t>9</t>
        </is>
      </c>
      <c r="G6" s="17" t="inlineStr">
        <is>
          <t>3</t>
        </is>
      </c>
      <c r="I6" s="15" t="inlineStr">
        <is>
          <t>INSERT INTO</t>
        </is>
      </c>
      <c r="J6" s="15" t="inlineStr">
        <is>
          <t>CNF_PRF_TBL</t>
        </is>
      </c>
      <c r="K6" s="15" t="inlineStr">
        <is>
          <t>VALUES(</t>
        </is>
      </c>
      <c r="L6" s="15" t="inlineStr">
        <is>
          <t>9 , 3</t>
        </is>
      </c>
      <c r="M6" s="15" t="inlineStr">
        <is>
          <t>);</t>
        </is>
      </c>
      <c r="O6" s="18">
        <f>EXACT(TRIM(C6),F6&amp;"")</f>
        <v/>
      </c>
      <c r="P6" s="18">
        <f>EXACT(TRIM(D6),G6&amp;"")</f>
        <v/>
      </c>
      <c r="Q6" s="18">
        <f>AND(O6:P6)</f>
        <v/>
      </c>
      <c r="R6" s="19">
        <f>TRIM(IF(O6,"",$O$3&amp;" ")&amp;IF(P6,"",$P$3&amp;" "))</f>
        <v/>
      </c>
      <c r="S6" s="18">
        <f>EXACT(SUBSTITUTE(A6," ",""),SUBSTITUTE(I6&amp;J6&amp;K6&amp;L6&amp;M6," ",""))</f>
        <v/>
      </c>
    </row>
    <row r="7">
      <c r="A7" s="15" t="inlineStr">
        <is>
          <t>INSERT INTO CNF_PRF_TBL VALUES(9 , 4);</t>
        </is>
      </c>
      <c r="B7" s="16" t="n"/>
      <c r="C7" s="15" t="inlineStr">
        <is>
          <t xml:space="preserve">9 </t>
        </is>
      </c>
      <c r="D7" s="15" t="inlineStr">
        <is>
          <t xml:space="preserve"> 4</t>
        </is>
      </c>
      <c r="F7" s="17" t="inlineStr">
        <is>
          <t>9</t>
        </is>
      </c>
      <c r="G7" s="17" t="inlineStr">
        <is>
          <t>4</t>
        </is>
      </c>
      <c r="I7" s="15" t="inlineStr">
        <is>
          <t>INSERT INTO</t>
        </is>
      </c>
      <c r="J7" s="15" t="inlineStr">
        <is>
          <t>CNF_PRF_TBL</t>
        </is>
      </c>
      <c r="K7" s="15" t="inlineStr">
        <is>
          <t>VALUES(</t>
        </is>
      </c>
      <c r="L7" s="15" t="inlineStr">
        <is>
          <t>9 , 4</t>
        </is>
      </c>
      <c r="M7" s="15" t="inlineStr">
        <is>
          <t>);</t>
        </is>
      </c>
      <c r="O7" s="18">
        <f>EXACT(TRIM(C7),F7&amp;"")</f>
        <v/>
      </c>
      <c r="P7" s="18">
        <f>EXACT(TRIM(D7),G7&amp;"")</f>
        <v/>
      </c>
      <c r="Q7" s="18">
        <f>AND(O7:P7)</f>
        <v/>
      </c>
      <c r="R7" s="19">
        <f>TRIM(IF(O7,"",$O$3&amp;" ")&amp;IF(P7,"",$P$3&amp;" "))</f>
        <v/>
      </c>
      <c r="S7" s="18">
        <f>EXACT(SUBSTITUTE(A7," ",""),SUBSTITUTE(I7&amp;J7&amp;K7&amp;L7&amp;M7," ",""))</f>
        <v/>
      </c>
    </row>
    <row r="8">
      <c r="A8" s="15" t="inlineStr">
        <is>
          <t>INSERT INTO CNF_PRF_TBL VALUES(9 , 5);</t>
        </is>
      </c>
      <c r="B8" s="16" t="n"/>
      <c r="C8" s="15" t="inlineStr">
        <is>
          <t xml:space="preserve">9 </t>
        </is>
      </c>
      <c r="D8" s="15" t="inlineStr">
        <is>
          <t xml:space="preserve"> 5</t>
        </is>
      </c>
      <c r="F8" s="17" t="inlineStr">
        <is>
          <t>9</t>
        </is>
      </c>
      <c r="G8" s="17" t="inlineStr">
        <is>
          <t>5</t>
        </is>
      </c>
      <c r="I8" s="15" t="inlineStr">
        <is>
          <t>INSERT INTO</t>
        </is>
      </c>
      <c r="J8" s="15" t="inlineStr">
        <is>
          <t>CNF_PRF_TBL</t>
        </is>
      </c>
      <c r="K8" s="15" t="inlineStr">
        <is>
          <t>VALUES(</t>
        </is>
      </c>
      <c r="L8" s="15" t="inlineStr">
        <is>
          <t>9 , 5</t>
        </is>
      </c>
      <c r="M8" s="15" t="inlineStr">
        <is>
          <t>);</t>
        </is>
      </c>
      <c r="O8" s="18">
        <f>EXACT(TRIM(C8),F8&amp;"")</f>
        <v/>
      </c>
      <c r="P8" s="18">
        <f>EXACT(TRIM(D8),G8&amp;"")</f>
        <v/>
      </c>
      <c r="Q8" s="18">
        <f>AND(O8:P8)</f>
        <v/>
      </c>
      <c r="R8" s="19">
        <f>TRIM(IF(O8,"",$O$3&amp;" ")&amp;IF(P8,"",$P$3&amp;" "))</f>
        <v/>
      </c>
      <c r="S8" s="18">
        <f>EXACT(SUBSTITUTE(A8," ",""),SUBSTITUTE(I8&amp;J8&amp;K8&amp;L8&amp;M8," ",""))</f>
        <v/>
      </c>
    </row>
    <row r="9">
      <c r="A9" s="15" t="inlineStr">
        <is>
          <t>INSERT INTO CNF_PRF_TBL VALUES(9 , 6);</t>
        </is>
      </c>
      <c r="B9" s="16" t="n"/>
      <c r="C9" s="15" t="inlineStr">
        <is>
          <t xml:space="preserve">9 </t>
        </is>
      </c>
      <c r="D9" s="15" t="inlineStr">
        <is>
          <t xml:space="preserve"> 6</t>
        </is>
      </c>
      <c r="F9" s="17" t="inlineStr">
        <is>
          <t>9</t>
        </is>
      </c>
      <c r="G9" s="17" t="inlineStr">
        <is>
          <t>6</t>
        </is>
      </c>
      <c r="I9" s="15" t="inlineStr">
        <is>
          <t>INSERT INTO</t>
        </is>
      </c>
      <c r="J9" s="15" t="inlineStr">
        <is>
          <t>CNF_PRF_TBL</t>
        </is>
      </c>
      <c r="K9" s="15" t="inlineStr">
        <is>
          <t>VALUES(</t>
        </is>
      </c>
      <c r="L9" s="15" t="inlineStr">
        <is>
          <t>9 , 6</t>
        </is>
      </c>
      <c r="M9" s="15" t="inlineStr">
        <is>
          <t>);</t>
        </is>
      </c>
      <c r="O9" s="18">
        <f>EXACT(TRIM(C9),F9&amp;"")</f>
        <v/>
      </c>
      <c r="P9" s="18">
        <f>EXACT(TRIM(D9),G9&amp;"")</f>
        <v/>
      </c>
      <c r="Q9" s="18">
        <f>AND(O9:P9)</f>
        <v/>
      </c>
      <c r="R9" s="19">
        <f>TRIM(IF(O9,"",$O$3&amp;" ")&amp;IF(P9,"",$P$3&amp;" "))</f>
        <v/>
      </c>
      <c r="S9" s="18">
        <f>EXACT(SUBSTITUTE(A9," ",""),SUBSTITUTE(I9&amp;J9&amp;K9&amp;L9&amp;M9," ",""))</f>
        <v/>
      </c>
    </row>
    <row r="10">
      <c r="A10" s="15" t="inlineStr">
        <is>
          <t>INSERT INTO CNF_PRF_TBL VALUES(9 , 7);</t>
        </is>
      </c>
      <c r="B10" s="16" t="n"/>
      <c r="C10" s="15" t="inlineStr">
        <is>
          <t xml:space="preserve">9 </t>
        </is>
      </c>
      <c r="D10" s="15" t="inlineStr">
        <is>
          <t xml:space="preserve"> 7</t>
        </is>
      </c>
      <c r="F10" s="17" t="inlineStr">
        <is>
          <t>9</t>
        </is>
      </c>
      <c r="G10" s="17" t="inlineStr">
        <is>
          <t>7</t>
        </is>
      </c>
      <c r="I10" s="15" t="inlineStr">
        <is>
          <t>INSERT INTO</t>
        </is>
      </c>
      <c r="J10" s="15" t="inlineStr">
        <is>
          <t>CNF_PRF_TBL</t>
        </is>
      </c>
      <c r="K10" s="15" t="inlineStr">
        <is>
          <t>VALUES(</t>
        </is>
      </c>
      <c r="L10" s="15" t="inlineStr">
        <is>
          <t>9 , 7</t>
        </is>
      </c>
      <c r="M10" s="15" t="inlineStr">
        <is>
          <t>);</t>
        </is>
      </c>
      <c r="O10" s="18">
        <f>EXACT(TRIM(C10),F10&amp;"")</f>
        <v/>
      </c>
      <c r="P10" s="18">
        <f>EXACT(TRIM(D10),G10&amp;"")</f>
        <v/>
      </c>
      <c r="Q10" s="18">
        <f>AND(O10:P10)</f>
        <v/>
      </c>
      <c r="R10" s="19">
        <f>TRIM(IF(O10,"",$O$3&amp;" ")&amp;IF(P10,"",$P$3&amp;" "))</f>
        <v/>
      </c>
      <c r="S10" s="18">
        <f>EXACT(SUBSTITUTE(A10," ",""),SUBSTITUTE(I10&amp;J10&amp;K10&amp;L10&amp;M10," ",""))</f>
        <v/>
      </c>
    </row>
    <row r="11">
      <c r="A11" s="15" t="inlineStr">
        <is>
          <t>INSERT INTO CNF_PRF_TBL VALUES(9 , 8);</t>
        </is>
      </c>
      <c r="B11" s="16" t="n"/>
      <c r="C11" s="15" t="inlineStr">
        <is>
          <t xml:space="preserve">9 </t>
        </is>
      </c>
      <c r="D11" s="15" t="inlineStr">
        <is>
          <t xml:space="preserve"> 8</t>
        </is>
      </c>
      <c r="F11" s="17" t="inlineStr">
        <is>
          <t>9</t>
        </is>
      </c>
      <c r="G11" s="17" t="inlineStr">
        <is>
          <t>8</t>
        </is>
      </c>
      <c r="I11" s="15" t="inlineStr">
        <is>
          <t>INSERT INTO</t>
        </is>
      </c>
      <c r="J11" s="15" t="inlineStr">
        <is>
          <t>CNF_PRF_TBL</t>
        </is>
      </c>
      <c r="K11" s="15" t="inlineStr">
        <is>
          <t>VALUES(</t>
        </is>
      </c>
      <c r="L11" s="15" t="inlineStr">
        <is>
          <t>9 , 8</t>
        </is>
      </c>
      <c r="M11" s="15" t="inlineStr">
        <is>
          <t>);</t>
        </is>
      </c>
      <c r="O11" s="18">
        <f>EXACT(TRIM(C11),F11&amp;"")</f>
        <v/>
      </c>
      <c r="P11" s="18">
        <f>EXACT(TRIM(D11),G11&amp;"")</f>
        <v/>
      </c>
      <c r="Q11" s="18">
        <f>AND(O11:P11)</f>
        <v/>
      </c>
      <c r="R11" s="19">
        <f>TRIM(IF(O11,"",$O$3&amp;" ")&amp;IF(P11,"",$P$3&amp;" "))</f>
        <v/>
      </c>
      <c r="S11" s="18">
        <f>EXACT(SUBSTITUTE(A11," ",""),SUBSTITUTE(I11&amp;J11&amp;K11&amp;L11&amp;M11," ",""))</f>
        <v/>
      </c>
    </row>
    <row r="12">
      <c r="A12" s="15" t="inlineStr">
        <is>
          <t>INSERT INTO CNF_PRF_TBL VALUES(9 , 10);</t>
        </is>
      </c>
      <c r="B12" s="16" t="n"/>
      <c r="C12" s="15" t="inlineStr">
        <is>
          <t xml:space="preserve">9 </t>
        </is>
      </c>
      <c r="D12" s="15" t="inlineStr">
        <is>
          <t xml:space="preserve"> 10</t>
        </is>
      </c>
      <c r="F12" s="17" t="inlineStr">
        <is>
          <t>9</t>
        </is>
      </c>
      <c r="G12" s="17" t="inlineStr">
        <is>
          <t>10</t>
        </is>
      </c>
      <c r="I12" s="15" t="inlineStr">
        <is>
          <t>INSERT INTO</t>
        </is>
      </c>
      <c r="J12" s="15" t="inlineStr">
        <is>
          <t>CNF_PRF_TBL</t>
        </is>
      </c>
      <c r="K12" s="15" t="inlineStr">
        <is>
          <t>VALUES(</t>
        </is>
      </c>
      <c r="L12" s="15" t="inlineStr">
        <is>
          <t>9 , 10</t>
        </is>
      </c>
      <c r="M12" s="15" t="inlineStr">
        <is>
          <t>);</t>
        </is>
      </c>
      <c r="O12" s="18">
        <f>EXACT(TRIM(C12),F12&amp;"")</f>
        <v/>
      </c>
      <c r="P12" s="18">
        <f>EXACT(TRIM(D12),G12&amp;"")</f>
        <v/>
      </c>
      <c r="Q12" s="18">
        <f>AND(O12:P12)</f>
        <v/>
      </c>
      <c r="R12" s="19">
        <f>TRIM(IF(O12,"",$O$3&amp;" ")&amp;IF(P12,"",$P$3&amp;" "))</f>
        <v/>
      </c>
      <c r="S12" s="18">
        <f>EXACT(SUBSTITUTE(A12," ",""),SUBSTITUTE(I12&amp;J12&amp;K12&amp;L12&amp;M12," ",""))</f>
        <v/>
      </c>
    </row>
    <row r="13">
      <c r="A13" s="15" t="inlineStr">
        <is>
          <t>INSERT INTO CNF_PRF_TBL VALUES(9 , 11);</t>
        </is>
      </c>
      <c r="B13" s="16" t="n"/>
      <c r="C13" s="15" t="inlineStr">
        <is>
          <t xml:space="preserve">9 </t>
        </is>
      </c>
      <c r="D13" s="15" t="inlineStr">
        <is>
          <t xml:space="preserve"> 11</t>
        </is>
      </c>
      <c r="F13" s="17" t="inlineStr">
        <is>
          <t>9</t>
        </is>
      </c>
      <c r="G13" s="17" t="inlineStr">
        <is>
          <t>11</t>
        </is>
      </c>
      <c r="I13" s="15" t="inlineStr">
        <is>
          <t>INSERT INTO</t>
        </is>
      </c>
      <c r="J13" s="15" t="inlineStr">
        <is>
          <t>CNF_PRF_TBL</t>
        </is>
      </c>
      <c r="K13" s="15" t="inlineStr">
        <is>
          <t>VALUES(</t>
        </is>
      </c>
      <c r="L13" s="15" t="inlineStr">
        <is>
          <t>9 , 11</t>
        </is>
      </c>
      <c r="M13" s="15" t="inlineStr">
        <is>
          <t>);</t>
        </is>
      </c>
      <c r="O13" s="18">
        <f>EXACT(TRIM(C13),F13&amp;"")</f>
        <v/>
      </c>
      <c r="P13" s="18">
        <f>EXACT(TRIM(D13),G13&amp;"")</f>
        <v/>
      </c>
      <c r="Q13" s="18">
        <f>AND(O13:P13)</f>
        <v/>
      </c>
      <c r="R13" s="19">
        <f>TRIM(IF(O13,"",$O$3&amp;" ")&amp;IF(P13,"",$P$3&amp;" "))</f>
        <v/>
      </c>
      <c r="S13" s="18">
        <f>EXACT(SUBSTITUTE(A13," ",""),SUBSTITUTE(I13&amp;J13&amp;K13&amp;L13&amp;M13," ",""))</f>
        <v/>
      </c>
    </row>
    <row r="14">
      <c r="A14" s="15" t="inlineStr">
        <is>
          <t>INSERT INTO CNF_PRF_TBL VALUES(9 , 12);</t>
        </is>
      </c>
      <c r="B14" s="16" t="n"/>
      <c r="C14" s="15" t="inlineStr">
        <is>
          <t xml:space="preserve">9 </t>
        </is>
      </c>
      <c r="D14" s="15" t="inlineStr">
        <is>
          <t xml:space="preserve"> 12</t>
        </is>
      </c>
      <c r="F14" s="17" t="inlineStr">
        <is>
          <t>9</t>
        </is>
      </c>
      <c r="G14" s="17" t="inlineStr">
        <is>
          <t>12</t>
        </is>
      </c>
      <c r="I14" s="15" t="inlineStr">
        <is>
          <t>INSERT INTO</t>
        </is>
      </c>
      <c r="J14" s="15" t="inlineStr">
        <is>
          <t>CNF_PRF_TBL</t>
        </is>
      </c>
      <c r="K14" s="15" t="inlineStr">
        <is>
          <t>VALUES(</t>
        </is>
      </c>
      <c r="L14" s="15" t="inlineStr">
        <is>
          <t>9 , 12</t>
        </is>
      </c>
      <c r="M14" s="15" t="inlineStr">
        <is>
          <t>);</t>
        </is>
      </c>
      <c r="O14" s="18">
        <f>EXACT(TRIM(C14),F14&amp;"")</f>
        <v/>
      </c>
      <c r="P14" s="18">
        <f>EXACT(TRIM(D14),G14&amp;"")</f>
        <v/>
      </c>
      <c r="Q14" s="18">
        <f>AND(O14:P14)</f>
        <v/>
      </c>
      <c r="R14" s="19">
        <f>TRIM(IF(O14,"",$O$3&amp;" ")&amp;IF(P14,"",$P$3&amp;" "))</f>
        <v/>
      </c>
      <c r="S14" s="18">
        <f>EXACT(SUBSTITUTE(A14," ",""),SUBSTITUTE(I14&amp;J14&amp;K14&amp;L14&amp;M14," ",""))</f>
        <v/>
      </c>
    </row>
    <row r="15">
      <c r="A15" s="15" t="inlineStr">
        <is>
          <t>INSERT INTO CNF_PRF_TBL VALUES(9 , 13);</t>
        </is>
      </c>
      <c r="B15" s="16" t="n"/>
      <c r="C15" s="15" t="inlineStr">
        <is>
          <t xml:space="preserve">9 </t>
        </is>
      </c>
      <c r="D15" s="15" t="inlineStr">
        <is>
          <t xml:space="preserve"> 13</t>
        </is>
      </c>
      <c r="F15" s="17" t="inlineStr">
        <is>
          <t>9</t>
        </is>
      </c>
      <c r="G15" s="17" t="inlineStr">
        <is>
          <t>13</t>
        </is>
      </c>
      <c r="I15" s="15" t="inlineStr">
        <is>
          <t>INSERT INTO</t>
        </is>
      </c>
      <c r="J15" s="15" t="inlineStr">
        <is>
          <t>CNF_PRF_TBL</t>
        </is>
      </c>
      <c r="K15" s="15" t="inlineStr">
        <is>
          <t>VALUES(</t>
        </is>
      </c>
      <c r="L15" s="15" t="inlineStr">
        <is>
          <t>9 , 13</t>
        </is>
      </c>
      <c r="M15" s="15" t="inlineStr">
        <is>
          <t>);</t>
        </is>
      </c>
      <c r="O15" s="18">
        <f>EXACT(TRIM(C15),F15&amp;"")</f>
        <v/>
      </c>
      <c r="P15" s="18">
        <f>EXACT(TRIM(D15),G15&amp;"")</f>
        <v/>
      </c>
      <c r="Q15" s="18">
        <f>AND(O15:P15)</f>
        <v/>
      </c>
      <c r="R15" s="19">
        <f>TRIM(IF(O15,"",$O$3&amp;" ")&amp;IF(P15,"",$P$3&amp;" "))</f>
        <v/>
      </c>
      <c r="S15" s="18">
        <f>EXACT(SUBSTITUTE(A15," ",""),SUBSTITUTE(I15&amp;J15&amp;K15&amp;L15&amp;M15," ",""))</f>
        <v/>
      </c>
    </row>
    <row r="16">
      <c r="A16" s="15" t="inlineStr">
        <is>
          <t>INSERT INTO CNF_PRF_TBL VALUES(9 , 14);</t>
        </is>
      </c>
      <c r="B16" s="16" t="n"/>
      <c r="C16" s="15" t="inlineStr">
        <is>
          <t xml:space="preserve">9 </t>
        </is>
      </c>
      <c r="D16" s="15" t="inlineStr">
        <is>
          <t xml:space="preserve"> 14</t>
        </is>
      </c>
      <c r="F16" s="17" t="inlineStr">
        <is>
          <t>9</t>
        </is>
      </c>
      <c r="G16" s="17" t="inlineStr">
        <is>
          <t>14</t>
        </is>
      </c>
      <c r="I16" s="15" t="inlineStr">
        <is>
          <t>INSERT INTO</t>
        </is>
      </c>
      <c r="J16" s="15" t="inlineStr">
        <is>
          <t>CNF_PRF_TBL</t>
        </is>
      </c>
      <c r="K16" s="15" t="inlineStr">
        <is>
          <t>VALUES(</t>
        </is>
      </c>
      <c r="L16" s="15" t="inlineStr">
        <is>
          <t>9 , 14</t>
        </is>
      </c>
      <c r="M16" s="15" t="inlineStr">
        <is>
          <t>);</t>
        </is>
      </c>
      <c r="O16" s="18">
        <f>EXACT(TRIM(C16),F16&amp;"")</f>
        <v/>
      </c>
      <c r="P16" s="18">
        <f>EXACT(TRIM(D16),G16&amp;"")</f>
        <v/>
      </c>
      <c r="Q16" s="18">
        <f>AND(O16:P16)</f>
        <v/>
      </c>
      <c r="R16" s="19">
        <f>TRIM(IF(O16,"",$O$3&amp;" ")&amp;IF(P16,"",$P$3&amp;" "))</f>
        <v/>
      </c>
      <c r="S16" s="18">
        <f>EXACT(SUBSTITUTE(A16," ",""),SUBSTITUTE(I16&amp;J16&amp;K16&amp;L16&amp;M16," ",""))</f>
        <v/>
      </c>
    </row>
    <row r="17">
      <c r="A17" s="15" t="inlineStr">
        <is>
          <t>INSERT INTO CNF_PRF_TBL VALUES(9 , 15);</t>
        </is>
      </c>
      <c r="B17" s="16" t="n"/>
      <c r="C17" s="15" t="inlineStr">
        <is>
          <t xml:space="preserve">9 </t>
        </is>
      </c>
      <c r="D17" s="15" t="inlineStr">
        <is>
          <t xml:space="preserve"> 15</t>
        </is>
      </c>
      <c r="F17" s="17" t="inlineStr">
        <is>
          <t>9</t>
        </is>
      </c>
      <c r="G17" s="17" t="inlineStr">
        <is>
          <t>15</t>
        </is>
      </c>
      <c r="I17" s="15" t="inlineStr">
        <is>
          <t>INSERT INTO</t>
        </is>
      </c>
      <c r="J17" s="15" t="inlineStr">
        <is>
          <t>CNF_PRF_TBL</t>
        </is>
      </c>
      <c r="K17" s="15" t="inlineStr">
        <is>
          <t>VALUES(</t>
        </is>
      </c>
      <c r="L17" s="15" t="inlineStr">
        <is>
          <t>9 , 15</t>
        </is>
      </c>
      <c r="M17" s="15" t="inlineStr">
        <is>
          <t>);</t>
        </is>
      </c>
      <c r="O17" s="18">
        <f>EXACT(TRIM(C17),F17&amp;"")</f>
        <v/>
      </c>
      <c r="P17" s="18">
        <f>EXACT(TRIM(D17),G17&amp;"")</f>
        <v/>
      </c>
      <c r="Q17" s="18">
        <f>AND(O17:P17)</f>
        <v/>
      </c>
      <c r="R17" s="19">
        <f>TRIM(IF(O17,"",$O$3&amp;" ")&amp;IF(P17,"",$P$3&amp;" "))</f>
        <v/>
      </c>
      <c r="S17" s="18">
        <f>EXACT(SUBSTITUTE(A17," ",""),SUBSTITUTE(I17&amp;J17&amp;K17&amp;L17&amp;M17," ",""))</f>
        <v/>
      </c>
    </row>
    <row r="18">
      <c r="A18" s="15" t="inlineStr">
        <is>
          <t>INSERT INTO CNF_PRF_TBL VALUES(9 , 16);</t>
        </is>
      </c>
      <c r="B18" s="16" t="n"/>
      <c r="C18" s="15" t="inlineStr">
        <is>
          <t xml:space="preserve">9 </t>
        </is>
      </c>
      <c r="D18" s="15" t="inlineStr">
        <is>
          <t xml:space="preserve"> 16</t>
        </is>
      </c>
      <c r="F18" s="17" t="inlineStr">
        <is>
          <t>9</t>
        </is>
      </c>
      <c r="G18" s="17" t="inlineStr">
        <is>
          <t>16</t>
        </is>
      </c>
      <c r="I18" s="15" t="inlineStr">
        <is>
          <t>INSERT INTO</t>
        </is>
      </c>
      <c r="J18" s="15" t="inlineStr">
        <is>
          <t>CNF_PRF_TBL</t>
        </is>
      </c>
      <c r="K18" s="15" t="inlineStr">
        <is>
          <t>VALUES(</t>
        </is>
      </c>
      <c r="L18" s="15" t="inlineStr">
        <is>
          <t>9 , 16</t>
        </is>
      </c>
      <c r="M18" s="15" t="inlineStr">
        <is>
          <t>);</t>
        </is>
      </c>
      <c r="O18" s="18">
        <f>EXACT(TRIM(C18),F18&amp;"")</f>
        <v/>
      </c>
      <c r="P18" s="18">
        <f>EXACT(TRIM(D18),G18&amp;"")</f>
        <v/>
      </c>
      <c r="Q18" s="18">
        <f>AND(O18:P18)</f>
        <v/>
      </c>
      <c r="R18" s="19">
        <f>TRIM(IF(O18,"",$O$3&amp;" ")&amp;IF(P18,"",$P$3&amp;" "))</f>
        <v/>
      </c>
      <c r="S18" s="18">
        <f>EXACT(SUBSTITUTE(A18," ",""),SUBSTITUTE(I18&amp;J18&amp;K18&amp;L18&amp;M18," ",""))</f>
        <v/>
      </c>
    </row>
    <row r="19">
      <c r="A19" s="15" t="inlineStr">
        <is>
          <t>INSERT INTO CNF_PRF_TBL VALUES(9 , 48);</t>
        </is>
      </c>
      <c r="B19" s="16" t="n"/>
      <c r="C19" s="15" t="inlineStr">
        <is>
          <t xml:space="preserve">9 </t>
        </is>
      </c>
      <c r="D19" s="15" t="inlineStr">
        <is>
          <t xml:space="preserve"> 48</t>
        </is>
      </c>
      <c r="F19" s="17" t="inlineStr">
        <is>
          <t>9</t>
        </is>
      </c>
      <c r="G19" s="17" t="inlineStr">
        <is>
          <t>48</t>
        </is>
      </c>
      <c r="I19" s="15" t="inlineStr">
        <is>
          <t>INSERT INTO</t>
        </is>
      </c>
      <c r="J19" s="15" t="inlineStr">
        <is>
          <t>CNF_PRF_TBL</t>
        </is>
      </c>
      <c r="K19" s="15" t="inlineStr">
        <is>
          <t>VALUES(</t>
        </is>
      </c>
      <c r="L19" s="15" t="inlineStr">
        <is>
          <t>9 , 48</t>
        </is>
      </c>
      <c r="M19" s="15" t="inlineStr">
        <is>
          <t>);</t>
        </is>
      </c>
      <c r="O19" s="18">
        <f>EXACT(TRIM(C19),F19&amp;"")</f>
        <v/>
      </c>
      <c r="P19" s="18">
        <f>EXACT(TRIM(D19),G19&amp;"")</f>
        <v/>
      </c>
      <c r="Q19" s="18">
        <f>AND(O19:P19)</f>
        <v/>
      </c>
      <c r="R19" s="19">
        <f>TRIM(IF(O19,"",$O$3&amp;" ")&amp;IF(P19,"",$P$3&amp;" "))</f>
        <v/>
      </c>
      <c r="S19" s="18">
        <f>EXACT(SUBSTITUTE(A19," ",""),SUBSTITUTE(I19&amp;J19&amp;K19&amp;L19&amp;M19," ",""))</f>
        <v/>
      </c>
    </row>
    <row r="20">
      <c r="A20" s="15" t="inlineStr">
        <is>
          <t>INSERT INTO CNF_PRF_TBL VALUES(9 , 49);</t>
        </is>
      </c>
      <c r="B20" s="16" t="n"/>
      <c r="C20" s="15" t="inlineStr">
        <is>
          <t xml:space="preserve">9 </t>
        </is>
      </c>
      <c r="D20" s="15" t="inlineStr">
        <is>
          <t xml:space="preserve"> 49</t>
        </is>
      </c>
      <c r="F20" s="17" t="inlineStr">
        <is>
          <t>9</t>
        </is>
      </c>
      <c r="G20" s="17" t="inlineStr">
        <is>
          <t>49</t>
        </is>
      </c>
      <c r="I20" s="15" t="inlineStr">
        <is>
          <t>INSERT INTO</t>
        </is>
      </c>
      <c r="J20" s="15" t="inlineStr">
        <is>
          <t>CNF_PRF_TBL</t>
        </is>
      </c>
      <c r="K20" s="15" t="inlineStr">
        <is>
          <t>VALUES(</t>
        </is>
      </c>
      <c r="L20" s="15" t="inlineStr">
        <is>
          <t>9 , 49</t>
        </is>
      </c>
      <c r="M20" s="15" t="inlineStr">
        <is>
          <t>);</t>
        </is>
      </c>
      <c r="O20" s="18">
        <f>EXACT(TRIM(C20),F20&amp;"")</f>
        <v/>
      </c>
      <c r="P20" s="18">
        <f>EXACT(TRIM(D20),G20&amp;"")</f>
        <v/>
      </c>
      <c r="Q20" s="18">
        <f>AND(O20:P20)</f>
        <v/>
      </c>
      <c r="R20" s="19">
        <f>TRIM(IF(O20,"",$O$3&amp;" ")&amp;IF(P20,"",$P$3&amp;" "))</f>
        <v/>
      </c>
      <c r="S20" s="18">
        <f>EXACT(SUBSTITUTE(A20," ",""),SUBSTITUTE(I20&amp;J20&amp;K20&amp;L20&amp;M20," ",""))</f>
        <v/>
      </c>
    </row>
    <row r="21">
      <c r="A21" s="15" t="inlineStr">
        <is>
          <t>INSERT INTO CNF_PRF_TBL VALUES(9 , 51);</t>
        </is>
      </c>
      <c r="B21" s="16" t="n"/>
      <c r="C21" s="15" t="inlineStr">
        <is>
          <t xml:space="preserve">9 </t>
        </is>
      </c>
      <c r="D21" s="15" t="inlineStr">
        <is>
          <t xml:space="preserve"> 51</t>
        </is>
      </c>
      <c r="F21" s="17" t="inlineStr">
        <is>
          <t>9</t>
        </is>
      </c>
      <c r="G21" s="17" t="inlineStr">
        <is>
          <t>51</t>
        </is>
      </c>
      <c r="I21" s="15" t="inlineStr">
        <is>
          <t>INSERT INTO</t>
        </is>
      </c>
      <c r="J21" s="15" t="inlineStr">
        <is>
          <t>CNF_PRF_TBL</t>
        </is>
      </c>
      <c r="K21" s="15" t="inlineStr">
        <is>
          <t>VALUES(</t>
        </is>
      </c>
      <c r="L21" s="15" t="inlineStr">
        <is>
          <t>9 , 51</t>
        </is>
      </c>
      <c r="M21" s="15" t="inlineStr">
        <is>
          <t>);</t>
        </is>
      </c>
      <c r="O21" s="18">
        <f>EXACT(TRIM(C21),F21&amp;"")</f>
        <v/>
      </c>
      <c r="P21" s="18">
        <f>EXACT(TRIM(D21),G21&amp;"")</f>
        <v/>
      </c>
      <c r="Q21" s="18">
        <f>AND(O21:P21)</f>
        <v/>
      </c>
      <c r="R21" s="19">
        <f>TRIM(IF(O21,"",$O$3&amp;" ")&amp;IF(P21,"",$P$3&amp;" "))</f>
        <v/>
      </c>
      <c r="S21" s="18">
        <f>EXACT(SUBSTITUTE(A21," ",""),SUBSTITUTE(I21&amp;J21&amp;K21&amp;L21&amp;M21," ",""))</f>
        <v/>
      </c>
    </row>
    <row r="22">
      <c r="A22" s="15" t="inlineStr">
        <is>
          <t>INSERT INTO CNF_PRF_TBL VALUES(9 , 52);</t>
        </is>
      </c>
      <c r="B22" s="16" t="n"/>
      <c r="C22" s="15" t="inlineStr">
        <is>
          <t xml:space="preserve">9 </t>
        </is>
      </c>
      <c r="D22" s="15" t="inlineStr">
        <is>
          <t xml:space="preserve"> 52</t>
        </is>
      </c>
      <c r="F22" s="17" t="inlineStr">
        <is>
          <t>9</t>
        </is>
      </c>
      <c r="G22" s="17" t="inlineStr">
        <is>
          <t>52</t>
        </is>
      </c>
      <c r="I22" s="15" t="inlineStr">
        <is>
          <t>INSERT INTO</t>
        </is>
      </c>
      <c r="J22" s="15" t="inlineStr">
        <is>
          <t>CNF_PRF_TBL</t>
        </is>
      </c>
      <c r="K22" s="15" t="inlineStr">
        <is>
          <t>VALUES(</t>
        </is>
      </c>
      <c r="L22" s="15" t="inlineStr">
        <is>
          <t>9 , 52</t>
        </is>
      </c>
      <c r="M22" s="15" t="inlineStr">
        <is>
          <t>);</t>
        </is>
      </c>
      <c r="O22" s="18">
        <f>EXACT(TRIM(C22),F22&amp;"")</f>
        <v/>
      </c>
      <c r="P22" s="18">
        <f>EXACT(TRIM(D22),G22&amp;"")</f>
        <v/>
      </c>
      <c r="Q22" s="18">
        <f>AND(O22:P22)</f>
        <v/>
      </c>
      <c r="R22" s="19">
        <f>TRIM(IF(O22,"",$O$3&amp;" ")&amp;IF(P22,"",$P$3&amp;" "))</f>
        <v/>
      </c>
      <c r="S22" s="18">
        <f>EXACT(SUBSTITUTE(A22," ",""),SUBSTITUTE(I22&amp;J22&amp;K22&amp;L22&amp;M22," ",""))</f>
        <v/>
      </c>
    </row>
    <row r="23">
      <c r="A23" s="15" t="inlineStr">
        <is>
          <t>INSERT INTO CNF_PRF_TBL VALUES(9 , 501);</t>
        </is>
      </c>
      <c r="B23" s="16" t="n"/>
      <c r="C23" s="15" t="inlineStr">
        <is>
          <t xml:space="preserve">9 </t>
        </is>
      </c>
      <c r="D23" s="15" t="inlineStr">
        <is>
          <t xml:space="preserve"> 501</t>
        </is>
      </c>
      <c r="F23" s="17" t="inlineStr">
        <is>
          <t>9</t>
        </is>
      </c>
      <c r="G23" s="17" t="inlineStr">
        <is>
          <t>501</t>
        </is>
      </c>
      <c r="I23" s="15" t="inlineStr">
        <is>
          <t>INSERT INTO</t>
        </is>
      </c>
      <c r="J23" s="15" t="inlineStr">
        <is>
          <t>CNF_PRF_TBL</t>
        </is>
      </c>
      <c r="K23" s="15" t="inlineStr">
        <is>
          <t>VALUES(</t>
        </is>
      </c>
      <c r="L23" s="15" t="inlineStr">
        <is>
          <t>9 , 501</t>
        </is>
      </c>
      <c r="M23" s="15" t="inlineStr">
        <is>
          <t>);</t>
        </is>
      </c>
      <c r="O23" s="18">
        <f>EXACT(TRIM(C23),F23&amp;"")</f>
        <v/>
      </c>
      <c r="P23" s="18">
        <f>EXACT(TRIM(D23),G23&amp;"")</f>
        <v/>
      </c>
      <c r="Q23" s="18">
        <f>AND(O23:P23)</f>
        <v/>
      </c>
      <c r="R23" s="19">
        <f>TRIM(IF(O23,"",$O$3&amp;" ")&amp;IF(P23,"",$P$3&amp;" "))</f>
        <v/>
      </c>
      <c r="S23" s="18">
        <f>EXACT(SUBSTITUTE(A23," ",""),SUBSTITUTE(I23&amp;J23&amp;K23&amp;L23&amp;M23," ",""))</f>
        <v/>
      </c>
    </row>
    <row r="24">
      <c r="A24" s="15" t="inlineStr">
        <is>
          <t>INSERT INTO CNF_PRF_TBL VALUES(9 , 502);</t>
        </is>
      </c>
      <c r="B24" s="16" t="n"/>
      <c r="C24" s="15" t="inlineStr">
        <is>
          <t xml:space="preserve">9 </t>
        </is>
      </c>
      <c r="D24" s="15" t="inlineStr">
        <is>
          <t xml:space="preserve"> 502</t>
        </is>
      </c>
      <c r="F24" s="17" t="inlineStr">
        <is>
          <t>9</t>
        </is>
      </c>
      <c r="G24" s="17" t="inlineStr">
        <is>
          <t>502</t>
        </is>
      </c>
      <c r="I24" s="15" t="inlineStr">
        <is>
          <t>INSERT INTO</t>
        </is>
      </c>
      <c r="J24" s="15" t="inlineStr">
        <is>
          <t>CNF_PRF_TBL</t>
        </is>
      </c>
      <c r="K24" s="15" t="inlineStr">
        <is>
          <t>VALUES(</t>
        </is>
      </c>
      <c r="L24" s="15" t="inlineStr">
        <is>
          <t>9 , 502</t>
        </is>
      </c>
      <c r="M24" s="15" t="inlineStr">
        <is>
          <t>);</t>
        </is>
      </c>
      <c r="O24" s="18">
        <f>EXACT(TRIM(C24),F24&amp;"")</f>
        <v/>
      </c>
      <c r="P24" s="18">
        <f>EXACT(TRIM(D24),G24&amp;"")</f>
        <v/>
      </c>
      <c r="Q24" s="18">
        <f>AND(O24:P24)</f>
        <v/>
      </c>
      <c r="R24" s="19">
        <f>TRIM(IF(O24,"",$O$3&amp;" ")&amp;IF(P24,"",$P$3&amp;" "))</f>
        <v/>
      </c>
      <c r="S24" s="18">
        <f>EXACT(SUBSTITUTE(A24," ",""),SUBSTITUTE(I24&amp;J24&amp;K24&amp;L24&amp;M24," ",""))</f>
        <v/>
      </c>
    </row>
    <row r="25">
      <c r="A25" s="15" t="inlineStr">
        <is>
          <t>INSERT INTO CNF_PRF_TBL VALUES(9 , 511);</t>
        </is>
      </c>
      <c r="B25" s="16" t="n"/>
      <c r="C25" s="15" t="inlineStr">
        <is>
          <t xml:space="preserve">9 </t>
        </is>
      </c>
      <c r="D25" s="15" t="inlineStr">
        <is>
          <t xml:space="preserve"> 511</t>
        </is>
      </c>
      <c r="F25" s="17" t="inlineStr">
        <is>
          <t>9</t>
        </is>
      </c>
      <c r="G25" s="17" t="inlineStr">
        <is>
          <t>511</t>
        </is>
      </c>
      <c r="I25" s="15" t="inlineStr">
        <is>
          <t>INSERT INTO</t>
        </is>
      </c>
      <c r="J25" s="15" t="inlineStr">
        <is>
          <t>CNF_PRF_TBL</t>
        </is>
      </c>
      <c r="K25" s="15" t="inlineStr">
        <is>
          <t>VALUES(</t>
        </is>
      </c>
      <c r="L25" s="15" t="inlineStr">
        <is>
          <t>9 , 511</t>
        </is>
      </c>
      <c r="M25" s="15" t="inlineStr">
        <is>
          <t>);</t>
        </is>
      </c>
      <c r="O25" s="18">
        <f>EXACT(TRIM(C25),F25&amp;"")</f>
        <v/>
      </c>
      <c r="P25" s="18">
        <f>EXACT(TRIM(D25),G25&amp;"")</f>
        <v/>
      </c>
      <c r="Q25" s="18">
        <f>AND(O25:P25)</f>
        <v/>
      </c>
      <c r="R25" s="19">
        <f>TRIM(IF(O25,"",$O$3&amp;" ")&amp;IF(P25,"",$P$3&amp;" "))</f>
        <v/>
      </c>
      <c r="S25" s="18">
        <f>EXACT(SUBSTITUTE(A25," ",""),SUBSTITUTE(I25&amp;J25&amp;K25&amp;L25&amp;M25," ",""))</f>
        <v/>
      </c>
    </row>
    <row r="26">
      <c r="A26" s="15" t="inlineStr">
        <is>
          <t>INSERT INTO CNF_PRF_TBL VALUES(9 , 512);</t>
        </is>
      </c>
      <c r="B26" s="16" t="n"/>
      <c r="C26" s="15" t="inlineStr">
        <is>
          <t xml:space="preserve">9 </t>
        </is>
      </c>
      <c r="D26" s="15" t="inlineStr">
        <is>
          <t xml:space="preserve"> 512</t>
        </is>
      </c>
      <c r="F26" s="17" t="inlineStr">
        <is>
          <t>9</t>
        </is>
      </c>
      <c r="G26" s="17" t="inlineStr">
        <is>
          <t>512</t>
        </is>
      </c>
      <c r="I26" s="15" t="inlineStr">
        <is>
          <t>INSERT INTO</t>
        </is>
      </c>
      <c r="J26" s="15" t="inlineStr">
        <is>
          <t>CNF_PRF_TBL</t>
        </is>
      </c>
      <c r="K26" s="15" t="inlineStr">
        <is>
          <t>VALUES(</t>
        </is>
      </c>
      <c r="L26" s="15" t="inlineStr">
        <is>
          <t>9 , 512</t>
        </is>
      </c>
      <c r="M26" s="15" t="inlineStr">
        <is>
          <t>);</t>
        </is>
      </c>
      <c r="O26" s="18">
        <f>EXACT(TRIM(C26),F26&amp;"")</f>
        <v/>
      </c>
      <c r="P26" s="18">
        <f>EXACT(TRIM(D26),G26&amp;"")</f>
        <v/>
      </c>
      <c r="Q26" s="18">
        <f>AND(O26:P26)</f>
        <v/>
      </c>
      <c r="R26" s="19">
        <f>TRIM(IF(O26,"",$O$3&amp;" ")&amp;IF(P26,"",$P$3&amp;" "))</f>
        <v/>
      </c>
      <c r="S26" s="18">
        <f>EXACT(SUBSTITUTE(A26," ",""),SUBSTITUTE(I26&amp;J26&amp;K26&amp;L26&amp;M26," ",""))</f>
        <v/>
      </c>
    </row>
    <row r="27">
      <c r="A27" s="15" t="inlineStr">
        <is>
          <t>INSERT INTO CNF_PRF_TBL VALUES(9 , 521);</t>
        </is>
      </c>
      <c r="B27" s="16" t="n"/>
      <c r="C27" s="15" t="inlineStr">
        <is>
          <t xml:space="preserve">9 </t>
        </is>
      </c>
      <c r="D27" s="15" t="inlineStr">
        <is>
          <t xml:space="preserve"> 521</t>
        </is>
      </c>
      <c r="F27" s="17" t="inlineStr">
        <is>
          <t>9</t>
        </is>
      </c>
      <c r="G27" s="17" t="inlineStr">
        <is>
          <t>521</t>
        </is>
      </c>
      <c r="I27" s="15" t="inlineStr">
        <is>
          <t>INSERT INTO</t>
        </is>
      </c>
      <c r="J27" s="15" t="inlineStr">
        <is>
          <t>CNF_PRF_TBL</t>
        </is>
      </c>
      <c r="K27" s="15" t="inlineStr">
        <is>
          <t>VALUES(</t>
        </is>
      </c>
      <c r="L27" s="15" t="inlineStr">
        <is>
          <t>9 , 521</t>
        </is>
      </c>
      <c r="M27" s="15" t="inlineStr">
        <is>
          <t>);</t>
        </is>
      </c>
      <c r="O27" s="18">
        <f>EXACT(TRIM(C27),F27&amp;"")</f>
        <v/>
      </c>
      <c r="P27" s="18">
        <f>EXACT(TRIM(D27),G27&amp;"")</f>
        <v/>
      </c>
      <c r="Q27" s="18">
        <f>AND(O27:P27)</f>
        <v/>
      </c>
      <c r="R27" s="19">
        <f>TRIM(IF(O27,"",$O$3&amp;" ")&amp;IF(P27,"",$P$3&amp;" "))</f>
        <v/>
      </c>
      <c r="S27" s="18">
        <f>EXACT(SUBSTITUTE(A27," ",""),SUBSTITUTE(I27&amp;J27&amp;K27&amp;L27&amp;M27," ",""))</f>
        <v/>
      </c>
    </row>
    <row r="28">
      <c r="A28" s="15" t="inlineStr">
        <is>
          <t>INSERT INTO CNF_PRF_TBL VALUES(9 , 522);</t>
        </is>
      </c>
      <c r="B28" s="16" t="n"/>
      <c r="C28" s="15" t="inlineStr">
        <is>
          <t xml:space="preserve">9 </t>
        </is>
      </c>
      <c r="D28" s="15" t="inlineStr">
        <is>
          <t xml:space="preserve"> 522</t>
        </is>
      </c>
      <c r="F28" s="17" t="inlineStr">
        <is>
          <t>9</t>
        </is>
      </c>
      <c r="G28" s="17" t="inlineStr">
        <is>
          <t>522</t>
        </is>
      </c>
      <c r="I28" s="15" t="inlineStr">
        <is>
          <t>INSERT INTO</t>
        </is>
      </c>
      <c r="J28" s="15" t="inlineStr">
        <is>
          <t>CNF_PRF_TBL</t>
        </is>
      </c>
      <c r="K28" s="15" t="inlineStr">
        <is>
          <t>VALUES(</t>
        </is>
      </c>
      <c r="L28" s="15" t="inlineStr">
        <is>
          <t>9 , 522</t>
        </is>
      </c>
      <c r="M28" s="15" t="inlineStr">
        <is>
          <t>);</t>
        </is>
      </c>
      <c r="O28" s="18">
        <f>EXACT(TRIM(C28),F28&amp;"")</f>
        <v/>
      </c>
      <c r="P28" s="18">
        <f>EXACT(TRIM(D28),G28&amp;"")</f>
        <v/>
      </c>
      <c r="Q28" s="18">
        <f>AND(O28:P28)</f>
        <v/>
      </c>
      <c r="R28" s="19">
        <f>TRIM(IF(O28,"",$O$3&amp;" ")&amp;IF(P28,"",$P$3&amp;" "))</f>
        <v/>
      </c>
      <c r="S28" s="18">
        <f>EXACT(SUBSTITUTE(A28," ",""),SUBSTITUTE(I28&amp;J28&amp;K28&amp;L28&amp;M28," ",""))</f>
        <v/>
      </c>
    </row>
    <row r="29">
      <c r="A29" s="15" t="inlineStr">
        <is>
          <t>INSERT INTO CNF_PRF_TBL VALUES(9 , 523);</t>
        </is>
      </c>
      <c r="B29" s="16" t="n"/>
      <c r="C29" s="15" t="inlineStr">
        <is>
          <t xml:space="preserve">9 </t>
        </is>
      </c>
      <c r="D29" s="15" t="inlineStr">
        <is>
          <t xml:space="preserve"> 523</t>
        </is>
      </c>
      <c r="F29" s="17" t="inlineStr">
        <is>
          <t>9</t>
        </is>
      </c>
      <c r="G29" s="17" t="inlineStr">
        <is>
          <t>523</t>
        </is>
      </c>
      <c r="I29" s="15" t="inlineStr">
        <is>
          <t>INSERT INTO</t>
        </is>
      </c>
      <c r="J29" s="15" t="inlineStr">
        <is>
          <t>CNF_PRF_TBL</t>
        </is>
      </c>
      <c r="K29" s="15" t="inlineStr">
        <is>
          <t>VALUES(</t>
        </is>
      </c>
      <c r="L29" s="15" t="inlineStr">
        <is>
          <t>9 , 523</t>
        </is>
      </c>
      <c r="M29" s="15" t="inlineStr">
        <is>
          <t>);</t>
        </is>
      </c>
      <c r="O29" s="18">
        <f>EXACT(TRIM(C29),F29&amp;"")</f>
        <v/>
      </c>
      <c r="P29" s="18">
        <f>EXACT(TRIM(D29),G29&amp;"")</f>
        <v/>
      </c>
      <c r="Q29" s="18">
        <f>AND(O29:P29)</f>
        <v/>
      </c>
      <c r="R29" s="19">
        <f>TRIM(IF(O29,"",$O$3&amp;" ")&amp;IF(P29,"",$P$3&amp;" "))</f>
        <v/>
      </c>
      <c r="S29" s="18">
        <f>EXACT(SUBSTITUTE(A29," ",""),SUBSTITUTE(I29&amp;J29&amp;K29&amp;L29&amp;M29," ",""))</f>
        <v/>
      </c>
    </row>
    <row r="30">
      <c r="A30" s="15" t="inlineStr">
        <is>
          <t>INSERT INTO CNF_PRF_TBL VALUES(9 , 524);</t>
        </is>
      </c>
      <c r="B30" s="16" t="n"/>
      <c r="C30" s="15" t="inlineStr">
        <is>
          <t xml:space="preserve">9 </t>
        </is>
      </c>
      <c r="D30" s="15" t="inlineStr">
        <is>
          <t xml:space="preserve"> 524</t>
        </is>
      </c>
      <c r="F30" s="17" t="inlineStr">
        <is>
          <t>9</t>
        </is>
      </c>
      <c r="G30" s="17" t="inlineStr">
        <is>
          <t>524</t>
        </is>
      </c>
      <c r="I30" s="15" t="inlineStr">
        <is>
          <t>INSERT INTO</t>
        </is>
      </c>
      <c r="J30" s="15" t="inlineStr">
        <is>
          <t>CNF_PRF_TBL</t>
        </is>
      </c>
      <c r="K30" s="15" t="inlineStr">
        <is>
          <t>VALUES(</t>
        </is>
      </c>
      <c r="L30" s="15" t="inlineStr">
        <is>
          <t>9 , 524</t>
        </is>
      </c>
      <c r="M30" s="15" t="inlineStr">
        <is>
          <t>);</t>
        </is>
      </c>
      <c r="O30" s="18">
        <f>EXACT(TRIM(C30),F30&amp;"")</f>
        <v/>
      </c>
      <c r="P30" s="18">
        <f>EXACT(TRIM(D30),G30&amp;"")</f>
        <v/>
      </c>
      <c r="Q30" s="18">
        <f>AND(O30:P30)</f>
        <v/>
      </c>
      <c r="R30" s="19">
        <f>TRIM(IF(O30,"",$O$3&amp;" ")&amp;IF(P30,"",$P$3&amp;" "))</f>
        <v/>
      </c>
      <c r="S30" s="18">
        <f>EXACT(SUBSTITUTE(A30," ",""),SUBSTITUTE(I30&amp;J30&amp;K30&amp;L30&amp;M30," ",""))</f>
        <v/>
      </c>
    </row>
    <row r="31">
      <c r="A31" s="15" t="inlineStr">
        <is>
          <t>INSERT INTO CNF_PRF_TBL VALUES(9 , 525);</t>
        </is>
      </c>
      <c r="B31" s="16" t="n"/>
      <c r="C31" s="15" t="inlineStr">
        <is>
          <t xml:space="preserve">9 </t>
        </is>
      </c>
      <c r="D31" s="15" t="inlineStr">
        <is>
          <t xml:space="preserve"> 525</t>
        </is>
      </c>
      <c r="F31" s="17" t="inlineStr">
        <is>
          <t>9</t>
        </is>
      </c>
      <c r="G31" s="17" t="inlineStr">
        <is>
          <t>525</t>
        </is>
      </c>
      <c r="I31" s="15" t="inlineStr">
        <is>
          <t>INSERT INTO</t>
        </is>
      </c>
      <c r="J31" s="15" t="inlineStr">
        <is>
          <t>CNF_PRF_TBL</t>
        </is>
      </c>
      <c r="K31" s="15" t="inlineStr">
        <is>
          <t>VALUES(</t>
        </is>
      </c>
      <c r="L31" s="15" t="inlineStr">
        <is>
          <t>9 , 525</t>
        </is>
      </c>
      <c r="M31" s="15" t="inlineStr">
        <is>
          <t>);</t>
        </is>
      </c>
      <c r="O31" s="18">
        <f>EXACT(TRIM(C31),F31&amp;"")</f>
        <v/>
      </c>
      <c r="P31" s="18">
        <f>EXACT(TRIM(D31),G31&amp;"")</f>
        <v/>
      </c>
      <c r="Q31" s="18">
        <f>AND(O31:P31)</f>
        <v/>
      </c>
      <c r="R31" s="19">
        <f>TRIM(IF(O31,"",$O$3&amp;" ")&amp;IF(P31,"",$P$3&amp;" "))</f>
        <v/>
      </c>
      <c r="S31" s="18">
        <f>EXACT(SUBSTITUTE(A31," ",""),SUBSTITUTE(I31&amp;J31&amp;K31&amp;L31&amp;M31," ",""))</f>
        <v/>
      </c>
    </row>
    <row r="32">
      <c r="A32" s="15" t="inlineStr">
        <is>
          <t>INSERT INTO CNF_PRF_TBL VALUES(9 , 526);</t>
        </is>
      </c>
      <c r="B32" s="16" t="n"/>
      <c r="C32" s="15" t="inlineStr">
        <is>
          <t xml:space="preserve">9 </t>
        </is>
      </c>
      <c r="D32" s="15" t="inlineStr">
        <is>
          <t xml:space="preserve"> 526</t>
        </is>
      </c>
      <c r="F32" s="17" t="inlineStr">
        <is>
          <t>9</t>
        </is>
      </c>
      <c r="G32" s="17" t="inlineStr">
        <is>
          <t>526</t>
        </is>
      </c>
      <c r="I32" s="15" t="inlineStr">
        <is>
          <t>INSERT INTO</t>
        </is>
      </c>
      <c r="J32" s="15" t="inlineStr">
        <is>
          <t>CNF_PRF_TBL</t>
        </is>
      </c>
      <c r="K32" s="15" t="inlineStr">
        <is>
          <t>VALUES(</t>
        </is>
      </c>
      <c r="L32" s="15" t="inlineStr">
        <is>
          <t>9 , 526</t>
        </is>
      </c>
      <c r="M32" s="15" t="inlineStr">
        <is>
          <t>);</t>
        </is>
      </c>
      <c r="O32" s="18">
        <f>EXACT(TRIM(C32),F32&amp;"")</f>
        <v/>
      </c>
      <c r="P32" s="18">
        <f>EXACT(TRIM(D32),G32&amp;"")</f>
        <v/>
      </c>
      <c r="Q32" s="18">
        <f>AND(O32:P32)</f>
        <v/>
      </c>
      <c r="R32" s="19">
        <f>TRIM(IF(O32,"",$O$3&amp;" ")&amp;IF(P32,"",$P$3&amp;" "))</f>
        <v/>
      </c>
      <c r="S32" s="18">
        <f>EXACT(SUBSTITUTE(A32," ",""),SUBSTITUTE(I32&amp;J32&amp;K32&amp;L32&amp;M32," ",""))</f>
        <v/>
      </c>
    </row>
    <row r="33">
      <c r="A33" s="15" t="inlineStr">
        <is>
          <t>INSERT INTO CNF_PRF_TBL VALUES(9 , 527);</t>
        </is>
      </c>
      <c r="B33" s="16" t="n"/>
      <c r="C33" s="15" t="inlineStr">
        <is>
          <t xml:space="preserve">9 </t>
        </is>
      </c>
      <c r="D33" s="15" t="inlineStr">
        <is>
          <t xml:space="preserve"> 527</t>
        </is>
      </c>
      <c r="F33" s="17" t="inlineStr">
        <is>
          <t>9</t>
        </is>
      </c>
      <c r="G33" s="17" t="inlineStr">
        <is>
          <t>527</t>
        </is>
      </c>
      <c r="I33" s="15" t="inlineStr">
        <is>
          <t>INSERT INTO</t>
        </is>
      </c>
      <c r="J33" s="15" t="inlineStr">
        <is>
          <t>CNF_PRF_TBL</t>
        </is>
      </c>
      <c r="K33" s="15" t="inlineStr">
        <is>
          <t>VALUES(</t>
        </is>
      </c>
      <c r="L33" s="15" t="inlineStr">
        <is>
          <t>9 , 527</t>
        </is>
      </c>
      <c r="M33" s="15" t="inlineStr">
        <is>
          <t>);</t>
        </is>
      </c>
      <c r="O33" s="18">
        <f>EXACT(TRIM(C33),F33&amp;"")</f>
        <v/>
      </c>
      <c r="P33" s="18">
        <f>EXACT(TRIM(D33),G33&amp;"")</f>
        <v/>
      </c>
      <c r="Q33" s="18">
        <f>AND(O33:P33)</f>
        <v/>
      </c>
      <c r="R33" s="19">
        <f>TRIM(IF(O33,"",$O$3&amp;" ")&amp;IF(P33,"",$P$3&amp;" "))</f>
        <v/>
      </c>
      <c r="S33" s="18">
        <f>EXACT(SUBSTITUTE(A33," ",""),SUBSTITUTE(I33&amp;J33&amp;K33&amp;L33&amp;M33," ",""))</f>
        <v/>
      </c>
    </row>
    <row r="34">
      <c r="A34" s="15" t="inlineStr">
        <is>
          <t>INSERT INTO CNF_PRF_TBL VALUES(9 , 528);</t>
        </is>
      </c>
      <c r="B34" s="16" t="n"/>
      <c r="C34" s="15" t="inlineStr">
        <is>
          <t xml:space="preserve">9 </t>
        </is>
      </c>
      <c r="D34" s="15" t="inlineStr">
        <is>
          <t xml:space="preserve"> 528</t>
        </is>
      </c>
      <c r="F34" s="17" t="inlineStr">
        <is>
          <t>9</t>
        </is>
      </c>
      <c r="G34" s="17" t="inlineStr">
        <is>
          <t>528</t>
        </is>
      </c>
      <c r="I34" s="15" t="inlineStr">
        <is>
          <t>INSERT INTO</t>
        </is>
      </c>
      <c r="J34" s="15" t="inlineStr">
        <is>
          <t>CNF_PRF_TBL</t>
        </is>
      </c>
      <c r="K34" s="15" t="inlineStr">
        <is>
          <t>VALUES(</t>
        </is>
      </c>
      <c r="L34" s="15" t="inlineStr">
        <is>
          <t>9 , 528</t>
        </is>
      </c>
      <c r="M34" s="15" t="inlineStr">
        <is>
          <t>);</t>
        </is>
      </c>
      <c r="O34" s="18">
        <f>EXACT(TRIM(C34),F34&amp;"")</f>
        <v/>
      </c>
      <c r="P34" s="18">
        <f>EXACT(TRIM(D34),G34&amp;"")</f>
        <v/>
      </c>
      <c r="Q34" s="18">
        <f>AND(O34:P34)</f>
        <v/>
      </c>
      <c r="R34" s="19">
        <f>TRIM(IF(O34,"",$O$3&amp;" ")&amp;IF(P34,"",$P$3&amp;" "))</f>
        <v/>
      </c>
      <c r="S34" s="18">
        <f>EXACT(SUBSTITUTE(A34," ",""),SUBSTITUTE(I34&amp;J34&amp;K34&amp;L34&amp;M34," ",""))</f>
        <v/>
      </c>
    </row>
    <row r="35">
      <c r="A35" s="15" t="inlineStr">
        <is>
          <t>INSERT INTO CNF_PRF_TBL VALUES(9 , 529);</t>
        </is>
      </c>
      <c r="B35" s="16" t="n"/>
      <c r="C35" s="15" t="inlineStr">
        <is>
          <t xml:space="preserve">9 </t>
        </is>
      </c>
      <c r="D35" s="15" t="inlineStr">
        <is>
          <t xml:space="preserve"> 529</t>
        </is>
      </c>
      <c r="F35" s="17" t="inlineStr">
        <is>
          <t>9</t>
        </is>
      </c>
      <c r="G35" s="17" t="inlineStr">
        <is>
          <t>529</t>
        </is>
      </c>
      <c r="I35" s="15" t="inlineStr">
        <is>
          <t>INSERT INTO</t>
        </is>
      </c>
      <c r="J35" s="15" t="inlineStr">
        <is>
          <t>CNF_PRF_TBL</t>
        </is>
      </c>
      <c r="K35" s="15" t="inlineStr">
        <is>
          <t>VALUES(</t>
        </is>
      </c>
      <c r="L35" s="15" t="inlineStr">
        <is>
          <t>9 , 529</t>
        </is>
      </c>
      <c r="M35" s="15" t="inlineStr">
        <is>
          <t>);</t>
        </is>
      </c>
      <c r="O35" s="18">
        <f>EXACT(TRIM(C35),F35&amp;"")</f>
        <v/>
      </c>
      <c r="P35" s="18">
        <f>EXACT(TRIM(D35),G35&amp;"")</f>
        <v/>
      </c>
      <c r="Q35" s="18">
        <f>AND(O35:P35)</f>
        <v/>
      </c>
      <c r="R35" s="19">
        <f>TRIM(IF(O35,"",$O$3&amp;" ")&amp;IF(P35,"",$P$3&amp;" "))</f>
        <v/>
      </c>
      <c r="S35" s="18">
        <f>EXACT(SUBSTITUTE(A35," ",""),SUBSTITUTE(I35&amp;J35&amp;K35&amp;L35&amp;M35," ",""))</f>
        <v/>
      </c>
    </row>
    <row r="36">
      <c r="A36" s="15" t="inlineStr">
        <is>
          <t>INSERT INTO CNF_PRF_TBL VALUES(9 , 530);</t>
        </is>
      </c>
      <c r="B36" s="16" t="n"/>
      <c r="C36" s="15" t="inlineStr">
        <is>
          <t xml:space="preserve">9 </t>
        </is>
      </c>
      <c r="D36" s="15" t="inlineStr">
        <is>
          <t xml:space="preserve"> 530</t>
        </is>
      </c>
      <c r="F36" s="17" t="inlineStr">
        <is>
          <t>9</t>
        </is>
      </c>
      <c r="G36" s="17" t="inlineStr">
        <is>
          <t>530</t>
        </is>
      </c>
      <c r="I36" s="15" t="inlineStr">
        <is>
          <t>INSERT INTO</t>
        </is>
      </c>
      <c r="J36" s="15" t="inlineStr">
        <is>
          <t>CNF_PRF_TBL</t>
        </is>
      </c>
      <c r="K36" s="15" t="inlineStr">
        <is>
          <t>VALUES(</t>
        </is>
      </c>
      <c r="L36" s="15" t="inlineStr">
        <is>
          <t>9 , 530</t>
        </is>
      </c>
      <c r="M36" s="15" t="inlineStr">
        <is>
          <t>);</t>
        </is>
      </c>
      <c r="O36" s="18">
        <f>EXACT(TRIM(C36),F36&amp;"")</f>
        <v/>
      </c>
      <c r="P36" s="18">
        <f>EXACT(TRIM(D36),G36&amp;"")</f>
        <v/>
      </c>
      <c r="Q36" s="18">
        <f>AND(O36:P36)</f>
        <v/>
      </c>
      <c r="R36" s="19">
        <f>TRIM(IF(O36,"",$O$3&amp;" ")&amp;IF(P36,"",$P$3&amp;" "))</f>
        <v/>
      </c>
      <c r="S36" s="18">
        <f>EXACT(SUBSTITUTE(A36," ",""),SUBSTITUTE(I36&amp;J36&amp;K36&amp;L36&amp;M36," ",""))</f>
        <v/>
      </c>
    </row>
    <row r="37">
      <c r="A37" s="15" t="inlineStr">
        <is>
          <t>INSERT INTO CNF_PRF_TBL VALUES(9 , 531);</t>
        </is>
      </c>
      <c r="B37" s="16" t="n"/>
      <c r="C37" s="15" t="inlineStr">
        <is>
          <t xml:space="preserve">9 </t>
        </is>
      </c>
      <c r="D37" s="15" t="inlineStr">
        <is>
          <t xml:space="preserve"> 531</t>
        </is>
      </c>
      <c r="F37" s="17" t="inlineStr">
        <is>
          <t>9</t>
        </is>
      </c>
      <c r="G37" s="17" t="inlineStr">
        <is>
          <t>531</t>
        </is>
      </c>
      <c r="I37" s="15" t="inlineStr">
        <is>
          <t>INSERT INTO</t>
        </is>
      </c>
      <c r="J37" s="15" t="inlineStr">
        <is>
          <t>CNF_PRF_TBL</t>
        </is>
      </c>
      <c r="K37" s="15" t="inlineStr">
        <is>
          <t>VALUES(</t>
        </is>
      </c>
      <c r="L37" s="15" t="inlineStr">
        <is>
          <t>9 , 531</t>
        </is>
      </c>
      <c r="M37" s="15" t="inlineStr">
        <is>
          <t>);</t>
        </is>
      </c>
      <c r="O37" s="18">
        <f>EXACT(TRIM(C37),F37&amp;"")</f>
        <v/>
      </c>
      <c r="P37" s="18">
        <f>EXACT(TRIM(D37),G37&amp;"")</f>
        <v/>
      </c>
      <c r="Q37" s="18">
        <f>AND(O37:P37)</f>
        <v/>
      </c>
      <c r="R37" s="19">
        <f>TRIM(IF(O37,"",$O$3&amp;" ")&amp;IF(P37,"",$P$3&amp;" "))</f>
        <v/>
      </c>
      <c r="S37" s="18">
        <f>EXACT(SUBSTITUTE(A37," ",""),SUBSTITUTE(I37&amp;J37&amp;K37&amp;L37&amp;M37," ",""))</f>
        <v/>
      </c>
    </row>
    <row r="38">
      <c r="A38" s="15" t="inlineStr">
        <is>
          <t>INSERT INTO CNF_PRF_TBL VALUES(9 , 532);</t>
        </is>
      </c>
      <c r="B38" s="16" t="n"/>
      <c r="C38" s="15" t="inlineStr">
        <is>
          <t xml:space="preserve">9 </t>
        </is>
      </c>
      <c r="D38" s="15" t="inlineStr">
        <is>
          <t xml:space="preserve"> 532</t>
        </is>
      </c>
      <c r="F38" s="17" t="inlineStr">
        <is>
          <t>9</t>
        </is>
      </c>
      <c r="G38" s="17" t="inlineStr">
        <is>
          <t>532</t>
        </is>
      </c>
      <c r="I38" s="15" t="inlineStr">
        <is>
          <t>INSERT INTO</t>
        </is>
      </c>
      <c r="J38" s="15" t="inlineStr">
        <is>
          <t>CNF_PRF_TBL</t>
        </is>
      </c>
      <c r="K38" s="15" t="inlineStr">
        <is>
          <t>VALUES(</t>
        </is>
      </c>
      <c r="L38" s="15" t="inlineStr">
        <is>
          <t>9 , 532</t>
        </is>
      </c>
      <c r="M38" s="15" t="inlineStr">
        <is>
          <t>);</t>
        </is>
      </c>
      <c r="O38" s="18">
        <f>EXACT(TRIM(C38),F38&amp;"")</f>
        <v/>
      </c>
      <c r="P38" s="18">
        <f>EXACT(TRIM(D38),G38&amp;"")</f>
        <v/>
      </c>
      <c r="Q38" s="18">
        <f>AND(O38:P38)</f>
        <v/>
      </c>
      <c r="R38" s="19">
        <f>TRIM(IF(O38,"",$O$3&amp;" ")&amp;IF(P38,"",$P$3&amp;" "))</f>
        <v/>
      </c>
      <c r="S38" s="18">
        <f>EXACT(SUBSTITUTE(A38," ",""),SUBSTITUTE(I38&amp;J38&amp;K38&amp;L38&amp;M38," ",""))</f>
        <v/>
      </c>
    </row>
    <row r="39">
      <c r="A39" s="15" t="inlineStr">
        <is>
          <t>INSERT INTO CNF_PRF_TBL VALUES(9 , 533);</t>
        </is>
      </c>
      <c r="B39" s="16" t="n"/>
      <c r="C39" s="15" t="inlineStr">
        <is>
          <t xml:space="preserve">9 </t>
        </is>
      </c>
      <c r="D39" s="15" t="inlineStr">
        <is>
          <t xml:space="preserve"> 533</t>
        </is>
      </c>
      <c r="F39" s="17" t="inlineStr">
        <is>
          <t>9</t>
        </is>
      </c>
      <c r="G39" s="17" t="inlineStr">
        <is>
          <t>533</t>
        </is>
      </c>
      <c r="I39" s="15" t="inlineStr">
        <is>
          <t>INSERT INTO</t>
        </is>
      </c>
      <c r="J39" s="15" t="inlineStr">
        <is>
          <t>CNF_PRF_TBL</t>
        </is>
      </c>
      <c r="K39" s="15" t="inlineStr">
        <is>
          <t>VALUES(</t>
        </is>
      </c>
      <c r="L39" s="15" t="inlineStr">
        <is>
          <t>9 , 533</t>
        </is>
      </c>
      <c r="M39" s="15" t="inlineStr">
        <is>
          <t>);</t>
        </is>
      </c>
      <c r="O39" s="18">
        <f>EXACT(TRIM(C39),F39&amp;"")</f>
        <v/>
      </c>
      <c r="P39" s="18">
        <f>EXACT(TRIM(D39),G39&amp;"")</f>
        <v/>
      </c>
      <c r="Q39" s="18">
        <f>AND(O39:P39)</f>
        <v/>
      </c>
      <c r="R39" s="19">
        <f>TRIM(IF(O39,"",$O$3&amp;" ")&amp;IF(P39,"",$P$3&amp;" "))</f>
        <v/>
      </c>
      <c r="S39" s="18">
        <f>EXACT(SUBSTITUTE(A39," ",""),SUBSTITUTE(I39&amp;J39&amp;K39&amp;L39&amp;M39," ",""))</f>
        <v/>
      </c>
    </row>
    <row r="40">
      <c r="A40" s="15" t="inlineStr">
        <is>
          <t>INSERT INTO CNF_PRF_TBL VALUES(9 , 534);</t>
        </is>
      </c>
      <c r="B40" s="16" t="n"/>
      <c r="C40" s="15" t="inlineStr">
        <is>
          <t xml:space="preserve">9 </t>
        </is>
      </c>
      <c r="D40" s="15" t="inlineStr">
        <is>
          <t xml:space="preserve"> 534</t>
        </is>
      </c>
      <c r="F40" s="17" t="inlineStr">
        <is>
          <t>9</t>
        </is>
      </c>
      <c r="G40" s="17" t="inlineStr">
        <is>
          <t>534</t>
        </is>
      </c>
      <c r="I40" s="15" t="inlineStr">
        <is>
          <t>INSERT INTO</t>
        </is>
      </c>
      <c r="J40" s="15" t="inlineStr">
        <is>
          <t>CNF_PRF_TBL</t>
        </is>
      </c>
      <c r="K40" s="15" t="inlineStr">
        <is>
          <t>VALUES(</t>
        </is>
      </c>
      <c r="L40" s="15" t="inlineStr">
        <is>
          <t>9 , 534</t>
        </is>
      </c>
      <c r="M40" s="15" t="inlineStr">
        <is>
          <t>);</t>
        </is>
      </c>
      <c r="O40" s="18">
        <f>EXACT(TRIM(C40),F40&amp;"")</f>
        <v/>
      </c>
      <c r="P40" s="18">
        <f>EXACT(TRIM(D40),G40&amp;"")</f>
        <v/>
      </c>
      <c r="Q40" s="18">
        <f>AND(O40:P40)</f>
        <v/>
      </c>
      <c r="R40" s="19">
        <f>TRIM(IF(O40,"",$O$3&amp;" ")&amp;IF(P40,"",$P$3&amp;" "))</f>
        <v/>
      </c>
      <c r="S40" s="18">
        <f>EXACT(SUBSTITUTE(A40," ",""),SUBSTITUTE(I40&amp;J40&amp;K40&amp;L40&amp;M40," ",""))</f>
        <v/>
      </c>
    </row>
    <row r="41">
      <c r="A41" s="15" t="inlineStr">
        <is>
          <t>INSERT INTO CNF_PRF_TBL VALUES(9 , 535);</t>
        </is>
      </c>
      <c r="B41" s="16" t="n"/>
      <c r="C41" s="15" t="inlineStr">
        <is>
          <t xml:space="preserve">9 </t>
        </is>
      </c>
      <c r="D41" s="15" t="inlineStr">
        <is>
          <t xml:space="preserve"> 535</t>
        </is>
      </c>
      <c r="F41" s="17" t="inlineStr">
        <is>
          <t>9</t>
        </is>
      </c>
      <c r="G41" s="17" t="inlineStr">
        <is>
          <t>535</t>
        </is>
      </c>
      <c r="I41" s="15" t="inlineStr">
        <is>
          <t>INSERT INTO</t>
        </is>
      </c>
      <c r="J41" s="15" t="inlineStr">
        <is>
          <t>CNF_PRF_TBL</t>
        </is>
      </c>
      <c r="K41" s="15" t="inlineStr">
        <is>
          <t>VALUES(</t>
        </is>
      </c>
      <c r="L41" s="15" t="inlineStr">
        <is>
          <t>9 , 535</t>
        </is>
      </c>
      <c r="M41" s="15" t="inlineStr">
        <is>
          <t>);</t>
        </is>
      </c>
      <c r="O41" s="18">
        <f>EXACT(TRIM(C41),F41&amp;"")</f>
        <v/>
      </c>
      <c r="P41" s="18">
        <f>EXACT(TRIM(D41),G41&amp;"")</f>
        <v/>
      </c>
      <c r="Q41" s="18">
        <f>AND(O41:P41)</f>
        <v/>
      </c>
      <c r="R41" s="19">
        <f>TRIM(IF(O41,"",$O$3&amp;" ")&amp;IF(P41,"",$P$3&amp;" "))</f>
        <v/>
      </c>
      <c r="S41" s="18">
        <f>EXACT(SUBSTITUTE(A41," ",""),SUBSTITUTE(I41&amp;J41&amp;K41&amp;L41&amp;M41," ",""))</f>
        <v/>
      </c>
    </row>
    <row r="42">
      <c r="A42" s="15" t="inlineStr">
        <is>
          <t>INSERT INTO CNF_PRF_TBL VALUES(9 , 536);</t>
        </is>
      </c>
      <c r="B42" s="16" t="n"/>
      <c r="C42" s="15" t="inlineStr">
        <is>
          <t xml:space="preserve">9 </t>
        </is>
      </c>
      <c r="D42" s="15" t="inlineStr">
        <is>
          <t xml:space="preserve"> 536</t>
        </is>
      </c>
      <c r="F42" s="17" t="inlineStr">
        <is>
          <t>9</t>
        </is>
      </c>
      <c r="G42" s="17" t="inlineStr">
        <is>
          <t>536</t>
        </is>
      </c>
      <c r="I42" s="15" t="inlineStr">
        <is>
          <t>INSERT INTO</t>
        </is>
      </c>
      <c r="J42" s="15" t="inlineStr">
        <is>
          <t>CNF_PRF_TBL</t>
        </is>
      </c>
      <c r="K42" s="15" t="inlineStr">
        <is>
          <t>VALUES(</t>
        </is>
      </c>
      <c r="L42" s="15" t="inlineStr">
        <is>
          <t>9 , 536</t>
        </is>
      </c>
      <c r="M42" s="15" t="inlineStr">
        <is>
          <t>);</t>
        </is>
      </c>
      <c r="O42" s="18">
        <f>EXACT(TRIM(C42),F42&amp;"")</f>
        <v/>
      </c>
      <c r="P42" s="18">
        <f>EXACT(TRIM(D42),G42&amp;"")</f>
        <v/>
      </c>
      <c r="Q42" s="18">
        <f>AND(O42:P42)</f>
        <v/>
      </c>
      <c r="R42" s="19">
        <f>TRIM(IF(O42,"",$O$3&amp;" ")&amp;IF(P42,"",$P$3&amp;" "))</f>
        <v/>
      </c>
      <c r="S42" s="18">
        <f>EXACT(SUBSTITUTE(A42," ",""),SUBSTITUTE(I42&amp;J42&amp;K42&amp;L42&amp;M42," ",""))</f>
        <v/>
      </c>
    </row>
    <row r="43">
      <c r="A43" s="15" t="inlineStr">
        <is>
          <t>INSERT INTO CNF_PRF_TBL VALUES(9 , 537);</t>
        </is>
      </c>
      <c r="B43" s="16" t="n"/>
      <c r="C43" s="15" t="inlineStr">
        <is>
          <t xml:space="preserve">9 </t>
        </is>
      </c>
      <c r="D43" s="15" t="inlineStr">
        <is>
          <t xml:space="preserve"> 537</t>
        </is>
      </c>
      <c r="F43" s="17" t="inlineStr">
        <is>
          <t>9</t>
        </is>
      </c>
      <c r="G43" s="17" t="inlineStr">
        <is>
          <t>537</t>
        </is>
      </c>
      <c r="I43" s="15" t="inlineStr">
        <is>
          <t>INSERT INTO</t>
        </is>
      </c>
      <c r="J43" s="15" t="inlineStr">
        <is>
          <t>CNF_PRF_TBL</t>
        </is>
      </c>
      <c r="K43" s="15" t="inlineStr">
        <is>
          <t>VALUES(</t>
        </is>
      </c>
      <c r="L43" s="15" t="inlineStr">
        <is>
          <t>9 , 537</t>
        </is>
      </c>
      <c r="M43" s="15" t="inlineStr">
        <is>
          <t>);</t>
        </is>
      </c>
      <c r="O43" s="18">
        <f>EXACT(TRIM(C43),F43&amp;"")</f>
        <v/>
      </c>
      <c r="P43" s="18">
        <f>EXACT(TRIM(D43),G43&amp;"")</f>
        <v/>
      </c>
      <c r="Q43" s="18">
        <f>AND(O43:P43)</f>
        <v/>
      </c>
      <c r="R43" s="19">
        <f>TRIM(IF(O43,"",$O$3&amp;" ")&amp;IF(P43,"",$P$3&amp;" "))</f>
        <v/>
      </c>
      <c r="S43" s="18">
        <f>EXACT(SUBSTITUTE(A43," ",""),SUBSTITUTE(I43&amp;J43&amp;K43&amp;L43&amp;M43," ",""))</f>
        <v/>
      </c>
    </row>
    <row r="44">
      <c r="A44" s="15" t="inlineStr">
        <is>
          <t>INSERT INTO CNF_PRF_TBL VALUES(9 , 538);</t>
        </is>
      </c>
      <c r="B44" s="16" t="n"/>
      <c r="C44" s="15" t="inlineStr">
        <is>
          <t xml:space="preserve">9 </t>
        </is>
      </c>
      <c r="D44" s="15" t="inlineStr">
        <is>
          <t xml:space="preserve"> 538</t>
        </is>
      </c>
      <c r="F44" s="17" t="inlineStr">
        <is>
          <t>9</t>
        </is>
      </c>
      <c r="G44" s="17" t="inlineStr">
        <is>
          <t>538</t>
        </is>
      </c>
      <c r="I44" s="15" t="inlineStr">
        <is>
          <t>INSERT INTO</t>
        </is>
      </c>
      <c r="J44" s="15" t="inlineStr">
        <is>
          <t>CNF_PRF_TBL</t>
        </is>
      </c>
      <c r="K44" s="15" t="inlineStr">
        <is>
          <t>VALUES(</t>
        </is>
      </c>
      <c r="L44" s="15" t="inlineStr">
        <is>
          <t>9 , 538</t>
        </is>
      </c>
      <c r="M44" s="15" t="inlineStr">
        <is>
          <t>);</t>
        </is>
      </c>
      <c r="O44" s="18">
        <f>EXACT(TRIM(C44),F44&amp;"")</f>
        <v/>
      </c>
      <c r="P44" s="18">
        <f>EXACT(TRIM(D44),G44&amp;"")</f>
        <v/>
      </c>
      <c r="Q44" s="18">
        <f>AND(O44:P44)</f>
        <v/>
      </c>
      <c r="R44" s="19">
        <f>TRIM(IF(O44,"",$O$3&amp;" ")&amp;IF(P44,"",$P$3&amp;" "))</f>
        <v/>
      </c>
      <c r="S44" s="18">
        <f>EXACT(SUBSTITUTE(A44," ",""),SUBSTITUTE(I44&amp;J44&amp;K44&amp;L44&amp;M44," ",""))</f>
        <v/>
      </c>
    </row>
    <row r="45">
      <c r="A45" s="15" t="inlineStr">
        <is>
          <t>INSERT INTO CNF_PRF_TBL VALUES(9 , 539);</t>
        </is>
      </c>
      <c r="B45" s="16" t="n"/>
      <c r="C45" s="15" t="inlineStr">
        <is>
          <t xml:space="preserve">9 </t>
        </is>
      </c>
      <c r="D45" s="15" t="inlineStr">
        <is>
          <t xml:space="preserve"> 539</t>
        </is>
      </c>
      <c r="F45" s="17" t="inlineStr">
        <is>
          <t>9</t>
        </is>
      </c>
      <c r="G45" s="17" t="inlineStr">
        <is>
          <t>539</t>
        </is>
      </c>
      <c r="I45" s="15" t="inlineStr">
        <is>
          <t>INSERT INTO</t>
        </is>
      </c>
      <c r="J45" s="15" t="inlineStr">
        <is>
          <t>CNF_PRF_TBL</t>
        </is>
      </c>
      <c r="K45" s="15" t="inlineStr">
        <is>
          <t>VALUES(</t>
        </is>
      </c>
      <c r="L45" s="15" t="inlineStr">
        <is>
          <t>9 , 539</t>
        </is>
      </c>
      <c r="M45" s="15" t="inlineStr">
        <is>
          <t>);</t>
        </is>
      </c>
      <c r="O45" s="18">
        <f>EXACT(TRIM(C45),F45&amp;"")</f>
        <v/>
      </c>
      <c r="P45" s="18">
        <f>EXACT(TRIM(D45),G45&amp;"")</f>
        <v/>
      </c>
      <c r="Q45" s="18">
        <f>AND(O45:P45)</f>
        <v/>
      </c>
      <c r="R45" s="19">
        <f>TRIM(IF(O45,"",$O$3&amp;" ")&amp;IF(P45,"",$P$3&amp;" "))</f>
        <v/>
      </c>
      <c r="S45" s="18">
        <f>EXACT(SUBSTITUTE(A45," ",""),SUBSTITUTE(I45&amp;J45&amp;K45&amp;L45&amp;M45," ",""))</f>
        <v/>
      </c>
    </row>
    <row r="46">
      <c r="A46" s="15" t="inlineStr">
        <is>
          <t>INSERT INTO CNF_PRF_TBL VALUES(9 , 540);</t>
        </is>
      </c>
      <c r="B46" s="16" t="n"/>
      <c r="C46" s="15" t="inlineStr">
        <is>
          <t xml:space="preserve">9 </t>
        </is>
      </c>
      <c r="D46" s="15" t="inlineStr">
        <is>
          <t xml:space="preserve"> 540</t>
        </is>
      </c>
      <c r="F46" s="17" t="inlineStr">
        <is>
          <t>9</t>
        </is>
      </c>
      <c r="G46" s="17" t="inlineStr">
        <is>
          <t>540</t>
        </is>
      </c>
      <c r="I46" s="15" t="inlineStr">
        <is>
          <t>INSERT INTO</t>
        </is>
      </c>
      <c r="J46" s="15" t="inlineStr">
        <is>
          <t>CNF_PRF_TBL</t>
        </is>
      </c>
      <c r="K46" s="15" t="inlineStr">
        <is>
          <t>VALUES(</t>
        </is>
      </c>
      <c r="L46" s="15" t="inlineStr">
        <is>
          <t>9 , 540</t>
        </is>
      </c>
      <c r="M46" s="15" t="inlineStr">
        <is>
          <t>);</t>
        </is>
      </c>
      <c r="O46" s="18">
        <f>EXACT(TRIM(C46),F46&amp;"")</f>
        <v/>
      </c>
      <c r="P46" s="18">
        <f>EXACT(TRIM(D46),G46&amp;"")</f>
        <v/>
      </c>
      <c r="Q46" s="18">
        <f>AND(O46:P46)</f>
        <v/>
      </c>
      <c r="R46" s="19">
        <f>TRIM(IF(O46,"",$O$3&amp;" ")&amp;IF(P46,"",$P$3&amp;" "))</f>
        <v/>
      </c>
      <c r="S46" s="18">
        <f>EXACT(SUBSTITUTE(A46," ",""),SUBSTITUTE(I46&amp;J46&amp;K46&amp;L46&amp;M46," ",""))</f>
        <v/>
      </c>
    </row>
    <row r="47">
      <c r="A47" s="15" t="inlineStr">
        <is>
          <t>INSERT INTO CNF_PRF_TBL VALUES(9 , 541);</t>
        </is>
      </c>
      <c r="B47" s="16" t="n"/>
      <c r="C47" s="15" t="inlineStr">
        <is>
          <t xml:space="preserve">9 </t>
        </is>
      </c>
      <c r="D47" s="15" t="inlineStr">
        <is>
          <t xml:space="preserve"> 541</t>
        </is>
      </c>
      <c r="F47" s="17" t="inlineStr">
        <is>
          <t>9</t>
        </is>
      </c>
      <c r="G47" s="17" t="inlineStr">
        <is>
          <t>541</t>
        </is>
      </c>
      <c r="I47" s="15" t="inlineStr">
        <is>
          <t>INSERT INTO</t>
        </is>
      </c>
      <c r="J47" s="15" t="inlineStr">
        <is>
          <t>CNF_PRF_TBL</t>
        </is>
      </c>
      <c r="K47" s="15" t="inlineStr">
        <is>
          <t>VALUES(</t>
        </is>
      </c>
      <c r="L47" s="15" t="inlineStr">
        <is>
          <t>9 , 541</t>
        </is>
      </c>
      <c r="M47" s="15" t="inlineStr">
        <is>
          <t>);</t>
        </is>
      </c>
      <c r="O47" s="18">
        <f>EXACT(TRIM(C47),F47&amp;"")</f>
        <v/>
      </c>
      <c r="P47" s="18">
        <f>EXACT(TRIM(D47),G47&amp;"")</f>
        <v/>
      </c>
      <c r="Q47" s="18">
        <f>AND(O47:P47)</f>
        <v/>
      </c>
      <c r="R47" s="19">
        <f>TRIM(IF(O47,"",$O$3&amp;" ")&amp;IF(P47,"",$P$3&amp;" "))</f>
        <v/>
      </c>
      <c r="S47" s="18">
        <f>EXACT(SUBSTITUTE(A47," ",""),SUBSTITUTE(I47&amp;J47&amp;K47&amp;L47&amp;M47," ",""))</f>
        <v/>
      </c>
    </row>
    <row r="48">
      <c r="A48" s="15" t="inlineStr">
        <is>
          <t>INSERT INTO CNF_PRF_TBL VALUES(9 , 542);</t>
        </is>
      </c>
      <c r="B48" s="16" t="n"/>
      <c r="C48" s="15" t="inlineStr">
        <is>
          <t xml:space="preserve">9 </t>
        </is>
      </c>
      <c r="D48" s="15" t="inlineStr">
        <is>
          <t xml:space="preserve"> 542</t>
        </is>
      </c>
      <c r="F48" s="17" t="inlineStr">
        <is>
          <t>9</t>
        </is>
      </c>
      <c r="G48" s="17" t="inlineStr">
        <is>
          <t>542</t>
        </is>
      </c>
      <c r="I48" s="15" t="inlineStr">
        <is>
          <t>INSERT INTO</t>
        </is>
      </c>
      <c r="J48" s="15" t="inlineStr">
        <is>
          <t>CNF_PRF_TBL</t>
        </is>
      </c>
      <c r="K48" s="15" t="inlineStr">
        <is>
          <t>VALUES(</t>
        </is>
      </c>
      <c r="L48" s="15" t="inlineStr">
        <is>
          <t>9 , 542</t>
        </is>
      </c>
      <c r="M48" s="15" t="inlineStr">
        <is>
          <t>);</t>
        </is>
      </c>
      <c r="O48" s="18">
        <f>EXACT(TRIM(C48),F48&amp;"")</f>
        <v/>
      </c>
      <c r="P48" s="18">
        <f>EXACT(TRIM(D48),G48&amp;"")</f>
        <v/>
      </c>
      <c r="Q48" s="18">
        <f>AND(O48:P48)</f>
        <v/>
      </c>
      <c r="R48" s="19">
        <f>TRIM(IF(O48,"",$O$3&amp;" ")&amp;IF(P48,"",$P$3&amp;" "))</f>
        <v/>
      </c>
      <c r="S48" s="18">
        <f>EXACT(SUBSTITUTE(A48," ",""),SUBSTITUTE(I48&amp;J48&amp;K48&amp;L48&amp;M48," ",""))</f>
        <v/>
      </c>
    </row>
    <row r="49">
      <c r="A49" s="15" t="inlineStr">
        <is>
          <t>INSERT INTO CNF_PRF_TBL VALUES(9 , 543);</t>
        </is>
      </c>
      <c r="B49" s="16" t="n"/>
      <c r="C49" s="15" t="inlineStr">
        <is>
          <t xml:space="preserve">9 </t>
        </is>
      </c>
      <c r="D49" s="15" t="inlineStr">
        <is>
          <t xml:space="preserve"> 543</t>
        </is>
      </c>
      <c r="F49" s="17" t="inlineStr">
        <is>
          <t>9</t>
        </is>
      </c>
      <c r="G49" s="17" t="inlineStr">
        <is>
          <t>543</t>
        </is>
      </c>
      <c r="I49" s="15" t="inlineStr">
        <is>
          <t>INSERT INTO</t>
        </is>
      </c>
      <c r="J49" s="15" t="inlineStr">
        <is>
          <t>CNF_PRF_TBL</t>
        </is>
      </c>
      <c r="K49" s="15" t="inlineStr">
        <is>
          <t>VALUES(</t>
        </is>
      </c>
      <c r="L49" s="15" t="inlineStr">
        <is>
          <t>9 , 543</t>
        </is>
      </c>
      <c r="M49" s="15" t="inlineStr">
        <is>
          <t>);</t>
        </is>
      </c>
      <c r="O49" s="18">
        <f>EXACT(TRIM(C49),F49&amp;"")</f>
        <v/>
      </c>
      <c r="P49" s="18">
        <f>EXACT(TRIM(D49),G49&amp;"")</f>
        <v/>
      </c>
      <c r="Q49" s="18">
        <f>AND(O49:P49)</f>
        <v/>
      </c>
      <c r="R49" s="19">
        <f>TRIM(IF(O49,"",$O$3&amp;" ")&amp;IF(P49,"",$P$3&amp;" "))</f>
        <v/>
      </c>
      <c r="S49" s="18">
        <f>EXACT(SUBSTITUTE(A49," ",""),SUBSTITUTE(I49&amp;J49&amp;K49&amp;L49&amp;M49," ",""))</f>
        <v/>
      </c>
    </row>
    <row r="50">
      <c r="A50" s="15" t="inlineStr">
        <is>
          <t>INSERT INTO CNF_PRF_TBL VALUES(9 , 544);</t>
        </is>
      </c>
      <c r="B50" s="16" t="n"/>
      <c r="C50" s="15" t="inlineStr">
        <is>
          <t xml:space="preserve">9 </t>
        </is>
      </c>
      <c r="D50" s="15" t="inlineStr">
        <is>
          <t xml:space="preserve"> 544</t>
        </is>
      </c>
      <c r="F50" s="17" t="inlineStr">
        <is>
          <t>9</t>
        </is>
      </c>
      <c r="G50" s="17" t="inlineStr">
        <is>
          <t>544</t>
        </is>
      </c>
      <c r="I50" s="15" t="inlineStr">
        <is>
          <t>INSERT INTO</t>
        </is>
      </c>
      <c r="J50" s="15" t="inlineStr">
        <is>
          <t>CNF_PRF_TBL</t>
        </is>
      </c>
      <c r="K50" s="15" t="inlineStr">
        <is>
          <t>VALUES(</t>
        </is>
      </c>
      <c r="L50" s="15" t="inlineStr">
        <is>
          <t>9 , 544</t>
        </is>
      </c>
      <c r="M50" s="15" t="inlineStr">
        <is>
          <t>);</t>
        </is>
      </c>
      <c r="O50" s="18">
        <f>EXACT(TRIM(C50),F50&amp;"")</f>
        <v/>
      </c>
      <c r="P50" s="18">
        <f>EXACT(TRIM(D50),G50&amp;"")</f>
        <v/>
      </c>
      <c r="Q50" s="18">
        <f>AND(O50:P50)</f>
        <v/>
      </c>
      <c r="R50" s="19">
        <f>TRIM(IF(O50,"",$O$3&amp;" ")&amp;IF(P50,"",$P$3&amp;" "))</f>
        <v/>
      </c>
      <c r="S50" s="18">
        <f>EXACT(SUBSTITUTE(A50," ",""),SUBSTITUTE(I50&amp;J50&amp;K50&amp;L50&amp;M50," ",""))</f>
        <v/>
      </c>
    </row>
    <row r="51">
      <c r="A51" s="15" t="inlineStr">
        <is>
          <t>INSERT INTO CNF_PRF_TBL VALUES(9 , 545);</t>
        </is>
      </c>
      <c r="B51" s="16" t="n"/>
      <c r="C51" s="15" t="inlineStr">
        <is>
          <t xml:space="preserve">9 </t>
        </is>
      </c>
      <c r="D51" s="15" t="inlineStr">
        <is>
          <t xml:space="preserve"> 545</t>
        </is>
      </c>
      <c r="F51" s="17" t="inlineStr">
        <is>
          <t>9</t>
        </is>
      </c>
      <c r="G51" s="17" t="inlineStr">
        <is>
          <t>545</t>
        </is>
      </c>
      <c r="I51" s="15" t="inlineStr">
        <is>
          <t>INSERT INTO</t>
        </is>
      </c>
      <c r="J51" s="15" t="inlineStr">
        <is>
          <t>CNF_PRF_TBL</t>
        </is>
      </c>
      <c r="K51" s="15" t="inlineStr">
        <is>
          <t>VALUES(</t>
        </is>
      </c>
      <c r="L51" s="15" t="inlineStr">
        <is>
          <t>9 , 545</t>
        </is>
      </c>
      <c r="M51" s="15" t="inlineStr">
        <is>
          <t>);</t>
        </is>
      </c>
      <c r="O51" s="18">
        <f>EXACT(TRIM(C51),F51&amp;"")</f>
        <v/>
      </c>
      <c r="P51" s="18">
        <f>EXACT(TRIM(D51),G51&amp;"")</f>
        <v/>
      </c>
      <c r="Q51" s="18">
        <f>AND(O51:P51)</f>
        <v/>
      </c>
      <c r="R51" s="19">
        <f>TRIM(IF(O51,"",$O$3&amp;" ")&amp;IF(P51,"",$P$3&amp;" "))</f>
        <v/>
      </c>
      <c r="S51" s="18">
        <f>EXACT(SUBSTITUTE(A51," ",""),SUBSTITUTE(I51&amp;J51&amp;K51&amp;L51&amp;M51," ",""))</f>
        <v/>
      </c>
    </row>
    <row r="52">
      <c r="A52" s="15" t="inlineStr">
        <is>
          <t>INSERT INTO CNF_PRF_TBL VALUES(9 , 546);</t>
        </is>
      </c>
      <c r="B52" s="16" t="n"/>
      <c r="C52" s="15" t="inlineStr">
        <is>
          <t xml:space="preserve">9 </t>
        </is>
      </c>
      <c r="D52" s="15" t="inlineStr">
        <is>
          <t xml:space="preserve"> 546</t>
        </is>
      </c>
      <c r="F52" s="17" t="inlineStr">
        <is>
          <t>9</t>
        </is>
      </c>
      <c r="G52" s="17" t="inlineStr">
        <is>
          <t>546</t>
        </is>
      </c>
      <c r="I52" s="15" t="inlineStr">
        <is>
          <t>INSERT INTO</t>
        </is>
      </c>
      <c r="J52" s="15" t="inlineStr">
        <is>
          <t>CNF_PRF_TBL</t>
        </is>
      </c>
      <c r="K52" s="15" t="inlineStr">
        <is>
          <t>VALUES(</t>
        </is>
      </c>
      <c r="L52" s="15" t="inlineStr">
        <is>
          <t>9 , 546</t>
        </is>
      </c>
      <c r="M52" s="15" t="inlineStr">
        <is>
          <t>);</t>
        </is>
      </c>
      <c r="O52" s="18">
        <f>EXACT(TRIM(C52),F52&amp;"")</f>
        <v/>
      </c>
      <c r="P52" s="18">
        <f>EXACT(TRIM(D52),G52&amp;"")</f>
        <v/>
      </c>
      <c r="Q52" s="18">
        <f>AND(O52:P52)</f>
        <v/>
      </c>
      <c r="R52" s="19">
        <f>TRIM(IF(O52,"",$O$3&amp;" ")&amp;IF(P52,"",$P$3&amp;" "))</f>
        <v/>
      </c>
      <c r="S52" s="18">
        <f>EXACT(SUBSTITUTE(A52," ",""),SUBSTITUTE(I52&amp;J52&amp;K52&amp;L52&amp;M52," ",""))</f>
        <v/>
      </c>
    </row>
    <row r="53">
      <c r="A53" s="15" t="inlineStr">
        <is>
          <t>INSERT INTO CNF_PRF_TBL VALUES(9 , 547);</t>
        </is>
      </c>
      <c r="B53" s="16" t="n"/>
      <c r="C53" s="15" t="inlineStr">
        <is>
          <t xml:space="preserve">9 </t>
        </is>
      </c>
      <c r="D53" s="15" t="inlineStr">
        <is>
          <t xml:space="preserve"> 547</t>
        </is>
      </c>
      <c r="F53" s="17" t="inlineStr">
        <is>
          <t>9</t>
        </is>
      </c>
      <c r="G53" s="17" t="inlineStr">
        <is>
          <t>547</t>
        </is>
      </c>
      <c r="I53" s="15" t="inlineStr">
        <is>
          <t>INSERT INTO</t>
        </is>
      </c>
      <c r="J53" s="15" t="inlineStr">
        <is>
          <t>CNF_PRF_TBL</t>
        </is>
      </c>
      <c r="K53" s="15" t="inlineStr">
        <is>
          <t>VALUES(</t>
        </is>
      </c>
      <c r="L53" s="15" t="inlineStr">
        <is>
          <t>9 , 547</t>
        </is>
      </c>
      <c r="M53" s="15" t="inlineStr">
        <is>
          <t>);</t>
        </is>
      </c>
      <c r="O53" s="18">
        <f>EXACT(TRIM(C53),F53&amp;"")</f>
        <v/>
      </c>
      <c r="P53" s="18">
        <f>EXACT(TRIM(D53),G53&amp;"")</f>
        <v/>
      </c>
      <c r="Q53" s="18">
        <f>AND(O53:P53)</f>
        <v/>
      </c>
      <c r="R53" s="19">
        <f>TRIM(IF(O53,"",$O$3&amp;" ")&amp;IF(P53,"",$P$3&amp;" "))</f>
        <v/>
      </c>
      <c r="S53" s="18">
        <f>EXACT(SUBSTITUTE(A53," ",""),SUBSTITUTE(I53&amp;J53&amp;K53&amp;L53&amp;M53," ",""))</f>
        <v/>
      </c>
    </row>
    <row r="54">
      <c r="A54" s="15" t="inlineStr">
        <is>
          <t>INSERT INTO CNF_PRF_TBL VALUES(9 , 548);</t>
        </is>
      </c>
      <c r="B54" s="16" t="n"/>
      <c r="C54" s="15" t="inlineStr">
        <is>
          <t xml:space="preserve">9 </t>
        </is>
      </c>
      <c r="D54" s="15" t="inlineStr">
        <is>
          <t xml:space="preserve"> 548</t>
        </is>
      </c>
      <c r="F54" s="17" t="inlineStr">
        <is>
          <t>9</t>
        </is>
      </c>
      <c r="G54" s="17" t="inlineStr">
        <is>
          <t>548</t>
        </is>
      </c>
      <c r="I54" s="15" t="inlineStr">
        <is>
          <t>INSERT INTO</t>
        </is>
      </c>
      <c r="J54" s="15" t="inlineStr">
        <is>
          <t>CNF_PRF_TBL</t>
        </is>
      </c>
      <c r="K54" s="15" t="inlineStr">
        <is>
          <t>VALUES(</t>
        </is>
      </c>
      <c r="L54" s="15" t="inlineStr">
        <is>
          <t>9 , 548</t>
        </is>
      </c>
      <c r="M54" s="15" t="inlineStr">
        <is>
          <t>);</t>
        </is>
      </c>
      <c r="O54" s="18">
        <f>EXACT(TRIM(C54),F54&amp;"")</f>
        <v/>
      </c>
      <c r="P54" s="18">
        <f>EXACT(TRIM(D54),G54&amp;"")</f>
        <v/>
      </c>
      <c r="Q54" s="18">
        <f>AND(O54:P54)</f>
        <v/>
      </c>
      <c r="R54" s="19">
        <f>TRIM(IF(O54,"",$O$3&amp;" ")&amp;IF(P54,"",$P$3&amp;" "))</f>
        <v/>
      </c>
      <c r="S54" s="18">
        <f>EXACT(SUBSTITUTE(A54," ",""),SUBSTITUTE(I54&amp;J54&amp;K54&amp;L54&amp;M54," ",""))</f>
        <v/>
      </c>
    </row>
    <row r="55">
      <c r="A55" s="15" t="inlineStr">
        <is>
          <t>INSERT INTO CNF_PRF_TBL VALUES(9 , 549);</t>
        </is>
      </c>
      <c r="B55" s="16" t="n"/>
      <c r="C55" s="15" t="inlineStr">
        <is>
          <t xml:space="preserve">9 </t>
        </is>
      </c>
      <c r="D55" s="15" t="inlineStr">
        <is>
          <t xml:space="preserve"> 549</t>
        </is>
      </c>
      <c r="F55" s="17" t="inlineStr">
        <is>
          <t>9</t>
        </is>
      </c>
      <c r="G55" s="17" t="inlineStr">
        <is>
          <t>549</t>
        </is>
      </c>
      <c r="I55" s="15" t="inlineStr">
        <is>
          <t>INSERT INTO</t>
        </is>
      </c>
      <c r="J55" s="15" t="inlineStr">
        <is>
          <t>CNF_PRF_TBL</t>
        </is>
      </c>
      <c r="K55" s="15" t="inlineStr">
        <is>
          <t>VALUES(</t>
        </is>
      </c>
      <c r="L55" s="15" t="inlineStr">
        <is>
          <t>9 , 549</t>
        </is>
      </c>
      <c r="M55" s="15" t="inlineStr">
        <is>
          <t>);</t>
        </is>
      </c>
      <c r="O55" s="18">
        <f>EXACT(TRIM(C55),F55&amp;"")</f>
        <v/>
      </c>
      <c r="P55" s="18">
        <f>EXACT(TRIM(D55),G55&amp;"")</f>
        <v/>
      </c>
      <c r="Q55" s="18">
        <f>AND(O55:P55)</f>
        <v/>
      </c>
      <c r="R55" s="19">
        <f>TRIM(IF(O55,"",$O$3&amp;" ")&amp;IF(P55,"",$P$3&amp;" "))</f>
        <v/>
      </c>
      <c r="S55" s="18">
        <f>EXACT(SUBSTITUTE(A55," ",""),SUBSTITUTE(I55&amp;J55&amp;K55&amp;L55&amp;M55," ",""))</f>
        <v/>
      </c>
    </row>
    <row r="56">
      <c r="A56" s="15" t="inlineStr">
        <is>
          <t>INSERT INTO CNF_PRF_TBL VALUES(9 , 550);</t>
        </is>
      </c>
      <c r="B56" s="16" t="n"/>
      <c r="C56" s="15" t="inlineStr">
        <is>
          <t xml:space="preserve">9 </t>
        </is>
      </c>
      <c r="D56" s="15" t="inlineStr">
        <is>
          <t xml:space="preserve"> 550</t>
        </is>
      </c>
      <c r="F56" s="17" t="inlineStr">
        <is>
          <t>9</t>
        </is>
      </c>
      <c r="G56" s="17" t="inlineStr">
        <is>
          <t>550</t>
        </is>
      </c>
      <c r="I56" s="15" t="inlineStr">
        <is>
          <t>INSERT INTO</t>
        </is>
      </c>
      <c r="J56" s="15" t="inlineStr">
        <is>
          <t>CNF_PRF_TBL</t>
        </is>
      </c>
      <c r="K56" s="15" t="inlineStr">
        <is>
          <t>VALUES(</t>
        </is>
      </c>
      <c r="L56" s="15" t="inlineStr">
        <is>
          <t>9 , 550</t>
        </is>
      </c>
      <c r="M56" s="15" t="inlineStr">
        <is>
          <t>);</t>
        </is>
      </c>
      <c r="O56" s="18">
        <f>EXACT(TRIM(C56),F56&amp;"")</f>
        <v/>
      </c>
      <c r="P56" s="18">
        <f>EXACT(TRIM(D56),G56&amp;"")</f>
        <v/>
      </c>
      <c r="Q56" s="18">
        <f>AND(O56:P56)</f>
        <v/>
      </c>
      <c r="R56" s="19">
        <f>TRIM(IF(O56,"",$O$3&amp;" ")&amp;IF(P56,"",$P$3&amp;" "))</f>
        <v/>
      </c>
      <c r="S56" s="18">
        <f>EXACT(SUBSTITUTE(A56," ",""),SUBSTITUTE(I56&amp;J56&amp;K56&amp;L56&amp;M56," ",""))</f>
        <v/>
      </c>
    </row>
    <row r="57">
      <c r="A57" s="15" t="inlineStr">
        <is>
          <t>INSERT INTO CNF_PRF_TBL VALUES(9 , 551);</t>
        </is>
      </c>
      <c r="B57" s="16" t="n"/>
      <c r="C57" s="15" t="inlineStr">
        <is>
          <t xml:space="preserve">9 </t>
        </is>
      </c>
      <c r="D57" s="15" t="inlineStr">
        <is>
          <t xml:space="preserve"> 551</t>
        </is>
      </c>
      <c r="F57" s="17" t="inlineStr">
        <is>
          <t>9</t>
        </is>
      </c>
      <c r="G57" s="17" t="inlineStr">
        <is>
          <t>551</t>
        </is>
      </c>
      <c r="I57" s="15" t="inlineStr">
        <is>
          <t>INSERT INTO</t>
        </is>
      </c>
      <c r="J57" s="15" t="inlineStr">
        <is>
          <t>CNF_PRF_TBL</t>
        </is>
      </c>
      <c r="K57" s="15" t="inlineStr">
        <is>
          <t>VALUES(</t>
        </is>
      </c>
      <c r="L57" s="15" t="inlineStr">
        <is>
          <t>9 , 551</t>
        </is>
      </c>
      <c r="M57" s="15" t="inlineStr">
        <is>
          <t>);</t>
        </is>
      </c>
      <c r="O57" s="18">
        <f>EXACT(TRIM(C57),F57&amp;"")</f>
        <v/>
      </c>
      <c r="P57" s="18">
        <f>EXACT(TRIM(D57),G57&amp;"")</f>
        <v/>
      </c>
      <c r="Q57" s="18">
        <f>AND(O57:P57)</f>
        <v/>
      </c>
      <c r="R57" s="19">
        <f>TRIM(IF(O57,"",$O$3&amp;" ")&amp;IF(P57,"",$P$3&amp;" "))</f>
        <v/>
      </c>
      <c r="S57" s="18">
        <f>EXACT(SUBSTITUTE(A57," ",""),SUBSTITUTE(I57&amp;J57&amp;K57&amp;L57&amp;M57," ",""))</f>
        <v/>
      </c>
    </row>
    <row r="58">
      <c r="A58" s="15" t="inlineStr">
        <is>
          <t>INSERT INTO CNF_PRF_TBL VALUES(9 , 552);</t>
        </is>
      </c>
      <c r="B58" s="16" t="n"/>
      <c r="C58" s="15" t="inlineStr">
        <is>
          <t xml:space="preserve">9 </t>
        </is>
      </c>
      <c r="D58" s="15" t="inlineStr">
        <is>
          <t xml:space="preserve"> 552</t>
        </is>
      </c>
      <c r="F58" s="17" t="inlineStr">
        <is>
          <t>9</t>
        </is>
      </c>
      <c r="G58" s="17" t="inlineStr">
        <is>
          <t>552</t>
        </is>
      </c>
      <c r="I58" s="15" t="inlineStr">
        <is>
          <t>INSERT INTO</t>
        </is>
      </c>
      <c r="J58" s="15" t="inlineStr">
        <is>
          <t>CNF_PRF_TBL</t>
        </is>
      </c>
      <c r="K58" s="15" t="inlineStr">
        <is>
          <t>VALUES(</t>
        </is>
      </c>
      <c r="L58" s="15" t="inlineStr">
        <is>
          <t>9 , 552</t>
        </is>
      </c>
      <c r="M58" s="15" t="inlineStr">
        <is>
          <t>);</t>
        </is>
      </c>
      <c r="O58" s="18">
        <f>EXACT(TRIM(C58),F58&amp;"")</f>
        <v/>
      </c>
      <c r="P58" s="18">
        <f>EXACT(TRIM(D58),G58&amp;"")</f>
        <v/>
      </c>
      <c r="Q58" s="18">
        <f>AND(O58:P58)</f>
        <v/>
      </c>
      <c r="R58" s="19">
        <f>TRIM(IF(O58,"",$O$3&amp;" ")&amp;IF(P58,"",$P$3&amp;" "))</f>
        <v/>
      </c>
      <c r="S58" s="18">
        <f>EXACT(SUBSTITUTE(A58," ",""),SUBSTITUTE(I58&amp;J58&amp;K58&amp;L58&amp;M58," ",""))</f>
        <v/>
      </c>
    </row>
    <row r="59">
      <c r="A59" s="15" t="inlineStr">
        <is>
          <t>INSERT INTO CNF_PRF_TBL VALUES(9 , 553);</t>
        </is>
      </c>
      <c r="B59" s="16" t="n"/>
      <c r="C59" s="15" t="inlineStr">
        <is>
          <t xml:space="preserve">9 </t>
        </is>
      </c>
      <c r="D59" s="15" t="inlineStr">
        <is>
          <t xml:space="preserve"> 553</t>
        </is>
      </c>
      <c r="F59" s="17" t="inlineStr">
        <is>
          <t>9</t>
        </is>
      </c>
      <c r="G59" s="17" t="inlineStr">
        <is>
          <t>553</t>
        </is>
      </c>
      <c r="I59" s="15" t="inlineStr">
        <is>
          <t>INSERT INTO</t>
        </is>
      </c>
      <c r="J59" s="15" t="inlineStr">
        <is>
          <t>CNF_PRF_TBL</t>
        </is>
      </c>
      <c r="K59" s="15" t="inlineStr">
        <is>
          <t>VALUES(</t>
        </is>
      </c>
      <c r="L59" s="15" t="inlineStr">
        <is>
          <t>9 , 553</t>
        </is>
      </c>
      <c r="M59" s="15" t="inlineStr">
        <is>
          <t>);</t>
        </is>
      </c>
      <c r="O59" s="18">
        <f>EXACT(TRIM(C59),F59&amp;"")</f>
        <v/>
      </c>
      <c r="P59" s="18">
        <f>EXACT(TRIM(D59),G59&amp;"")</f>
        <v/>
      </c>
      <c r="Q59" s="18">
        <f>AND(O59:P59)</f>
        <v/>
      </c>
      <c r="R59" s="19">
        <f>TRIM(IF(O59,"",$O$3&amp;" ")&amp;IF(P59,"",$P$3&amp;" "))</f>
        <v/>
      </c>
      <c r="S59" s="18">
        <f>EXACT(SUBSTITUTE(A59," ",""),SUBSTITUTE(I59&amp;J59&amp;K59&amp;L59&amp;M59," ",""))</f>
        <v/>
      </c>
    </row>
    <row r="60">
      <c r="A60" s="15" t="inlineStr">
        <is>
          <t>INSERT INTO CNF_PRF_TBL VALUES(9 , 554);</t>
        </is>
      </c>
      <c r="B60" s="16" t="n"/>
      <c r="C60" s="15" t="inlineStr">
        <is>
          <t xml:space="preserve">9 </t>
        </is>
      </c>
      <c r="D60" s="15" t="inlineStr">
        <is>
          <t xml:space="preserve"> 554</t>
        </is>
      </c>
      <c r="F60" s="17" t="inlineStr">
        <is>
          <t>9</t>
        </is>
      </c>
      <c r="G60" s="17" t="inlineStr">
        <is>
          <t>554</t>
        </is>
      </c>
      <c r="I60" s="15" t="inlineStr">
        <is>
          <t>INSERT INTO</t>
        </is>
      </c>
      <c r="J60" s="15" t="inlineStr">
        <is>
          <t>CNF_PRF_TBL</t>
        </is>
      </c>
      <c r="K60" s="15" t="inlineStr">
        <is>
          <t>VALUES(</t>
        </is>
      </c>
      <c r="L60" s="15" t="inlineStr">
        <is>
          <t>9 , 554</t>
        </is>
      </c>
      <c r="M60" s="15" t="inlineStr">
        <is>
          <t>);</t>
        </is>
      </c>
      <c r="O60" s="18">
        <f>EXACT(TRIM(C60),F60&amp;"")</f>
        <v/>
      </c>
      <c r="P60" s="18">
        <f>EXACT(TRIM(D60),G60&amp;"")</f>
        <v/>
      </c>
      <c r="Q60" s="18">
        <f>AND(O60:P60)</f>
        <v/>
      </c>
      <c r="R60" s="19">
        <f>TRIM(IF(O60,"",$O$3&amp;" ")&amp;IF(P60,"",$P$3&amp;" "))</f>
        <v/>
      </c>
      <c r="S60" s="18">
        <f>EXACT(SUBSTITUTE(A60," ",""),SUBSTITUTE(I60&amp;J60&amp;K60&amp;L60&amp;M60," ",""))</f>
        <v/>
      </c>
    </row>
    <row r="61">
      <c r="A61" s="15" t="inlineStr">
        <is>
          <t>INSERT INTO CNF_PRF_TBL VALUES(9 , 555);</t>
        </is>
      </c>
      <c r="B61" s="16" t="n"/>
      <c r="C61" s="15" t="inlineStr">
        <is>
          <t xml:space="preserve">9 </t>
        </is>
      </c>
      <c r="D61" s="15" t="inlineStr">
        <is>
          <t xml:space="preserve"> 555</t>
        </is>
      </c>
      <c r="F61" s="17" t="inlineStr">
        <is>
          <t>9</t>
        </is>
      </c>
      <c r="G61" s="17" t="inlineStr">
        <is>
          <t>555</t>
        </is>
      </c>
      <c r="I61" s="15" t="inlineStr">
        <is>
          <t>INSERT INTO</t>
        </is>
      </c>
      <c r="J61" s="15" t="inlineStr">
        <is>
          <t>CNF_PRF_TBL</t>
        </is>
      </c>
      <c r="K61" s="15" t="inlineStr">
        <is>
          <t>VALUES(</t>
        </is>
      </c>
      <c r="L61" s="15" t="inlineStr">
        <is>
          <t>9 , 555</t>
        </is>
      </c>
      <c r="M61" s="15" t="inlineStr">
        <is>
          <t>);</t>
        </is>
      </c>
      <c r="O61" s="18">
        <f>EXACT(TRIM(C61),F61&amp;"")</f>
        <v/>
      </c>
      <c r="P61" s="18">
        <f>EXACT(TRIM(D61),G61&amp;"")</f>
        <v/>
      </c>
      <c r="Q61" s="18">
        <f>AND(O61:P61)</f>
        <v/>
      </c>
      <c r="R61" s="19">
        <f>TRIM(IF(O61,"",$O$3&amp;" ")&amp;IF(P61,"",$P$3&amp;" "))</f>
        <v/>
      </c>
      <c r="S61" s="18">
        <f>EXACT(SUBSTITUTE(A61," ",""),SUBSTITUTE(I61&amp;J61&amp;K61&amp;L61&amp;M61," ",""))</f>
        <v/>
      </c>
    </row>
    <row r="62">
      <c r="A62" s="15" t="inlineStr">
        <is>
          <t>INSERT INTO CNF_PRF_TBL VALUES(9 , 556);</t>
        </is>
      </c>
      <c r="B62" s="16" t="n"/>
      <c r="C62" s="15" t="inlineStr">
        <is>
          <t xml:space="preserve">9 </t>
        </is>
      </c>
      <c r="D62" s="15" t="inlineStr">
        <is>
          <t xml:space="preserve"> 556</t>
        </is>
      </c>
      <c r="F62" s="17" t="inlineStr">
        <is>
          <t>9</t>
        </is>
      </c>
      <c r="G62" s="17" t="inlineStr">
        <is>
          <t>556</t>
        </is>
      </c>
      <c r="I62" s="15" t="inlineStr">
        <is>
          <t>INSERT INTO</t>
        </is>
      </c>
      <c r="J62" s="15" t="inlineStr">
        <is>
          <t>CNF_PRF_TBL</t>
        </is>
      </c>
      <c r="K62" s="15" t="inlineStr">
        <is>
          <t>VALUES(</t>
        </is>
      </c>
      <c r="L62" s="15" t="inlineStr">
        <is>
          <t>9 , 556</t>
        </is>
      </c>
      <c r="M62" s="15" t="inlineStr">
        <is>
          <t>);</t>
        </is>
      </c>
      <c r="O62" s="18">
        <f>EXACT(TRIM(C62),F62&amp;"")</f>
        <v/>
      </c>
      <c r="P62" s="18">
        <f>EXACT(TRIM(D62),G62&amp;"")</f>
        <v/>
      </c>
      <c r="Q62" s="18">
        <f>AND(O62:P62)</f>
        <v/>
      </c>
      <c r="R62" s="19">
        <f>TRIM(IF(O62,"",$O$3&amp;" ")&amp;IF(P62,"",$P$3&amp;" "))</f>
        <v/>
      </c>
      <c r="S62" s="18">
        <f>EXACT(SUBSTITUTE(A62," ",""),SUBSTITUTE(I62&amp;J62&amp;K62&amp;L62&amp;M62," ",""))</f>
        <v/>
      </c>
    </row>
    <row r="63">
      <c r="A63" s="15" t="inlineStr">
        <is>
          <t>INSERT INTO CNF_PRF_TBL VALUES(9 , 557);</t>
        </is>
      </c>
      <c r="B63" s="16" t="n"/>
      <c r="C63" s="15" t="inlineStr">
        <is>
          <t xml:space="preserve">9 </t>
        </is>
      </c>
      <c r="D63" s="15" t="inlineStr">
        <is>
          <t xml:space="preserve"> 557</t>
        </is>
      </c>
      <c r="F63" s="17" t="inlineStr">
        <is>
          <t>9</t>
        </is>
      </c>
      <c r="G63" s="17" t="inlineStr">
        <is>
          <t>557</t>
        </is>
      </c>
      <c r="I63" s="15" t="inlineStr">
        <is>
          <t>INSERT INTO</t>
        </is>
      </c>
      <c r="J63" s="15" t="inlineStr">
        <is>
          <t>CNF_PRF_TBL</t>
        </is>
      </c>
      <c r="K63" s="15" t="inlineStr">
        <is>
          <t>VALUES(</t>
        </is>
      </c>
      <c r="L63" s="15" t="inlineStr">
        <is>
          <t>9 , 557</t>
        </is>
      </c>
      <c r="M63" s="15" t="inlineStr">
        <is>
          <t>);</t>
        </is>
      </c>
      <c r="O63" s="18">
        <f>EXACT(TRIM(C63),F63&amp;"")</f>
        <v/>
      </c>
      <c r="P63" s="18">
        <f>EXACT(TRIM(D63),G63&amp;"")</f>
        <v/>
      </c>
      <c r="Q63" s="18">
        <f>AND(O63:P63)</f>
        <v/>
      </c>
      <c r="R63" s="19">
        <f>TRIM(IF(O63,"",$O$3&amp;" ")&amp;IF(P63,"",$P$3&amp;" "))</f>
        <v/>
      </c>
      <c r="S63" s="18">
        <f>EXACT(SUBSTITUTE(A63," ",""),SUBSTITUTE(I63&amp;J63&amp;K63&amp;L63&amp;M63," ",""))</f>
        <v/>
      </c>
    </row>
    <row r="64">
      <c r="A64" s="15" t="inlineStr">
        <is>
          <t>INSERT INTO CNF_PRF_TBL VALUES(9 , 558);</t>
        </is>
      </c>
      <c r="B64" s="16" t="n"/>
      <c r="C64" s="15" t="inlineStr">
        <is>
          <t xml:space="preserve">9 </t>
        </is>
      </c>
      <c r="D64" s="15" t="inlineStr">
        <is>
          <t xml:space="preserve"> 558</t>
        </is>
      </c>
      <c r="F64" s="17" t="inlineStr">
        <is>
          <t>9</t>
        </is>
      </c>
      <c r="G64" s="17" t="inlineStr">
        <is>
          <t>558</t>
        </is>
      </c>
      <c r="I64" s="15" t="inlineStr">
        <is>
          <t>INSERT INTO</t>
        </is>
      </c>
      <c r="J64" s="15" t="inlineStr">
        <is>
          <t>CNF_PRF_TBL</t>
        </is>
      </c>
      <c r="K64" s="15" t="inlineStr">
        <is>
          <t>VALUES(</t>
        </is>
      </c>
      <c r="L64" s="15" t="inlineStr">
        <is>
          <t>9 , 558</t>
        </is>
      </c>
      <c r="M64" s="15" t="inlineStr">
        <is>
          <t>);</t>
        </is>
      </c>
      <c r="O64" s="18">
        <f>EXACT(TRIM(C64),F64&amp;"")</f>
        <v/>
      </c>
      <c r="P64" s="18">
        <f>EXACT(TRIM(D64),G64&amp;"")</f>
        <v/>
      </c>
      <c r="Q64" s="18">
        <f>AND(O64:P64)</f>
        <v/>
      </c>
      <c r="R64" s="19">
        <f>TRIM(IF(O64,"",$O$3&amp;" ")&amp;IF(P64,"",$P$3&amp;" "))</f>
        <v/>
      </c>
      <c r="S64" s="18">
        <f>EXACT(SUBSTITUTE(A64," ",""),SUBSTITUTE(I64&amp;J64&amp;K64&amp;L64&amp;M64," ",""))</f>
        <v/>
      </c>
    </row>
    <row r="65">
      <c r="A65" s="15" t="inlineStr">
        <is>
          <t>INSERT INTO CNF_PRF_TBL VALUES(9 , 559);</t>
        </is>
      </c>
      <c r="B65" s="16" t="n"/>
      <c r="C65" s="15" t="inlineStr">
        <is>
          <t xml:space="preserve">9 </t>
        </is>
      </c>
      <c r="D65" s="15" t="inlineStr">
        <is>
          <t xml:space="preserve"> 559</t>
        </is>
      </c>
      <c r="F65" s="17" t="inlineStr">
        <is>
          <t>9</t>
        </is>
      </c>
      <c r="G65" s="17" t="inlineStr">
        <is>
          <t>559</t>
        </is>
      </c>
      <c r="I65" s="15" t="inlineStr">
        <is>
          <t>INSERT INTO</t>
        </is>
      </c>
      <c r="J65" s="15" t="inlineStr">
        <is>
          <t>CNF_PRF_TBL</t>
        </is>
      </c>
      <c r="K65" s="15" t="inlineStr">
        <is>
          <t>VALUES(</t>
        </is>
      </c>
      <c r="L65" s="15" t="inlineStr">
        <is>
          <t>9 , 559</t>
        </is>
      </c>
      <c r="M65" s="15" t="inlineStr">
        <is>
          <t>);</t>
        </is>
      </c>
      <c r="O65" s="18">
        <f>EXACT(TRIM(C65),F65&amp;"")</f>
        <v/>
      </c>
      <c r="P65" s="18">
        <f>EXACT(TRIM(D65),G65&amp;"")</f>
        <v/>
      </c>
      <c r="Q65" s="18">
        <f>AND(O65:P65)</f>
        <v/>
      </c>
      <c r="R65" s="19">
        <f>TRIM(IF(O65,"",$O$3&amp;" ")&amp;IF(P65,"",$P$3&amp;" "))</f>
        <v/>
      </c>
      <c r="S65" s="18">
        <f>EXACT(SUBSTITUTE(A65," ",""),SUBSTITUTE(I65&amp;J65&amp;K65&amp;L65&amp;M65," ",""))</f>
        <v/>
      </c>
    </row>
    <row r="66">
      <c r="A66" s="15" t="inlineStr">
        <is>
          <t>INSERT INTO CNF_PRF_TBL VALUES(9 , 560);</t>
        </is>
      </c>
      <c r="B66" s="16" t="n"/>
      <c r="C66" s="15" t="inlineStr">
        <is>
          <t xml:space="preserve">9 </t>
        </is>
      </c>
      <c r="D66" s="15" t="inlineStr">
        <is>
          <t xml:space="preserve"> 560</t>
        </is>
      </c>
      <c r="F66" s="17" t="inlineStr">
        <is>
          <t>9</t>
        </is>
      </c>
      <c r="G66" s="17" t="inlineStr">
        <is>
          <t>560</t>
        </is>
      </c>
      <c r="I66" s="15" t="inlineStr">
        <is>
          <t>INSERT INTO</t>
        </is>
      </c>
      <c r="J66" s="15" t="inlineStr">
        <is>
          <t>CNF_PRF_TBL</t>
        </is>
      </c>
      <c r="K66" s="15" t="inlineStr">
        <is>
          <t>VALUES(</t>
        </is>
      </c>
      <c r="L66" s="15" t="inlineStr">
        <is>
          <t>9 , 560</t>
        </is>
      </c>
      <c r="M66" s="15" t="inlineStr">
        <is>
          <t>);</t>
        </is>
      </c>
      <c r="O66" s="18">
        <f>EXACT(TRIM(C66),F66&amp;"")</f>
        <v/>
      </c>
      <c r="P66" s="18">
        <f>EXACT(TRIM(D66),G66&amp;"")</f>
        <v/>
      </c>
      <c r="Q66" s="18">
        <f>AND(O66:P66)</f>
        <v/>
      </c>
      <c r="R66" s="19">
        <f>TRIM(IF(O66,"",$O$3&amp;" ")&amp;IF(P66,"",$P$3&amp;" "))</f>
        <v/>
      </c>
      <c r="S66" s="18">
        <f>EXACT(SUBSTITUTE(A66," ",""),SUBSTITUTE(I66&amp;J66&amp;K66&amp;L66&amp;M66," ",""))</f>
        <v/>
      </c>
    </row>
    <row r="67">
      <c r="A67" s="15" t="inlineStr">
        <is>
          <t>INSERT INTO CNF_PRF_TBL VALUES(9 , 561);</t>
        </is>
      </c>
      <c r="B67" s="16" t="n"/>
      <c r="C67" s="15" t="inlineStr">
        <is>
          <t xml:space="preserve">9 </t>
        </is>
      </c>
      <c r="D67" s="15" t="inlineStr">
        <is>
          <t xml:space="preserve"> 561</t>
        </is>
      </c>
      <c r="F67" s="17" t="inlineStr">
        <is>
          <t>9</t>
        </is>
      </c>
      <c r="G67" s="17" t="inlineStr">
        <is>
          <t>561</t>
        </is>
      </c>
      <c r="I67" s="15" t="inlineStr">
        <is>
          <t>INSERT INTO</t>
        </is>
      </c>
      <c r="J67" s="15" t="inlineStr">
        <is>
          <t>CNF_PRF_TBL</t>
        </is>
      </c>
      <c r="K67" s="15" t="inlineStr">
        <is>
          <t>VALUES(</t>
        </is>
      </c>
      <c r="L67" s="15" t="inlineStr">
        <is>
          <t>9 , 561</t>
        </is>
      </c>
      <c r="M67" s="15" t="inlineStr">
        <is>
          <t>);</t>
        </is>
      </c>
      <c r="O67" s="18">
        <f>EXACT(TRIM(C67),F67&amp;"")</f>
        <v/>
      </c>
      <c r="P67" s="18">
        <f>EXACT(TRIM(D67),G67&amp;"")</f>
        <v/>
      </c>
      <c r="Q67" s="18">
        <f>AND(O67:P67)</f>
        <v/>
      </c>
      <c r="R67" s="19">
        <f>TRIM(IF(O67,"",$O$3&amp;" ")&amp;IF(P67,"",$P$3&amp;" "))</f>
        <v/>
      </c>
      <c r="S67" s="18">
        <f>EXACT(SUBSTITUTE(A67," ",""),SUBSTITUTE(I67&amp;J67&amp;K67&amp;L67&amp;M67," ",""))</f>
        <v/>
      </c>
    </row>
    <row r="68">
      <c r="A68" s="15" t="inlineStr">
        <is>
          <t>INSERT INTO CNF_PRF_TBL VALUES(9 , 562);</t>
        </is>
      </c>
      <c r="B68" s="16" t="n"/>
      <c r="C68" s="15" t="inlineStr">
        <is>
          <t xml:space="preserve">9 </t>
        </is>
      </c>
      <c r="D68" s="15" t="inlineStr">
        <is>
          <t xml:space="preserve"> 562</t>
        </is>
      </c>
      <c r="F68" s="17" t="inlineStr">
        <is>
          <t>9</t>
        </is>
      </c>
      <c r="G68" s="17" t="inlineStr">
        <is>
          <t>562</t>
        </is>
      </c>
      <c r="I68" s="15" t="inlineStr">
        <is>
          <t>INSERT INTO</t>
        </is>
      </c>
      <c r="J68" s="15" t="inlineStr">
        <is>
          <t>CNF_PRF_TBL</t>
        </is>
      </c>
      <c r="K68" s="15" t="inlineStr">
        <is>
          <t>VALUES(</t>
        </is>
      </c>
      <c r="L68" s="15" t="inlineStr">
        <is>
          <t>9 , 562</t>
        </is>
      </c>
      <c r="M68" s="15" t="inlineStr">
        <is>
          <t>);</t>
        </is>
      </c>
      <c r="O68" s="18">
        <f>EXACT(TRIM(C68),F68&amp;"")</f>
        <v/>
      </c>
      <c r="P68" s="18">
        <f>EXACT(TRIM(D68),G68&amp;"")</f>
        <v/>
      </c>
      <c r="Q68" s="18">
        <f>AND(O68:P68)</f>
        <v/>
      </c>
      <c r="R68" s="19">
        <f>TRIM(IF(O68,"",$O$3&amp;" ")&amp;IF(P68,"",$P$3&amp;" "))</f>
        <v/>
      </c>
      <c r="S68" s="18">
        <f>EXACT(SUBSTITUTE(A68," ",""),SUBSTITUTE(I68&amp;J68&amp;K68&amp;L68&amp;M68," ",""))</f>
        <v/>
      </c>
    </row>
    <row r="69">
      <c r="A69" s="15" t="inlineStr">
        <is>
          <t>INSERT INTO CNF_PRF_TBL VALUES(9 , 563);</t>
        </is>
      </c>
      <c r="B69" s="16" t="n"/>
      <c r="C69" s="15" t="inlineStr">
        <is>
          <t xml:space="preserve">9 </t>
        </is>
      </c>
      <c r="D69" s="15" t="inlineStr">
        <is>
          <t xml:space="preserve"> 563</t>
        </is>
      </c>
      <c r="F69" s="17" t="inlineStr">
        <is>
          <t>9</t>
        </is>
      </c>
      <c r="G69" s="17" t="inlineStr">
        <is>
          <t>563</t>
        </is>
      </c>
      <c r="I69" s="15" t="inlineStr">
        <is>
          <t>INSERT INTO</t>
        </is>
      </c>
      <c r="J69" s="15" t="inlineStr">
        <is>
          <t>CNF_PRF_TBL</t>
        </is>
      </c>
      <c r="K69" s="15" t="inlineStr">
        <is>
          <t>VALUES(</t>
        </is>
      </c>
      <c r="L69" s="15" t="inlineStr">
        <is>
          <t>9 , 563</t>
        </is>
      </c>
      <c r="M69" s="15" t="inlineStr">
        <is>
          <t>);</t>
        </is>
      </c>
      <c r="O69" s="18">
        <f>EXACT(TRIM(C69),F69&amp;"")</f>
        <v/>
      </c>
      <c r="P69" s="18">
        <f>EXACT(TRIM(D69),G69&amp;"")</f>
        <v/>
      </c>
      <c r="Q69" s="18">
        <f>AND(O69:P69)</f>
        <v/>
      </c>
      <c r="R69" s="19">
        <f>TRIM(IF(O69,"",$O$3&amp;" ")&amp;IF(P69,"",$P$3&amp;" "))</f>
        <v/>
      </c>
      <c r="S69" s="18">
        <f>EXACT(SUBSTITUTE(A69," ",""),SUBSTITUTE(I69&amp;J69&amp;K69&amp;L69&amp;M69," ",""))</f>
        <v/>
      </c>
    </row>
    <row r="70">
      <c r="A70" s="15" t="inlineStr">
        <is>
          <t>INSERT INTO CNF_PRF_TBL VALUES(9 , 564);</t>
        </is>
      </c>
      <c r="B70" s="16" t="n"/>
      <c r="C70" s="15" t="inlineStr">
        <is>
          <t xml:space="preserve">9 </t>
        </is>
      </c>
      <c r="D70" s="15" t="inlineStr">
        <is>
          <t xml:space="preserve"> 564</t>
        </is>
      </c>
      <c r="F70" s="17" t="inlineStr">
        <is>
          <t>9</t>
        </is>
      </c>
      <c r="G70" s="17" t="inlineStr">
        <is>
          <t>564</t>
        </is>
      </c>
      <c r="I70" s="15" t="inlineStr">
        <is>
          <t>INSERT INTO</t>
        </is>
      </c>
      <c r="J70" s="15" t="inlineStr">
        <is>
          <t>CNF_PRF_TBL</t>
        </is>
      </c>
      <c r="K70" s="15" t="inlineStr">
        <is>
          <t>VALUES(</t>
        </is>
      </c>
      <c r="L70" s="15" t="inlineStr">
        <is>
          <t>9 , 564</t>
        </is>
      </c>
      <c r="M70" s="15" t="inlineStr">
        <is>
          <t>);</t>
        </is>
      </c>
      <c r="O70" s="18">
        <f>EXACT(TRIM(C70),F70&amp;"")</f>
        <v/>
      </c>
      <c r="P70" s="18">
        <f>EXACT(TRIM(D70),G70&amp;"")</f>
        <v/>
      </c>
      <c r="Q70" s="18">
        <f>AND(O70:P70)</f>
        <v/>
      </c>
      <c r="R70" s="19">
        <f>TRIM(IF(O70,"",$O$3&amp;" ")&amp;IF(P70,"",$P$3&amp;" "))</f>
        <v/>
      </c>
      <c r="S70" s="18">
        <f>EXACT(SUBSTITUTE(A70," ",""),SUBSTITUTE(I70&amp;J70&amp;K70&amp;L70&amp;M70," ",""))</f>
        <v/>
      </c>
    </row>
    <row r="71">
      <c r="A71" s="15" t="inlineStr">
        <is>
          <t>INSERT INTO CNF_PRF_TBL VALUES(9 , 565);</t>
        </is>
      </c>
      <c r="B71" s="16" t="n"/>
      <c r="C71" s="15" t="inlineStr">
        <is>
          <t xml:space="preserve">9 </t>
        </is>
      </c>
      <c r="D71" s="15" t="inlineStr">
        <is>
          <t xml:space="preserve"> 565</t>
        </is>
      </c>
      <c r="F71" s="17" t="inlineStr">
        <is>
          <t>9</t>
        </is>
      </c>
      <c r="G71" s="17" t="inlineStr">
        <is>
          <t>565</t>
        </is>
      </c>
      <c r="I71" s="15" t="inlineStr">
        <is>
          <t>INSERT INTO</t>
        </is>
      </c>
      <c r="J71" s="15" t="inlineStr">
        <is>
          <t>CNF_PRF_TBL</t>
        </is>
      </c>
      <c r="K71" s="15" t="inlineStr">
        <is>
          <t>VALUES(</t>
        </is>
      </c>
      <c r="L71" s="15" t="inlineStr">
        <is>
          <t>9 , 565</t>
        </is>
      </c>
      <c r="M71" s="15" t="inlineStr">
        <is>
          <t>);</t>
        </is>
      </c>
      <c r="O71" s="18">
        <f>EXACT(TRIM(C71),F71&amp;"")</f>
        <v/>
      </c>
      <c r="P71" s="18">
        <f>EXACT(TRIM(D71),G71&amp;"")</f>
        <v/>
      </c>
      <c r="Q71" s="18">
        <f>AND(O71:P71)</f>
        <v/>
      </c>
      <c r="R71" s="19">
        <f>TRIM(IF(O71,"",$O$3&amp;" ")&amp;IF(P71,"",$P$3&amp;" "))</f>
        <v/>
      </c>
      <c r="S71" s="18">
        <f>EXACT(SUBSTITUTE(A71," ",""),SUBSTITUTE(I71&amp;J71&amp;K71&amp;L71&amp;M71," ",""))</f>
        <v/>
      </c>
    </row>
    <row r="72">
      <c r="A72" s="15" t="inlineStr">
        <is>
          <t>INSERT INTO CNF_PRF_TBL VALUES(9 , 566);</t>
        </is>
      </c>
      <c r="B72" s="16" t="n"/>
      <c r="C72" s="15" t="inlineStr">
        <is>
          <t xml:space="preserve">9 </t>
        </is>
      </c>
      <c r="D72" s="15" t="inlineStr">
        <is>
          <t xml:space="preserve"> 566</t>
        </is>
      </c>
      <c r="F72" s="17" t="inlineStr">
        <is>
          <t>9</t>
        </is>
      </c>
      <c r="G72" s="17" t="inlineStr">
        <is>
          <t>566</t>
        </is>
      </c>
      <c r="I72" s="15" t="inlineStr">
        <is>
          <t>INSERT INTO</t>
        </is>
      </c>
      <c r="J72" s="15" t="inlineStr">
        <is>
          <t>CNF_PRF_TBL</t>
        </is>
      </c>
      <c r="K72" s="15" t="inlineStr">
        <is>
          <t>VALUES(</t>
        </is>
      </c>
      <c r="L72" s="15" t="inlineStr">
        <is>
          <t>9 , 566</t>
        </is>
      </c>
      <c r="M72" s="15" t="inlineStr">
        <is>
          <t>);</t>
        </is>
      </c>
      <c r="O72" s="18">
        <f>EXACT(TRIM(C72),F72&amp;"")</f>
        <v/>
      </c>
      <c r="P72" s="18">
        <f>EXACT(TRIM(D72),G72&amp;"")</f>
        <v/>
      </c>
      <c r="Q72" s="18">
        <f>AND(O72:P72)</f>
        <v/>
      </c>
      <c r="R72" s="19">
        <f>TRIM(IF(O72,"",$O$3&amp;" ")&amp;IF(P72,"",$P$3&amp;" "))</f>
        <v/>
      </c>
      <c r="S72" s="18">
        <f>EXACT(SUBSTITUTE(A72," ",""),SUBSTITUTE(I72&amp;J72&amp;K72&amp;L72&amp;M72," ",""))</f>
        <v/>
      </c>
    </row>
    <row r="73">
      <c r="A73" s="15" t="inlineStr">
        <is>
          <t>INSERT INTO CNF_PRF_TBL VALUES(9 , 567);</t>
        </is>
      </c>
      <c r="B73" s="16" t="n"/>
      <c r="C73" s="15" t="inlineStr">
        <is>
          <t xml:space="preserve">9 </t>
        </is>
      </c>
      <c r="D73" s="15" t="inlineStr">
        <is>
          <t xml:space="preserve"> 567</t>
        </is>
      </c>
      <c r="F73" s="17" t="inlineStr">
        <is>
          <t>9</t>
        </is>
      </c>
      <c r="G73" s="17" t="inlineStr">
        <is>
          <t>567</t>
        </is>
      </c>
      <c r="I73" s="15" t="inlineStr">
        <is>
          <t>INSERT INTO</t>
        </is>
      </c>
      <c r="J73" s="15" t="inlineStr">
        <is>
          <t>CNF_PRF_TBL</t>
        </is>
      </c>
      <c r="K73" s="15" t="inlineStr">
        <is>
          <t>VALUES(</t>
        </is>
      </c>
      <c r="L73" s="15" t="inlineStr">
        <is>
          <t>9 , 567</t>
        </is>
      </c>
      <c r="M73" s="15" t="inlineStr">
        <is>
          <t>);</t>
        </is>
      </c>
      <c r="O73" s="18">
        <f>EXACT(TRIM(C73),F73&amp;"")</f>
        <v/>
      </c>
      <c r="P73" s="18">
        <f>EXACT(TRIM(D73),G73&amp;"")</f>
        <v/>
      </c>
      <c r="Q73" s="18">
        <f>AND(O73:P73)</f>
        <v/>
      </c>
      <c r="R73" s="19">
        <f>TRIM(IF(O73,"",$O$3&amp;" ")&amp;IF(P73,"",$P$3&amp;" "))</f>
        <v/>
      </c>
      <c r="S73" s="18">
        <f>EXACT(SUBSTITUTE(A73," ",""),SUBSTITUTE(I73&amp;J73&amp;K73&amp;L73&amp;M73," ",""))</f>
        <v/>
      </c>
    </row>
    <row r="74">
      <c r="A74" s="15" t="inlineStr">
        <is>
          <t>INSERT INTO CNF_PRF_TBL VALUES(9 , 568);</t>
        </is>
      </c>
      <c r="B74" s="16" t="n"/>
      <c r="C74" s="15" t="inlineStr">
        <is>
          <t xml:space="preserve">9 </t>
        </is>
      </c>
      <c r="D74" s="15" t="inlineStr">
        <is>
          <t xml:space="preserve"> 568</t>
        </is>
      </c>
      <c r="F74" s="17" t="inlineStr">
        <is>
          <t>9</t>
        </is>
      </c>
      <c r="G74" s="17" t="inlineStr">
        <is>
          <t>568</t>
        </is>
      </c>
      <c r="I74" s="15" t="inlineStr">
        <is>
          <t>INSERT INTO</t>
        </is>
      </c>
      <c r="J74" s="15" t="inlineStr">
        <is>
          <t>CNF_PRF_TBL</t>
        </is>
      </c>
      <c r="K74" s="15" t="inlineStr">
        <is>
          <t>VALUES(</t>
        </is>
      </c>
      <c r="L74" s="15" t="inlineStr">
        <is>
          <t>9 , 568</t>
        </is>
      </c>
      <c r="M74" s="15" t="inlineStr">
        <is>
          <t>);</t>
        </is>
      </c>
      <c r="O74" s="18">
        <f>EXACT(TRIM(C74),F74&amp;"")</f>
        <v/>
      </c>
      <c r="P74" s="18">
        <f>EXACT(TRIM(D74),G74&amp;"")</f>
        <v/>
      </c>
      <c r="Q74" s="18">
        <f>AND(O74:P74)</f>
        <v/>
      </c>
      <c r="R74" s="19">
        <f>TRIM(IF(O74,"",$O$3&amp;" ")&amp;IF(P74,"",$P$3&amp;" "))</f>
        <v/>
      </c>
      <c r="S74" s="18">
        <f>EXACT(SUBSTITUTE(A74," ",""),SUBSTITUTE(I74&amp;J74&amp;K74&amp;L74&amp;M74," ",""))</f>
        <v/>
      </c>
    </row>
    <row r="75">
      <c r="A75" s="15" t="inlineStr">
        <is>
          <t>INSERT INTO CNF_PRF_TBL VALUES(10 , 1);</t>
        </is>
      </c>
      <c r="B75" s="16" t="n"/>
      <c r="C75" s="15" t="inlineStr">
        <is>
          <t xml:space="preserve">10 </t>
        </is>
      </c>
      <c r="D75" s="15" t="inlineStr">
        <is>
          <t xml:space="preserve"> 1</t>
        </is>
      </c>
      <c r="F75" s="17" t="inlineStr">
        <is>
          <t>10</t>
        </is>
      </c>
      <c r="G75" s="17" t="inlineStr">
        <is>
          <t>1</t>
        </is>
      </c>
      <c r="I75" s="15" t="inlineStr">
        <is>
          <t>INSERT INTO</t>
        </is>
      </c>
      <c r="J75" s="15" t="inlineStr">
        <is>
          <t>CNF_PRF_TBL</t>
        </is>
      </c>
      <c r="K75" s="15" t="inlineStr">
        <is>
          <t>VALUES(</t>
        </is>
      </c>
      <c r="L75" s="15" t="inlineStr">
        <is>
          <t>10 , 1</t>
        </is>
      </c>
      <c r="M75" s="15" t="inlineStr">
        <is>
          <t>);</t>
        </is>
      </c>
      <c r="O75" s="18">
        <f>EXACT(TRIM(C75),F75&amp;"")</f>
        <v/>
      </c>
      <c r="P75" s="18">
        <f>EXACT(TRIM(D75),G75&amp;"")</f>
        <v/>
      </c>
      <c r="Q75" s="18">
        <f>AND(O75:P75)</f>
        <v/>
      </c>
      <c r="R75" s="19">
        <f>TRIM(IF(O75,"",$O$3&amp;" ")&amp;IF(P75,"",$P$3&amp;" "))</f>
        <v/>
      </c>
      <c r="S75" s="18">
        <f>EXACT(SUBSTITUTE(A75," ",""),SUBSTITUTE(I75&amp;J75&amp;K75&amp;L75&amp;M75," ",""))</f>
        <v/>
      </c>
    </row>
    <row r="76">
      <c r="A76" s="15" t="inlineStr">
        <is>
          <t>INSERT INTO CNF_PRF_TBL VALUES(10 , 3);</t>
        </is>
      </c>
      <c r="B76" s="16" t="n"/>
      <c r="C76" s="15" t="inlineStr">
        <is>
          <t xml:space="preserve">10 </t>
        </is>
      </c>
      <c r="D76" s="15" t="inlineStr">
        <is>
          <t xml:space="preserve"> 3</t>
        </is>
      </c>
      <c r="F76" s="17" t="inlineStr">
        <is>
          <t>10</t>
        </is>
      </c>
      <c r="G76" s="17" t="inlineStr">
        <is>
          <t>3</t>
        </is>
      </c>
      <c r="I76" s="15" t="inlineStr">
        <is>
          <t>INSERT INTO</t>
        </is>
      </c>
      <c r="J76" s="15" t="inlineStr">
        <is>
          <t>CNF_PRF_TBL</t>
        </is>
      </c>
      <c r="K76" s="15" t="inlineStr">
        <is>
          <t>VALUES(</t>
        </is>
      </c>
      <c r="L76" s="15" t="inlineStr">
        <is>
          <t>10 , 3</t>
        </is>
      </c>
      <c r="M76" s="15" t="inlineStr">
        <is>
          <t>);</t>
        </is>
      </c>
      <c r="O76" s="18">
        <f>EXACT(TRIM(C76),F76&amp;"")</f>
        <v/>
      </c>
      <c r="P76" s="18">
        <f>EXACT(TRIM(D76),G76&amp;"")</f>
        <v/>
      </c>
      <c r="Q76" s="18">
        <f>AND(O76:P76)</f>
        <v/>
      </c>
      <c r="R76" s="19">
        <f>TRIM(IF(O76,"",$O$3&amp;" ")&amp;IF(P76,"",$P$3&amp;" "))</f>
        <v/>
      </c>
      <c r="S76" s="18">
        <f>EXACT(SUBSTITUTE(A76," ",""),SUBSTITUTE(I76&amp;J76&amp;K76&amp;L76&amp;M76," ",""))</f>
        <v/>
      </c>
    </row>
    <row r="77">
      <c r="A77" s="15" t="inlineStr">
        <is>
          <t>INSERT INTO CNF_PRF_TBL VALUES(10 , 4);</t>
        </is>
      </c>
      <c r="B77" s="16" t="n"/>
      <c r="C77" s="15" t="inlineStr">
        <is>
          <t xml:space="preserve">10 </t>
        </is>
      </c>
      <c r="D77" s="15" t="inlineStr">
        <is>
          <t xml:space="preserve"> 4</t>
        </is>
      </c>
      <c r="F77" s="17" t="inlineStr">
        <is>
          <t>10</t>
        </is>
      </c>
      <c r="G77" s="17" t="inlineStr">
        <is>
          <t>4</t>
        </is>
      </c>
      <c r="I77" s="15" t="inlineStr">
        <is>
          <t>INSERT INTO</t>
        </is>
      </c>
      <c r="J77" s="15" t="inlineStr">
        <is>
          <t>CNF_PRF_TBL</t>
        </is>
      </c>
      <c r="K77" s="15" t="inlineStr">
        <is>
          <t>VALUES(</t>
        </is>
      </c>
      <c r="L77" s="15" t="inlineStr">
        <is>
          <t>10 , 4</t>
        </is>
      </c>
      <c r="M77" s="15" t="inlineStr">
        <is>
          <t>);</t>
        </is>
      </c>
      <c r="O77" s="18">
        <f>EXACT(TRIM(C77),F77&amp;"")</f>
        <v/>
      </c>
      <c r="P77" s="18">
        <f>EXACT(TRIM(D77),G77&amp;"")</f>
        <v/>
      </c>
      <c r="Q77" s="18">
        <f>AND(O77:P77)</f>
        <v/>
      </c>
      <c r="R77" s="19">
        <f>TRIM(IF(O77,"",$O$3&amp;" ")&amp;IF(P77,"",$P$3&amp;" "))</f>
        <v/>
      </c>
      <c r="S77" s="18">
        <f>EXACT(SUBSTITUTE(A77," ",""),SUBSTITUTE(I77&amp;J77&amp;K77&amp;L77&amp;M77," ",""))</f>
        <v/>
      </c>
    </row>
    <row r="78">
      <c r="A78" s="15" t="inlineStr">
        <is>
          <t>INSERT INTO CNF_PRF_TBL VALUES(10 , 5);</t>
        </is>
      </c>
      <c r="B78" s="16" t="n"/>
      <c r="C78" s="15" t="inlineStr">
        <is>
          <t xml:space="preserve">10 </t>
        </is>
      </c>
      <c r="D78" s="15" t="inlineStr">
        <is>
          <t xml:space="preserve"> 5</t>
        </is>
      </c>
      <c r="F78" s="17" t="inlineStr">
        <is>
          <t>10</t>
        </is>
      </c>
      <c r="G78" s="17" t="inlineStr">
        <is>
          <t>5</t>
        </is>
      </c>
      <c r="I78" s="15" t="inlineStr">
        <is>
          <t>INSERT INTO</t>
        </is>
      </c>
      <c r="J78" s="15" t="inlineStr">
        <is>
          <t>CNF_PRF_TBL</t>
        </is>
      </c>
      <c r="K78" s="15" t="inlineStr">
        <is>
          <t>VALUES(</t>
        </is>
      </c>
      <c r="L78" s="15" t="inlineStr">
        <is>
          <t>10 , 5</t>
        </is>
      </c>
      <c r="M78" s="15" t="inlineStr">
        <is>
          <t>);</t>
        </is>
      </c>
      <c r="O78" s="18">
        <f>EXACT(TRIM(C78),F78&amp;"")</f>
        <v/>
      </c>
      <c r="P78" s="18">
        <f>EXACT(TRIM(D78),G78&amp;"")</f>
        <v/>
      </c>
      <c r="Q78" s="18">
        <f>AND(O78:P78)</f>
        <v/>
      </c>
      <c r="R78" s="19">
        <f>TRIM(IF(O78,"",$O$3&amp;" ")&amp;IF(P78,"",$P$3&amp;" "))</f>
        <v/>
      </c>
      <c r="S78" s="18">
        <f>EXACT(SUBSTITUTE(A78," ",""),SUBSTITUTE(I78&amp;J78&amp;K78&amp;L78&amp;M78," ",""))</f>
        <v/>
      </c>
    </row>
    <row r="79">
      <c r="A79" s="15" t="inlineStr">
        <is>
          <t>INSERT INTO CNF_PRF_TBL VALUES(10 , 6);</t>
        </is>
      </c>
      <c r="B79" s="16" t="n"/>
      <c r="C79" s="15" t="inlineStr">
        <is>
          <t xml:space="preserve">10 </t>
        </is>
      </c>
      <c r="D79" s="15" t="inlineStr">
        <is>
          <t xml:space="preserve"> 6</t>
        </is>
      </c>
      <c r="F79" s="17" t="inlineStr">
        <is>
          <t>10</t>
        </is>
      </c>
      <c r="G79" s="17" t="inlineStr">
        <is>
          <t>6</t>
        </is>
      </c>
      <c r="I79" s="15" t="inlineStr">
        <is>
          <t>INSERT INTO</t>
        </is>
      </c>
      <c r="J79" s="15" t="inlineStr">
        <is>
          <t>CNF_PRF_TBL</t>
        </is>
      </c>
      <c r="K79" s="15" t="inlineStr">
        <is>
          <t>VALUES(</t>
        </is>
      </c>
      <c r="L79" s="15" t="inlineStr">
        <is>
          <t>10 , 6</t>
        </is>
      </c>
      <c r="M79" s="15" t="inlineStr">
        <is>
          <t>);</t>
        </is>
      </c>
      <c r="O79" s="18">
        <f>EXACT(TRIM(C79),F79&amp;"")</f>
        <v/>
      </c>
      <c r="P79" s="18">
        <f>EXACT(TRIM(D79),G79&amp;"")</f>
        <v/>
      </c>
      <c r="Q79" s="18">
        <f>AND(O79:P79)</f>
        <v/>
      </c>
      <c r="R79" s="19">
        <f>TRIM(IF(O79,"",$O$3&amp;" ")&amp;IF(P79,"",$P$3&amp;" "))</f>
        <v/>
      </c>
      <c r="S79" s="18">
        <f>EXACT(SUBSTITUTE(A79," ",""),SUBSTITUTE(I79&amp;J79&amp;K79&amp;L79&amp;M79," ",""))</f>
        <v/>
      </c>
    </row>
    <row r="80">
      <c r="A80" s="15" t="inlineStr">
        <is>
          <t>INSERT INTO CNF_PRF_TBL VALUES(10 , 7);</t>
        </is>
      </c>
      <c r="B80" s="16" t="n"/>
      <c r="C80" s="15" t="inlineStr">
        <is>
          <t xml:space="preserve">10 </t>
        </is>
      </c>
      <c r="D80" s="15" t="inlineStr">
        <is>
          <t xml:space="preserve"> 7</t>
        </is>
      </c>
      <c r="F80" s="17" t="inlineStr">
        <is>
          <t>10</t>
        </is>
      </c>
      <c r="G80" s="17" t="inlineStr">
        <is>
          <t>7</t>
        </is>
      </c>
      <c r="I80" s="15" t="inlineStr">
        <is>
          <t>INSERT INTO</t>
        </is>
      </c>
      <c r="J80" s="15" t="inlineStr">
        <is>
          <t>CNF_PRF_TBL</t>
        </is>
      </c>
      <c r="K80" s="15" t="inlineStr">
        <is>
          <t>VALUES(</t>
        </is>
      </c>
      <c r="L80" s="15" t="inlineStr">
        <is>
          <t>10 , 7</t>
        </is>
      </c>
      <c r="M80" s="15" t="inlineStr">
        <is>
          <t>);</t>
        </is>
      </c>
      <c r="O80" s="18">
        <f>EXACT(TRIM(C80),F80&amp;"")</f>
        <v/>
      </c>
      <c r="P80" s="18">
        <f>EXACT(TRIM(D80),G80&amp;"")</f>
        <v/>
      </c>
      <c r="Q80" s="18">
        <f>AND(O80:P80)</f>
        <v/>
      </c>
      <c r="R80" s="19">
        <f>TRIM(IF(O80,"",$O$3&amp;" ")&amp;IF(P80,"",$P$3&amp;" "))</f>
        <v/>
      </c>
      <c r="S80" s="18">
        <f>EXACT(SUBSTITUTE(A80," ",""),SUBSTITUTE(I80&amp;J80&amp;K80&amp;L80&amp;M80," ",""))</f>
        <v/>
      </c>
    </row>
    <row r="81">
      <c r="A81" s="15" t="inlineStr">
        <is>
          <t>INSERT INTO CNF_PRF_TBL VALUES(10 , 8);</t>
        </is>
      </c>
      <c r="B81" s="16" t="n"/>
      <c r="C81" s="15" t="inlineStr">
        <is>
          <t xml:space="preserve">10 </t>
        </is>
      </c>
      <c r="D81" s="15" t="inlineStr">
        <is>
          <t xml:space="preserve"> 8</t>
        </is>
      </c>
      <c r="F81" s="17" t="inlineStr">
        <is>
          <t>10</t>
        </is>
      </c>
      <c r="G81" s="17" t="inlineStr">
        <is>
          <t>8</t>
        </is>
      </c>
      <c r="I81" s="15" t="inlineStr">
        <is>
          <t>INSERT INTO</t>
        </is>
      </c>
      <c r="J81" s="15" t="inlineStr">
        <is>
          <t>CNF_PRF_TBL</t>
        </is>
      </c>
      <c r="K81" s="15" t="inlineStr">
        <is>
          <t>VALUES(</t>
        </is>
      </c>
      <c r="L81" s="15" t="inlineStr">
        <is>
          <t>10 , 8</t>
        </is>
      </c>
      <c r="M81" s="15" t="inlineStr">
        <is>
          <t>);</t>
        </is>
      </c>
      <c r="O81" s="18">
        <f>EXACT(TRIM(C81),F81&amp;"")</f>
        <v/>
      </c>
      <c r="P81" s="18">
        <f>EXACT(TRIM(D81),G81&amp;"")</f>
        <v/>
      </c>
      <c r="Q81" s="18">
        <f>AND(O81:P81)</f>
        <v/>
      </c>
      <c r="R81" s="19">
        <f>TRIM(IF(O81,"",$O$3&amp;" ")&amp;IF(P81,"",$P$3&amp;" "))</f>
        <v/>
      </c>
      <c r="S81" s="18">
        <f>EXACT(SUBSTITUTE(A81," ",""),SUBSTITUTE(I81&amp;J81&amp;K81&amp;L81&amp;M81," ",""))</f>
        <v/>
      </c>
    </row>
    <row r="82">
      <c r="A82" s="15" t="inlineStr">
        <is>
          <t>INSERT INTO CNF_PRF_TBL VALUES(10 , 11);</t>
        </is>
      </c>
      <c r="B82" s="16" t="n"/>
      <c r="C82" s="15" t="inlineStr">
        <is>
          <t xml:space="preserve">10 </t>
        </is>
      </c>
      <c r="D82" s="15" t="inlineStr">
        <is>
          <t xml:space="preserve"> 11</t>
        </is>
      </c>
      <c r="F82" s="17" t="inlineStr">
        <is>
          <t>10</t>
        </is>
      </c>
      <c r="G82" s="17" t="inlineStr">
        <is>
          <t>11</t>
        </is>
      </c>
      <c r="I82" s="15" t="inlineStr">
        <is>
          <t>INSERT INTO</t>
        </is>
      </c>
      <c r="J82" s="15" t="inlineStr">
        <is>
          <t>CNF_PRF_TBL</t>
        </is>
      </c>
      <c r="K82" s="15" t="inlineStr">
        <is>
          <t>VALUES(</t>
        </is>
      </c>
      <c r="L82" s="15" t="inlineStr">
        <is>
          <t>10 , 11</t>
        </is>
      </c>
      <c r="M82" s="15" t="inlineStr">
        <is>
          <t>);</t>
        </is>
      </c>
      <c r="O82" s="18">
        <f>EXACT(TRIM(C82),F82&amp;"")</f>
        <v/>
      </c>
      <c r="P82" s="18">
        <f>EXACT(TRIM(D82),G82&amp;"")</f>
        <v/>
      </c>
      <c r="Q82" s="18">
        <f>AND(O82:P82)</f>
        <v/>
      </c>
      <c r="R82" s="19">
        <f>TRIM(IF(O82,"",$O$3&amp;" ")&amp;IF(P82,"",$P$3&amp;" "))</f>
        <v/>
      </c>
      <c r="S82" s="18">
        <f>EXACT(SUBSTITUTE(A82," ",""),SUBSTITUTE(I82&amp;J82&amp;K82&amp;L82&amp;M82," ",""))</f>
        <v/>
      </c>
    </row>
    <row r="83">
      <c r="A83" s="15" t="inlineStr">
        <is>
          <t>INSERT INTO CNF_PRF_TBL VALUES(10 , 12);</t>
        </is>
      </c>
      <c r="B83" s="16" t="n"/>
      <c r="C83" s="15" t="inlineStr">
        <is>
          <t xml:space="preserve">10 </t>
        </is>
      </c>
      <c r="D83" s="15" t="inlineStr">
        <is>
          <t xml:space="preserve"> 12</t>
        </is>
      </c>
      <c r="F83" s="17" t="inlineStr">
        <is>
          <t>10</t>
        </is>
      </c>
      <c r="G83" s="17" t="inlineStr">
        <is>
          <t>12</t>
        </is>
      </c>
      <c r="I83" s="15" t="inlineStr">
        <is>
          <t>INSERT INTO</t>
        </is>
      </c>
      <c r="J83" s="15" t="inlineStr">
        <is>
          <t>CNF_PRF_TBL</t>
        </is>
      </c>
      <c r="K83" s="15" t="inlineStr">
        <is>
          <t>VALUES(</t>
        </is>
      </c>
      <c r="L83" s="15" t="inlineStr">
        <is>
          <t>10 , 12</t>
        </is>
      </c>
      <c r="M83" s="15" t="inlineStr">
        <is>
          <t>);</t>
        </is>
      </c>
      <c r="O83" s="18">
        <f>EXACT(TRIM(C83),F83&amp;"")</f>
        <v/>
      </c>
      <c r="P83" s="18">
        <f>EXACT(TRIM(D83),G83&amp;"")</f>
        <v/>
      </c>
      <c r="Q83" s="18">
        <f>AND(O83:P83)</f>
        <v/>
      </c>
      <c r="R83" s="19">
        <f>TRIM(IF(O83,"",$O$3&amp;" ")&amp;IF(P83,"",$P$3&amp;" "))</f>
        <v/>
      </c>
      <c r="S83" s="18">
        <f>EXACT(SUBSTITUTE(A83," ",""),SUBSTITUTE(I83&amp;J83&amp;K83&amp;L83&amp;M83," ",""))</f>
        <v/>
      </c>
    </row>
    <row r="84">
      <c r="A84" s="15" t="inlineStr">
        <is>
          <t>INSERT INTO CNF_PRF_TBL VALUES(10 , 13);</t>
        </is>
      </c>
      <c r="B84" s="16" t="n"/>
      <c r="C84" s="15" t="inlineStr">
        <is>
          <t xml:space="preserve">10 </t>
        </is>
      </c>
      <c r="D84" s="15" t="inlineStr">
        <is>
          <t xml:space="preserve"> 13</t>
        </is>
      </c>
      <c r="F84" s="17" t="inlineStr">
        <is>
          <t>10</t>
        </is>
      </c>
      <c r="G84" s="17" t="inlineStr">
        <is>
          <t>13</t>
        </is>
      </c>
      <c r="I84" s="15" t="inlineStr">
        <is>
          <t>INSERT INTO</t>
        </is>
      </c>
      <c r="J84" s="15" t="inlineStr">
        <is>
          <t>CNF_PRF_TBL</t>
        </is>
      </c>
      <c r="K84" s="15" t="inlineStr">
        <is>
          <t>VALUES(</t>
        </is>
      </c>
      <c r="L84" s="15" t="inlineStr">
        <is>
          <t>10 , 13</t>
        </is>
      </c>
      <c r="M84" s="15" t="inlineStr">
        <is>
          <t>);</t>
        </is>
      </c>
      <c r="O84" s="18">
        <f>EXACT(TRIM(C84),F84&amp;"")</f>
        <v/>
      </c>
      <c r="P84" s="18">
        <f>EXACT(TRIM(D84),G84&amp;"")</f>
        <v/>
      </c>
      <c r="Q84" s="18">
        <f>AND(O84:P84)</f>
        <v/>
      </c>
      <c r="R84" s="19">
        <f>TRIM(IF(O84,"",$O$3&amp;" ")&amp;IF(P84,"",$P$3&amp;" "))</f>
        <v/>
      </c>
      <c r="S84" s="18">
        <f>EXACT(SUBSTITUTE(A84," ",""),SUBSTITUTE(I84&amp;J84&amp;K84&amp;L84&amp;M84," ",""))</f>
        <v/>
      </c>
    </row>
    <row r="85">
      <c r="A85" s="15" t="inlineStr">
        <is>
          <t>INSERT INTO CNF_PRF_TBL VALUES(10 , 14);</t>
        </is>
      </c>
      <c r="B85" s="16" t="n"/>
      <c r="C85" s="15" t="inlineStr">
        <is>
          <t xml:space="preserve">10 </t>
        </is>
      </c>
      <c r="D85" s="15" t="inlineStr">
        <is>
          <t xml:space="preserve"> 14</t>
        </is>
      </c>
      <c r="F85" s="17" t="inlineStr">
        <is>
          <t>10</t>
        </is>
      </c>
      <c r="G85" s="17" t="inlineStr">
        <is>
          <t>14</t>
        </is>
      </c>
      <c r="I85" s="15" t="inlineStr">
        <is>
          <t>INSERT INTO</t>
        </is>
      </c>
      <c r="J85" s="15" t="inlineStr">
        <is>
          <t>CNF_PRF_TBL</t>
        </is>
      </c>
      <c r="K85" s="15" t="inlineStr">
        <is>
          <t>VALUES(</t>
        </is>
      </c>
      <c r="L85" s="15" t="inlineStr">
        <is>
          <t>10 , 14</t>
        </is>
      </c>
      <c r="M85" s="15" t="inlineStr">
        <is>
          <t>);</t>
        </is>
      </c>
      <c r="O85" s="18">
        <f>EXACT(TRIM(C85),F85&amp;"")</f>
        <v/>
      </c>
      <c r="P85" s="18">
        <f>EXACT(TRIM(D85),G85&amp;"")</f>
        <v/>
      </c>
      <c r="Q85" s="18">
        <f>AND(O85:P85)</f>
        <v/>
      </c>
      <c r="R85" s="19">
        <f>TRIM(IF(O85,"",$O$3&amp;" ")&amp;IF(P85,"",$P$3&amp;" "))</f>
        <v/>
      </c>
      <c r="S85" s="18">
        <f>EXACT(SUBSTITUTE(A85," ",""),SUBSTITUTE(I85&amp;J85&amp;K85&amp;L85&amp;M85," ",""))</f>
        <v/>
      </c>
    </row>
    <row r="86">
      <c r="A86" s="15" t="inlineStr">
        <is>
          <t>INSERT INTO CNF_PRF_TBL VALUES(10 , 15);</t>
        </is>
      </c>
      <c r="B86" s="16" t="n"/>
      <c r="C86" s="15" t="inlineStr">
        <is>
          <t xml:space="preserve">10 </t>
        </is>
      </c>
      <c r="D86" s="15" t="inlineStr">
        <is>
          <t xml:space="preserve"> 15</t>
        </is>
      </c>
      <c r="F86" s="17" t="inlineStr">
        <is>
          <t>10</t>
        </is>
      </c>
      <c r="G86" s="17" t="inlineStr">
        <is>
          <t>15</t>
        </is>
      </c>
      <c r="I86" s="15" t="inlineStr">
        <is>
          <t>INSERT INTO</t>
        </is>
      </c>
      <c r="J86" s="15" t="inlineStr">
        <is>
          <t>CNF_PRF_TBL</t>
        </is>
      </c>
      <c r="K86" s="15" t="inlineStr">
        <is>
          <t>VALUES(</t>
        </is>
      </c>
      <c r="L86" s="15" t="inlineStr">
        <is>
          <t>10 , 15</t>
        </is>
      </c>
      <c r="M86" s="15" t="inlineStr">
        <is>
          <t>);</t>
        </is>
      </c>
      <c r="O86" s="18">
        <f>EXACT(TRIM(C86),F86&amp;"")</f>
        <v/>
      </c>
      <c r="P86" s="18">
        <f>EXACT(TRIM(D86),G86&amp;"")</f>
        <v/>
      </c>
      <c r="Q86" s="18">
        <f>AND(O86:P86)</f>
        <v/>
      </c>
      <c r="R86" s="19">
        <f>TRIM(IF(O86,"",$O$3&amp;" ")&amp;IF(P86,"",$P$3&amp;" "))</f>
        <v/>
      </c>
      <c r="S86" s="18">
        <f>EXACT(SUBSTITUTE(A86," ",""),SUBSTITUTE(I86&amp;J86&amp;K86&amp;L86&amp;M86," ",""))</f>
        <v/>
      </c>
    </row>
    <row r="87">
      <c r="A87" s="15" t="inlineStr">
        <is>
          <t>INSERT INTO CNF_PRF_TBL VALUES(10 , 16);</t>
        </is>
      </c>
      <c r="B87" s="16" t="n"/>
      <c r="C87" s="15" t="inlineStr">
        <is>
          <t xml:space="preserve">10 </t>
        </is>
      </c>
      <c r="D87" s="15" t="inlineStr">
        <is>
          <t xml:space="preserve"> 16</t>
        </is>
      </c>
      <c r="F87" s="17" t="inlineStr">
        <is>
          <t>10</t>
        </is>
      </c>
      <c r="G87" s="17" t="inlineStr">
        <is>
          <t>16</t>
        </is>
      </c>
      <c r="I87" s="15" t="inlineStr">
        <is>
          <t>INSERT INTO</t>
        </is>
      </c>
      <c r="J87" s="15" t="inlineStr">
        <is>
          <t>CNF_PRF_TBL</t>
        </is>
      </c>
      <c r="K87" s="15" t="inlineStr">
        <is>
          <t>VALUES(</t>
        </is>
      </c>
      <c r="L87" s="15" t="inlineStr">
        <is>
          <t>10 , 16</t>
        </is>
      </c>
      <c r="M87" s="15" t="inlineStr">
        <is>
          <t>);</t>
        </is>
      </c>
      <c r="O87" s="18">
        <f>EXACT(TRIM(C87),F87&amp;"")</f>
        <v/>
      </c>
      <c r="P87" s="18">
        <f>EXACT(TRIM(D87),G87&amp;"")</f>
        <v/>
      </c>
      <c r="Q87" s="18">
        <f>AND(O87:P87)</f>
        <v/>
      </c>
      <c r="R87" s="19">
        <f>TRIM(IF(O87,"",$O$3&amp;" ")&amp;IF(P87,"",$P$3&amp;" "))</f>
        <v/>
      </c>
      <c r="S87" s="18">
        <f>EXACT(SUBSTITUTE(A87," ",""),SUBSTITUTE(I87&amp;J87&amp;K87&amp;L87&amp;M87," ",""))</f>
        <v/>
      </c>
    </row>
    <row r="88">
      <c r="A88" s="15" t="inlineStr">
        <is>
          <t>INSERT INTO CNF_PRF_TBL VALUES(10 , 48);</t>
        </is>
      </c>
      <c r="B88" s="16" t="n"/>
      <c r="C88" s="15" t="inlineStr">
        <is>
          <t xml:space="preserve">10 </t>
        </is>
      </c>
      <c r="D88" s="15" t="inlineStr">
        <is>
          <t xml:space="preserve"> 48</t>
        </is>
      </c>
      <c r="F88" s="17" t="inlineStr">
        <is>
          <t>10</t>
        </is>
      </c>
      <c r="G88" s="17" t="inlineStr">
        <is>
          <t>48</t>
        </is>
      </c>
      <c r="I88" s="15" t="inlineStr">
        <is>
          <t>INSERT INTO</t>
        </is>
      </c>
      <c r="J88" s="15" t="inlineStr">
        <is>
          <t>CNF_PRF_TBL</t>
        </is>
      </c>
      <c r="K88" s="15" t="inlineStr">
        <is>
          <t>VALUES(</t>
        </is>
      </c>
      <c r="L88" s="15" t="inlineStr">
        <is>
          <t>10 , 48</t>
        </is>
      </c>
      <c r="M88" s="15" t="inlineStr">
        <is>
          <t>);</t>
        </is>
      </c>
      <c r="O88" s="18">
        <f>EXACT(TRIM(C88),F88&amp;"")</f>
        <v/>
      </c>
      <c r="P88" s="18">
        <f>EXACT(TRIM(D88),G88&amp;"")</f>
        <v/>
      </c>
      <c r="Q88" s="18">
        <f>AND(O88:P88)</f>
        <v/>
      </c>
      <c r="R88" s="19">
        <f>TRIM(IF(O88,"",$O$3&amp;" ")&amp;IF(P88,"",$P$3&amp;" "))</f>
        <v/>
      </c>
      <c r="S88" s="18">
        <f>EXACT(SUBSTITUTE(A88," ",""),SUBSTITUTE(I88&amp;J88&amp;K88&amp;L88&amp;M88," ",""))</f>
        <v/>
      </c>
    </row>
    <row r="89">
      <c r="A89" s="15" t="inlineStr">
        <is>
          <t>INSERT INTO CNF_PRF_TBL VALUES(10 , 501);</t>
        </is>
      </c>
      <c r="B89" s="16" t="n"/>
      <c r="C89" s="15" t="inlineStr">
        <is>
          <t xml:space="preserve">10 </t>
        </is>
      </c>
      <c r="D89" s="15" t="inlineStr">
        <is>
          <t xml:space="preserve"> 501</t>
        </is>
      </c>
      <c r="F89" s="17" t="inlineStr">
        <is>
          <t>10</t>
        </is>
      </c>
      <c r="G89" s="17" t="inlineStr">
        <is>
          <t>501</t>
        </is>
      </c>
      <c r="I89" s="15" t="inlineStr">
        <is>
          <t>INSERT INTO</t>
        </is>
      </c>
      <c r="J89" s="15" t="inlineStr">
        <is>
          <t>CNF_PRF_TBL</t>
        </is>
      </c>
      <c r="K89" s="15" t="inlineStr">
        <is>
          <t>VALUES(</t>
        </is>
      </c>
      <c r="L89" s="15" t="inlineStr">
        <is>
          <t>10 , 501</t>
        </is>
      </c>
      <c r="M89" s="15" t="inlineStr">
        <is>
          <t>);</t>
        </is>
      </c>
      <c r="O89" s="18">
        <f>EXACT(TRIM(C89),F89&amp;"")</f>
        <v/>
      </c>
      <c r="P89" s="18">
        <f>EXACT(TRIM(D89),G89&amp;"")</f>
        <v/>
      </c>
      <c r="Q89" s="18">
        <f>AND(O89:P89)</f>
        <v/>
      </c>
      <c r="R89" s="19">
        <f>TRIM(IF(O89,"",$O$3&amp;" ")&amp;IF(P89,"",$P$3&amp;" "))</f>
        <v/>
      </c>
      <c r="S89" s="18">
        <f>EXACT(SUBSTITUTE(A89," ",""),SUBSTITUTE(I89&amp;J89&amp;K89&amp;L89&amp;M89," ",""))</f>
        <v/>
      </c>
    </row>
    <row r="90">
      <c r="A90" s="15" t="inlineStr">
        <is>
          <t>INSERT INTO CNF_PRF_TBL VALUES(10 , 502);</t>
        </is>
      </c>
      <c r="B90" s="16" t="n"/>
      <c r="C90" s="15" t="inlineStr">
        <is>
          <t xml:space="preserve">10 </t>
        </is>
      </c>
      <c r="D90" s="15" t="inlineStr">
        <is>
          <t xml:space="preserve"> 502</t>
        </is>
      </c>
      <c r="F90" s="17" t="inlineStr">
        <is>
          <t>10</t>
        </is>
      </c>
      <c r="G90" s="17" t="inlineStr">
        <is>
          <t>502</t>
        </is>
      </c>
      <c r="I90" s="15" t="inlineStr">
        <is>
          <t>INSERT INTO</t>
        </is>
      </c>
      <c r="J90" s="15" t="inlineStr">
        <is>
          <t>CNF_PRF_TBL</t>
        </is>
      </c>
      <c r="K90" s="15" t="inlineStr">
        <is>
          <t>VALUES(</t>
        </is>
      </c>
      <c r="L90" s="15" t="inlineStr">
        <is>
          <t>10 , 502</t>
        </is>
      </c>
      <c r="M90" s="15" t="inlineStr">
        <is>
          <t>);</t>
        </is>
      </c>
      <c r="O90" s="18">
        <f>EXACT(TRIM(C90),F90&amp;"")</f>
        <v/>
      </c>
      <c r="P90" s="18">
        <f>EXACT(TRIM(D90),G90&amp;"")</f>
        <v/>
      </c>
      <c r="Q90" s="18">
        <f>AND(O90:P90)</f>
        <v/>
      </c>
      <c r="R90" s="19">
        <f>TRIM(IF(O90,"",$O$3&amp;" ")&amp;IF(P90,"",$P$3&amp;" "))</f>
        <v/>
      </c>
      <c r="S90" s="18">
        <f>EXACT(SUBSTITUTE(A90," ",""),SUBSTITUTE(I90&amp;J90&amp;K90&amp;L90&amp;M90," ",""))</f>
        <v/>
      </c>
    </row>
    <row r="91">
      <c r="A91" s="15" t="inlineStr">
        <is>
          <t>INSERT INTO CNF_PRF_TBL VALUES(10 , 511);</t>
        </is>
      </c>
      <c r="B91" s="16" t="n"/>
      <c r="C91" s="15" t="inlineStr">
        <is>
          <t xml:space="preserve">10 </t>
        </is>
      </c>
      <c r="D91" s="15" t="inlineStr">
        <is>
          <t xml:space="preserve"> 511</t>
        </is>
      </c>
      <c r="F91" s="17" t="inlineStr">
        <is>
          <t>10</t>
        </is>
      </c>
      <c r="G91" s="17" t="inlineStr">
        <is>
          <t>511</t>
        </is>
      </c>
      <c r="I91" s="15" t="inlineStr">
        <is>
          <t>INSERT INTO</t>
        </is>
      </c>
      <c r="J91" s="15" t="inlineStr">
        <is>
          <t>CNF_PRF_TBL</t>
        </is>
      </c>
      <c r="K91" s="15" t="inlineStr">
        <is>
          <t>VALUES(</t>
        </is>
      </c>
      <c r="L91" s="15" t="inlineStr">
        <is>
          <t>10 , 511</t>
        </is>
      </c>
      <c r="M91" s="15" t="inlineStr">
        <is>
          <t>);</t>
        </is>
      </c>
      <c r="O91" s="18">
        <f>EXACT(TRIM(C91),F91&amp;"")</f>
        <v/>
      </c>
      <c r="P91" s="18">
        <f>EXACT(TRIM(D91),G91&amp;"")</f>
        <v/>
      </c>
      <c r="Q91" s="18">
        <f>AND(O91:P91)</f>
        <v/>
      </c>
      <c r="R91" s="19">
        <f>TRIM(IF(O91,"",$O$3&amp;" ")&amp;IF(P91,"",$P$3&amp;" "))</f>
        <v/>
      </c>
      <c r="S91" s="18">
        <f>EXACT(SUBSTITUTE(A91," ",""),SUBSTITUTE(I91&amp;J91&amp;K91&amp;L91&amp;M91," ",""))</f>
        <v/>
      </c>
    </row>
    <row r="92">
      <c r="A92" s="15" t="inlineStr">
        <is>
          <t>INSERT INTO CNF_PRF_TBL VALUES(10 , 512);</t>
        </is>
      </c>
      <c r="B92" s="16" t="n"/>
      <c r="C92" s="15" t="inlineStr">
        <is>
          <t xml:space="preserve">10 </t>
        </is>
      </c>
      <c r="D92" s="15" t="inlineStr">
        <is>
          <t xml:space="preserve"> 512</t>
        </is>
      </c>
      <c r="F92" s="17" t="inlineStr">
        <is>
          <t>10</t>
        </is>
      </c>
      <c r="G92" s="17" t="inlineStr">
        <is>
          <t>512</t>
        </is>
      </c>
      <c r="I92" s="15" t="inlineStr">
        <is>
          <t>INSERT INTO</t>
        </is>
      </c>
      <c r="J92" s="15" t="inlineStr">
        <is>
          <t>CNF_PRF_TBL</t>
        </is>
      </c>
      <c r="K92" s="15" t="inlineStr">
        <is>
          <t>VALUES(</t>
        </is>
      </c>
      <c r="L92" s="15" t="inlineStr">
        <is>
          <t>10 , 512</t>
        </is>
      </c>
      <c r="M92" s="15" t="inlineStr">
        <is>
          <t>);</t>
        </is>
      </c>
      <c r="O92" s="18">
        <f>EXACT(TRIM(C92),F92&amp;"")</f>
        <v/>
      </c>
      <c r="P92" s="18">
        <f>EXACT(TRIM(D92),G92&amp;"")</f>
        <v/>
      </c>
      <c r="Q92" s="18">
        <f>AND(O92:P92)</f>
        <v/>
      </c>
      <c r="R92" s="19">
        <f>TRIM(IF(O92,"",$O$3&amp;" ")&amp;IF(P92,"",$P$3&amp;" "))</f>
        <v/>
      </c>
      <c r="S92" s="18">
        <f>EXACT(SUBSTITUTE(A92," ",""),SUBSTITUTE(I92&amp;J92&amp;K92&amp;L92&amp;M92," ",""))</f>
        <v/>
      </c>
    </row>
    <row r="93">
      <c r="A93" s="15" t="inlineStr">
        <is>
          <t>INSERT INTO CNF_PRF_TBL VALUES(10 , 521);</t>
        </is>
      </c>
      <c r="B93" s="16" t="n"/>
      <c r="C93" s="15" t="inlineStr">
        <is>
          <t xml:space="preserve">10 </t>
        </is>
      </c>
      <c r="D93" s="15" t="inlineStr">
        <is>
          <t xml:space="preserve"> 521</t>
        </is>
      </c>
      <c r="F93" s="17" t="inlineStr">
        <is>
          <t>10</t>
        </is>
      </c>
      <c r="G93" s="17" t="inlineStr">
        <is>
          <t>521</t>
        </is>
      </c>
      <c r="I93" s="15" t="inlineStr">
        <is>
          <t>INSERT INTO</t>
        </is>
      </c>
      <c r="J93" s="15" t="inlineStr">
        <is>
          <t>CNF_PRF_TBL</t>
        </is>
      </c>
      <c r="K93" s="15" t="inlineStr">
        <is>
          <t>VALUES(</t>
        </is>
      </c>
      <c r="L93" s="15" t="inlineStr">
        <is>
          <t>10 , 521</t>
        </is>
      </c>
      <c r="M93" s="15" t="inlineStr">
        <is>
          <t>);</t>
        </is>
      </c>
      <c r="O93" s="18">
        <f>EXACT(TRIM(C93),F93&amp;"")</f>
        <v/>
      </c>
      <c r="P93" s="18">
        <f>EXACT(TRIM(D93),G93&amp;"")</f>
        <v/>
      </c>
      <c r="Q93" s="18">
        <f>AND(O93:P93)</f>
        <v/>
      </c>
      <c r="R93" s="19">
        <f>TRIM(IF(O93,"",$O$3&amp;" ")&amp;IF(P93,"",$P$3&amp;" "))</f>
        <v/>
      </c>
      <c r="S93" s="18">
        <f>EXACT(SUBSTITUTE(A93," ",""),SUBSTITUTE(I93&amp;J93&amp;K93&amp;L93&amp;M93," ",""))</f>
        <v/>
      </c>
    </row>
    <row r="94">
      <c r="A94" s="15" t="inlineStr">
        <is>
          <t>INSERT INTO CNF_PRF_TBL VALUES(10 , 522);</t>
        </is>
      </c>
      <c r="B94" s="16" t="n"/>
      <c r="C94" s="15" t="inlineStr">
        <is>
          <t xml:space="preserve">10 </t>
        </is>
      </c>
      <c r="D94" s="15" t="inlineStr">
        <is>
          <t xml:space="preserve"> 522</t>
        </is>
      </c>
      <c r="F94" s="17" t="inlineStr">
        <is>
          <t>10</t>
        </is>
      </c>
      <c r="G94" s="17" t="inlineStr">
        <is>
          <t>522</t>
        </is>
      </c>
      <c r="I94" s="15" t="inlineStr">
        <is>
          <t>INSERT INTO</t>
        </is>
      </c>
      <c r="J94" s="15" t="inlineStr">
        <is>
          <t>CNF_PRF_TBL</t>
        </is>
      </c>
      <c r="K94" s="15" t="inlineStr">
        <is>
          <t>VALUES(</t>
        </is>
      </c>
      <c r="L94" s="15" t="inlineStr">
        <is>
          <t>10 , 522</t>
        </is>
      </c>
      <c r="M94" s="15" t="inlineStr">
        <is>
          <t>);</t>
        </is>
      </c>
      <c r="O94" s="18">
        <f>EXACT(TRIM(C94),F94&amp;"")</f>
        <v/>
      </c>
      <c r="P94" s="18">
        <f>EXACT(TRIM(D94),G94&amp;"")</f>
        <v/>
      </c>
      <c r="Q94" s="18">
        <f>AND(O94:P94)</f>
        <v/>
      </c>
      <c r="R94" s="19">
        <f>TRIM(IF(O94,"",$O$3&amp;" ")&amp;IF(P94,"",$P$3&amp;" "))</f>
        <v/>
      </c>
      <c r="S94" s="18">
        <f>EXACT(SUBSTITUTE(A94," ",""),SUBSTITUTE(I94&amp;J94&amp;K94&amp;L94&amp;M94," ",""))</f>
        <v/>
      </c>
    </row>
    <row r="95">
      <c r="A95" s="15" t="inlineStr">
        <is>
          <t>INSERT INTO CNF_PRF_TBL VALUES(10 , 523);</t>
        </is>
      </c>
      <c r="B95" s="16" t="n"/>
      <c r="C95" s="15" t="inlineStr">
        <is>
          <t xml:space="preserve">10 </t>
        </is>
      </c>
      <c r="D95" s="15" t="inlineStr">
        <is>
          <t xml:space="preserve"> 523</t>
        </is>
      </c>
      <c r="F95" s="17" t="inlineStr">
        <is>
          <t>10</t>
        </is>
      </c>
      <c r="G95" s="17" t="inlineStr">
        <is>
          <t>523</t>
        </is>
      </c>
      <c r="I95" s="15" t="inlineStr">
        <is>
          <t>INSERT INTO</t>
        </is>
      </c>
      <c r="J95" s="15" t="inlineStr">
        <is>
          <t>CNF_PRF_TBL</t>
        </is>
      </c>
      <c r="K95" s="15" t="inlineStr">
        <is>
          <t>VALUES(</t>
        </is>
      </c>
      <c r="L95" s="15" t="inlineStr">
        <is>
          <t>10 , 523</t>
        </is>
      </c>
      <c r="M95" s="15" t="inlineStr">
        <is>
          <t>);</t>
        </is>
      </c>
      <c r="O95" s="18">
        <f>EXACT(TRIM(C95),F95&amp;"")</f>
        <v/>
      </c>
      <c r="P95" s="18">
        <f>EXACT(TRIM(D95),G95&amp;"")</f>
        <v/>
      </c>
      <c r="Q95" s="18">
        <f>AND(O95:P95)</f>
        <v/>
      </c>
      <c r="R95" s="19">
        <f>TRIM(IF(O95,"",$O$3&amp;" ")&amp;IF(P95,"",$P$3&amp;" "))</f>
        <v/>
      </c>
      <c r="S95" s="18">
        <f>EXACT(SUBSTITUTE(A95," ",""),SUBSTITUTE(I95&amp;J95&amp;K95&amp;L95&amp;M95," ",""))</f>
        <v/>
      </c>
    </row>
    <row r="96">
      <c r="A96" s="15" t="inlineStr">
        <is>
          <t>INSERT INTO CNF_PRF_TBL VALUES(10 , 524);</t>
        </is>
      </c>
      <c r="B96" s="16" t="n"/>
      <c r="C96" s="15" t="inlineStr">
        <is>
          <t xml:space="preserve">10 </t>
        </is>
      </c>
      <c r="D96" s="15" t="inlineStr">
        <is>
          <t xml:space="preserve"> 524</t>
        </is>
      </c>
      <c r="F96" s="17" t="inlineStr">
        <is>
          <t>10</t>
        </is>
      </c>
      <c r="G96" s="17" t="inlineStr">
        <is>
          <t>524</t>
        </is>
      </c>
      <c r="I96" s="15" t="inlineStr">
        <is>
          <t>INSERT INTO</t>
        </is>
      </c>
      <c r="J96" s="15" t="inlineStr">
        <is>
          <t>CNF_PRF_TBL</t>
        </is>
      </c>
      <c r="K96" s="15" t="inlineStr">
        <is>
          <t>VALUES(</t>
        </is>
      </c>
      <c r="L96" s="15" t="inlineStr">
        <is>
          <t>10 , 524</t>
        </is>
      </c>
      <c r="M96" s="15" t="inlineStr">
        <is>
          <t>);</t>
        </is>
      </c>
      <c r="O96" s="18">
        <f>EXACT(TRIM(C96),F96&amp;"")</f>
        <v/>
      </c>
      <c r="P96" s="18">
        <f>EXACT(TRIM(D96),G96&amp;"")</f>
        <v/>
      </c>
      <c r="Q96" s="18">
        <f>AND(O96:P96)</f>
        <v/>
      </c>
      <c r="R96" s="19">
        <f>TRIM(IF(O96,"",$O$3&amp;" ")&amp;IF(P96,"",$P$3&amp;" "))</f>
        <v/>
      </c>
      <c r="S96" s="18">
        <f>EXACT(SUBSTITUTE(A96," ",""),SUBSTITUTE(I96&amp;J96&amp;K96&amp;L96&amp;M96," ",""))</f>
        <v/>
      </c>
    </row>
    <row r="97">
      <c r="A97" s="15" t="inlineStr">
        <is>
          <t>INSERT INTO CNF_PRF_TBL VALUES(10 , 525);</t>
        </is>
      </c>
      <c r="B97" s="16" t="n"/>
      <c r="C97" s="15" t="inlineStr">
        <is>
          <t xml:space="preserve">10 </t>
        </is>
      </c>
      <c r="D97" s="15" t="inlineStr">
        <is>
          <t xml:space="preserve"> 525</t>
        </is>
      </c>
      <c r="F97" s="17" t="inlineStr">
        <is>
          <t>10</t>
        </is>
      </c>
      <c r="G97" s="17" t="inlineStr">
        <is>
          <t>525</t>
        </is>
      </c>
      <c r="I97" s="15" t="inlineStr">
        <is>
          <t>INSERT INTO</t>
        </is>
      </c>
      <c r="J97" s="15" t="inlineStr">
        <is>
          <t>CNF_PRF_TBL</t>
        </is>
      </c>
      <c r="K97" s="15" t="inlineStr">
        <is>
          <t>VALUES(</t>
        </is>
      </c>
      <c r="L97" s="15" t="inlineStr">
        <is>
          <t>10 , 525</t>
        </is>
      </c>
      <c r="M97" s="15" t="inlineStr">
        <is>
          <t>);</t>
        </is>
      </c>
      <c r="O97" s="18">
        <f>EXACT(TRIM(C97),F97&amp;"")</f>
        <v/>
      </c>
      <c r="P97" s="18">
        <f>EXACT(TRIM(D97),G97&amp;"")</f>
        <v/>
      </c>
      <c r="Q97" s="18">
        <f>AND(O97:P97)</f>
        <v/>
      </c>
      <c r="R97" s="19">
        <f>TRIM(IF(O97,"",$O$3&amp;" ")&amp;IF(P97,"",$P$3&amp;" "))</f>
        <v/>
      </c>
      <c r="S97" s="18">
        <f>EXACT(SUBSTITUTE(A97," ",""),SUBSTITUTE(I97&amp;J97&amp;K97&amp;L97&amp;M97," ",""))</f>
        <v/>
      </c>
    </row>
    <row r="98">
      <c r="A98" s="15" t="inlineStr">
        <is>
          <t>INSERT INTO CNF_PRF_TBL VALUES(10 , 526);</t>
        </is>
      </c>
      <c r="B98" s="16" t="n"/>
      <c r="C98" s="15" t="inlineStr">
        <is>
          <t xml:space="preserve">10 </t>
        </is>
      </c>
      <c r="D98" s="15" t="inlineStr">
        <is>
          <t xml:space="preserve"> 526</t>
        </is>
      </c>
      <c r="F98" s="17" t="inlineStr">
        <is>
          <t>10</t>
        </is>
      </c>
      <c r="G98" s="17" t="inlineStr">
        <is>
          <t>526</t>
        </is>
      </c>
      <c r="I98" s="15" t="inlineStr">
        <is>
          <t>INSERT INTO</t>
        </is>
      </c>
      <c r="J98" s="15" t="inlineStr">
        <is>
          <t>CNF_PRF_TBL</t>
        </is>
      </c>
      <c r="K98" s="15" t="inlineStr">
        <is>
          <t>VALUES(</t>
        </is>
      </c>
      <c r="L98" s="15" t="inlineStr">
        <is>
          <t>10 , 526</t>
        </is>
      </c>
      <c r="M98" s="15" t="inlineStr">
        <is>
          <t>);</t>
        </is>
      </c>
      <c r="O98" s="18">
        <f>EXACT(TRIM(C98),F98&amp;"")</f>
        <v/>
      </c>
      <c r="P98" s="18">
        <f>EXACT(TRIM(D98),G98&amp;"")</f>
        <v/>
      </c>
      <c r="Q98" s="18">
        <f>AND(O98:P98)</f>
        <v/>
      </c>
      <c r="R98" s="19">
        <f>TRIM(IF(O98,"",$O$3&amp;" ")&amp;IF(P98,"",$P$3&amp;" "))</f>
        <v/>
      </c>
      <c r="S98" s="18">
        <f>EXACT(SUBSTITUTE(A98," ",""),SUBSTITUTE(I98&amp;J98&amp;K98&amp;L98&amp;M98," ",""))</f>
        <v/>
      </c>
    </row>
    <row r="99">
      <c r="A99" s="15" t="inlineStr">
        <is>
          <t>INSERT INTO CNF_PRF_TBL VALUES(10 , 527);</t>
        </is>
      </c>
      <c r="B99" s="16" t="n"/>
      <c r="C99" s="15" t="inlineStr">
        <is>
          <t xml:space="preserve">10 </t>
        </is>
      </c>
      <c r="D99" s="15" t="inlineStr">
        <is>
          <t xml:space="preserve"> 527</t>
        </is>
      </c>
      <c r="F99" s="17" t="inlineStr">
        <is>
          <t>10</t>
        </is>
      </c>
      <c r="G99" s="17" t="inlineStr">
        <is>
          <t>527</t>
        </is>
      </c>
      <c r="I99" s="15" t="inlineStr">
        <is>
          <t>INSERT INTO</t>
        </is>
      </c>
      <c r="J99" s="15" t="inlineStr">
        <is>
          <t>CNF_PRF_TBL</t>
        </is>
      </c>
      <c r="K99" s="15" t="inlineStr">
        <is>
          <t>VALUES(</t>
        </is>
      </c>
      <c r="L99" s="15" t="inlineStr">
        <is>
          <t>10 , 527</t>
        </is>
      </c>
      <c r="M99" s="15" t="inlineStr">
        <is>
          <t>);</t>
        </is>
      </c>
      <c r="O99" s="18">
        <f>EXACT(TRIM(C99),F99&amp;"")</f>
        <v/>
      </c>
      <c r="P99" s="18">
        <f>EXACT(TRIM(D99),G99&amp;"")</f>
        <v/>
      </c>
      <c r="Q99" s="18">
        <f>AND(O99:P99)</f>
        <v/>
      </c>
      <c r="R99" s="19">
        <f>TRIM(IF(O99,"",$O$3&amp;" ")&amp;IF(P99,"",$P$3&amp;" "))</f>
        <v/>
      </c>
      <c r="S99" s="18">
        <f>EXACT(SUBSTITUTE(A99," ",""),SUBSTITUTE(I99&amp;J99&amp;K99&amp;L99&amp;M99," ",""))</f>
        <v/>
      </c>
    </row>
    <row r="100">
      <c r="A100" s="15" t="inlineStr">
        <is>
          <t>INSERT INTO CNF_PRF_TBL VALUES(10 , 528);</t>
        </is>
      </c>
      <c r="B100" s="16" t="n"/>
      <c r="C100" s="15" t="inlineStr">
        <is>
          <t xml:space="preserve">10 </t>
        </is>
      </c>
      <c r="D100" s="15" t="inlineStr">
        <is>
          <t xml:space="preserve"> 528</t>
        </is>
      </c>
      <c r="F100" s="17" t="inlineStr">
        <is>
          <t>10</t>
        </is>
      </c>
      <c r="G100" s="17" t="inlineStr">
        <is>
          <t>528</t>
        </is>
      </c>
      <c r="I100" s="15" t="inlineStr">
        <is>
          <t>INSERT INTO</t>
        </is>
      </c>
      <c r="J100" s="15" t="inlineStr">
        <is>
          <t>CNF_PRF_TBL</t>
        </is>
      </c>
      <c r="K100" s="15" t="inlineStr">
        <is>
          <t>VALUES(</t>
        </is>
      </c>
      <c r="L100" s="15" t="inlineStr">
        <is>
          <t>10 , 528</t>
        </is>
      </c>
      <c r="M100" s="15" t="inlineStr">
        <is>
          <t>);</t>
        </is>
      </c>
      <c r="O100" s="18">
        <f>EXACT(TRIM(C100),F100&amp;"")</f>
        <v/>
      </c>
      <c r="P100" s="18">
        <f>EXACT(TRIM(D100),G100&amp;"")</f>
        <v/>
      </c>
      <c r="Q100" s="18">
        <f>AND(O100:P100)</f>
        <v/>
      </c>
      <c r="R100" s="19">
        <f>TRIM(IF(O100,"",$O$3&amp;" ")&amp;IF(P100,"",$P$3&amp;" "))</f>
        <v/>
      </c>
      <c r="S100" s="18">
        <f>EXACT(SUBSTITUTE(A100," ",""),SUBSTITUTE(I100&amp;J100&amp;K100&amp;L100&amp;M100," ",""))</f>
        <v/>
      </c>
    </row>
    <row r="101">
      <c r="A101" s="15" t="inlineStr">
        <is>
          <t>INSERT INTO CNF_PRF_TBL VALUES(10 , 529);</t>
        </is>
      </c>
      <c r="B101" s="16" t="n"/>
      <c r="C101" s="15" t="inlineStr">
        <is>
          <t xml:space="preserve">10 </t>
        </is>
      </c>
      <c r="D101" s="15" t="inlineStr">
        <is>
          <t xml:space="preserve"> 529</t>
        </is>
      </c>
      <c r="F101" s="17" t="inlineStr">
        <is>
          <t>10</t>
        </is>
      </c>
      <c r="G101" s="17" t="inlineStr">
        <is>
          <t>529</t>
        </is>
      </c>
      <c r="I101" s="15" t="inlineStr">
        <is>
          <t>INSERT INTO</t>
        </is>
      </c>
      <c r="J101" s="15" t="inlineStr">
        <is>
          <t>CNF_PRF_TBL</t>
        </is>
      </c>
      <c r="K101" s="15" t="inlineStr">
        <is>
          <t>VALUES(</t>
        </is>
      </c>
      <c r="L101" s="15" t="inlineStr">
        <is>
          <t>10 , 529</t>
        </is>
      </c>
      <c r="M101" s="15" t="inlineStr">
        <is>
          <t>);</t>
        </is>
      </c>
      <c r="O101" s="18">
        <f>EXACT(TRIM(C101),F101&amp;"")</f>
        <v/>
      </c>
      <c r="P101" s="18">
        <f>EXACT(TRIM(D101),G101&amp;"")</f>
        <v/>
      </c>
      <c r="Q101" s="18">
        <f>AND(O101:P101)</f>
        <v/>
      </c>
      <c r="R101" s="19">
        <f>TRIM(IF(O101,"",$O$3&amp;" ")&amp;IF(P101,"",$P$3&amp;" "))</f>
        <v/>
      </c>
      <c r="S101" s="18">
        <f>EXACT(SUBSTITUTE(A101," ",""),SUBSTITUTE(I101&amp;J101&amp;K101&amp;L101&amp;M101," ",""))</f>
        <v/>
      </c>
    </row>
    <row r="102">
      <c r="A102" s="15" t="inlineStr">
        <is>
          <t>INSERT INTO CNF_PRF_TBL VALUES(10 , 530);</t>
        </is>
      </c>
      <c r="B102" s="16" t="n"/>
      <c r="C102" s="15" t="inlineStr">
        <is>
          <t xml:space="preserve">10 </t>
        </is>
      </c>
      <c r="D102" s="15" t="inlineStr">
        <is>
          <t xml:space="preserve"> 530</t>
        </is>
      </c>
      <c r="F102" s="17" t="inlineStr">
        <is>
          <t>10</t>
        </is>
      </c>
      <c r="G102" s="17" t="inlineStr">
        <is>
          <t>530</t>
        </is>
      </c>
      <c r="I102" s="15" t="inlineStr">
        <is>
          <t>INSERT INTO</t>
        </is>
      </c>
      <c r="J102" s="15" t="inlineStr">
        <is>
          <t>CNF_PRF_TBL</t>
        </is>
      </c>
      <c r="K102" s="15" t="inlineStr">
        <is>
          <t>VALUES(</t>
        </is>
      </c>
      <c r="L102" s="15" t="inlineStr">
        <is>
          <t>10 , 530</t>
        </is>
      </c>
      <c r="M102" s="15" t="inlineStr">
        <is>
          <t>);</t>
        </is>
      </c>
      <c r="O102" s="18">
        <f>EXACT(TRIM(C102),F102&amp;"")</f>
        <v/>
      </c>
      <c r="P102" s="18">
        <f>EXACT(TRIM(D102),G102&amp;"")</f>
        <v/>
      </c>
      <c r="Q102" s="18">
        <f>AND(O102:P102)</f>
        <v/>
      </c>
      <c r="R102" s="19">
        <f>TRIM(IF(O102,"",$O$3&amp;" ")&amp;IF(P102,"",$P$3&amp;" "))</f>
        <v/>
      </c>
      <c r="S102" s="18">
        <f>EXACT(SUBSTITUTE(A102," ",""),SUBSTITUTE(I102&amp;J102&amp;K102&amp;L102&amp;M102," ",""))</f>
        <v/>
      </c>
    </row>
    <row r="103">
      <c r="A103" s="15" t="inlineStr">
        <is>
          <t>INSERT INTO CNF_PRF_TBL VALUES(10 , 531);</t>
        </is>
      </c>
      <c r="B103" s="16" t="n"/>
      <c r="C103" s="15" t="inlineStr">
        <is>
          <t xml:space="preserve">10 </t>
        </is>
      </c>
      <c r="D103" s="15" t="inlineStr">
        <is>
          <t xml:space="preserve"> 531</t>
        </is>
      </c>
      <c r="F103" s="17" t="inlineStr">
        <is>
          <t>10</t>
        </is>
      </c>
      <c r="G103" s="17" t="inlineStr">
        <is>
          <t>531</t>
        </is>
      </c>
      <c r="I103" s="15" t="inlineStr">
        <is>
          <t>INSERT INTO</t>
        </is>
      </c>
      <c r="J103" s="15" t="inlineStr">
        <is>
          <t>CNF_PRF_TBL</t>
        </is>
      </c>
      <c r="K103" s="15" t="inlineStr">
        <is>
          <t>VALUES(</t>
        </is>
      </c>
      <c r="L103" s="15" t="inlineStr">
        <is>
          <t>10 , 531</t>
        </is>
      </c>
      <c r="M103" s="15" t="inlineStr">
        <is>
          <t>);</t>
        </is>
      </c>
      <c r="O103" s="18">
        <f>EXACT(TRIM(C103),F103&amp;"")</f>
        <v/>
      </c>
      <c r="P103" s="18">
        <f>EXACT(TRIM(D103),G103&amp;"")</f>
        <v/>
      </c>
      <c r="Q103" s="18">
        <f>AND(O103:P103)</f>
        <v/>
      </c>
      <c r="R103" s="19">
        <f>TRIM(IF(O103,"",$O$3&amp;" ")&amp;IF(P103,"",$P$3&amp;" "))</f>
        <v/>
      </c>
      <c r="S103" s="18">
        <f>EXACT(SUBSTITUTE(A103," ",""),SUBSTITUTE(I103&amp;J103&amp;K103&amp;L103&amp;M103," ",""))</f>
        <v/>
      </c>
    </row>
    <row r="104">
      <c r="A104" s="15" t="inlineStr">
        <is>
          <t>INSERT INTO CNF_PRF_TBL VALUES(10 , 532);</t>
        </is>
      </c>
      <c r="B104" s="16" t="n"/>
      <c r="C104" s="15" t="inlineStr">
        <is>
          <t xml:space="preserve">10 </t>
        </is>
      </c>
      <c r="D104" s="15" t="inlineStr">
        <is>
          <t xml:space="preserve"> 532</t>
        </is>
      </c>
      <c r="F104" s="17" t="inlineStr">
        <is>
          <t>10</t>
        </is>
      </c>
      <c r="G104" s="17" t="inlineStr">
        <is>
          <t>532</t>
        </is>
      </c>
      <c r="I104" s="15" t="inlineStr">
        <is>
          <t>INSERT INTO</t>
        </is>
      </c>
      <c r="J104" s="15" t="inlineStr">
        <is>
          <t>CNF_PRF_TBL</t>
        </is>
      </c>
      <c r="K104" s="15" t="inlineStr">
        <is>
          <t>VALUES(</t>
        </is>
      </c>
      <c r="L104" s="15" t="inlineStr">
        <is>
          <t>10 , 532</t>
        </is>
      </c>
      <c r="M104" s="15" t="inlineStr">
        <is>
          <t>);</t>
        </is>
      </c>
      <c r="O104" s="18">
        <f>EXACT(TRIM(C104),F104&amp;"")</f>
        <v/>
      </c>
      <c r="P104" s="18">
        <f>EXACT(TRIM(D104),G104&amp;"")</f>
        <v/>
      </c>
      <c r="Q104" s="18">
        <f>AND(O104:P104)</f>
        <v/>
      </c>
      <c r="R104" s="19">
        <f>TRIM(IF(O104,"",$O$3&amp;" ")&amp;IF(P104,"",$P$3&amp;" "))</f>
        <v/>
      </c>
      <c r="S104" s="18">
        <f>EXACT(SUBSTITUTE(A104," ",""),SUBSTITUTE(I104&amp;J104&amp;K104&amp;L104&amp;M104," ",""))</f>
        <v/>
      </c>
    </row>
    <row r="105">
      <c r="A105" s="15" t="inlineStr">
        <is>
          <t>INSERT INTO CNF_PRF_TBL VALUES(10 , 533);</t>
        </is>
      </c>
      <c r="B105" s="16" t="n"/>
      <c r="C105" s="15" t="inlineStr">
        <is>
          <t xml:space="preserve">10 </t>
        </is>
      </c>
      <c r="D105" s="15" t="inlineStr">
        <is>
          <t xml:space="preserve"> 533</t>
        </is>
      </c>
      <c r="F105" s="17" t="inlineStr">
        <is>
          <t>10</t>
        </is>
      </c>
      <c r="G105" s="17" t="inlineStr">
        <is>
          <t>533</t>
        </is>
      </c>
      <c r="I105" s="15" t="inlineStr">
        <is>
          <t>INSERT INTO</t>
        </is>
      </c>
      <c r="J105" s="15" t="inlineStr">
        <is>
          <t>CNF_PRF_TBL</t>
        </is>
      </c>
      <c r="K105" s="15" t="inlineStr">
        <is>
          <t>VALUES(</t>
        </is>
      </c>
      <c r="L105" s="15" t="inlineStr">
        <is>
          <t>10 , 533</t>
        </is>
      </c>
      <c r="M105" s="15" t="inlineStr">
        <is>
          <t>);</t>
        </is>
      </c>
      <c r="O105" s="18">
        <f>EXACT(TRIM(C105),F105&amp;"")</f>
        <v/>
      </c>
      <c r="P105" s="18">
        <f>EXACT(TRIM(D105),G105&amp;"")</f>
        <v/>
      </c>
      <c r="Q105" s="18">
        <f>AND(O105:P105)</f>
        <v/>
      </c>
      <c r="R105" s="19">
        <f>TRIM(IF(O105,"",$O$3&amp;" ")&amp;IF(P105,"",$P$3&amp;" "))</f>
        <v/>
      </c>
      <c r="S105" s="18">
        <f>EXACT(SUBSTITUTE(A105," ",""),SUBSTITUTE(I105&amp;J105&amp;K105&amp;L105&amp;M105," ",""))</f>
        <v/>
      </c>
    </row>
    <row r="106">
      <c r="A106" s="15" t="inlineStr">
        <is>
          <t>INSERT INTO CNF_PRF_TBL VALUES(10 , 534);</t>
        </is>
      </c>
      <c r="B106" s="16" t="n"/>
      <c r="C106" s="15" t="inlineStr">
        <is>
          <t xml:space="preserve">10 </t>
        </is>
      </c>
      <c r="D106" s="15" t="inlineStr">
        <is>
          <t xml:space="preserve"> 534</t>
        </is>
      </c>
      <c r="F106" s="17" t="inlineStr">
        <is>
          <t>10</t>
        </is>
      </c>
      <c r="G106" s="17" t="inlineStr">
        <is>
          <t>534</t>
        </is>
      </c>
      <c r="I106" s="15" t="inlineStr">
        <is>
          <t>INSERT INTO</t>
        </is>
      </c>
      <c r="J106" s="15" t="inlineStr">
        <is>
          <t>CNF_PRF_TBL</t>
        </is>
      </c>
      <c r="K106" s="15" t="inlineStr">
        <is>
          <t>VALUES(</t>
        </is>
      </c>
      <c r="L106" s="15" t="inlineStr">
        <is>
          <t>10 , 534</t>
        </is>
      </c>
      <c r="M106" s="15" t="inlineStr">
        <is>
          <t>);</t>
        </is>
      </c>
      <c r="O106" s="18">
        <f>EXACT(TRIM(C106),F106&amp;"")</f>
        <v/>
      </c>
      <c r="P106" s="18">
        <f>EXACT(TRIM(D106),G106&amp;"")</f>
        <v/>
      </c>
      <c r="Q106" s="18">
        <f>AND(O106:P106)</f>
        <v/>
      </c>
      <c r="R106" s="19">
        <f>TRIM(IF(O106,"",$O$3&amp;" ")&amp;IF(P106,"",$P$3&amp;" "))</f>
        <v/>
      </c>
      <c r="S106" s="18">
        <f>EXACT(SUBSTITUTE(A106," ",""),SUBSTITUTE(I106&amp;J106&amp;K106&amp;L106&amp;M106," ",""))</f>
        <v/>
      </c>
    </row>
    <row r="107">
      <c r="A107" s="15" t="inlineStr">
        <is>
          <t>INSERT INTO CNF_PRF_TBL VALUES(10 , 535);</t>
        </is>
      </c>
      <c r="B107" s="16" t="n"/>
      <c r="C107" s="15" t="inlineStr">
        <is>
          <t xml:space="preserve">10 </t>
        </is>
      </c>
      <c r="D107" s="15" t="inlineStr">
        <is>
          <t xml:space="preserve"> 535</t>
        </is>
      </c>
      <c r="F107" s="17" t="inlineStr">
        <is>
          <t>10</t>
        </is>
      </c>
      <c r="G107" s="17" t="inlineStr">
        <is>
          <t>535</t>
        </is>
      </c>
      <c r="I107" s="15" t="inlineStr">
        <is>
          <t>INSERT INTO</t>
        </is>
      </c>
      <c r="J107" s="15" t="inlineStr">
        <is>
          <t>CNF_PRF_TBL</t>
        </is>
      </c>
      <c r="K107" s="15" t="inlineStr">
        <is>
          <t>VALUES(</t>
        </is>
      </c>
      <c r="L107" s="15" t="inlineStr">
        <is>
          <t>10 , 535</t>
        </is>
      </c>
      <c r="M107" s="15" t="inlineStr">
        <is>
          <t>);</t>
        </is>
      </c>
      <c r="O107" s="18">
        <f>EXACT(TRIM(C107),F107&amp;"")</f>
        <v/>
      </c>
      <c r="P107" s="18">
        <f>EXACT(TRIM(D107),G107&amp;"")</f>
        <v/>
      </c>
      <c r="Q107" s="18">
        <f>AND(O107:P107)</f>
        <v/>
      </c>
      <c r="R107" s="19">
        <f>TRIM(IF(O107,"",$O$3&amp;" ")&amp;IF(P107,"",$P$3&amp;" "))</f>
        <v/>
      </c>
      <c r="S107" s="18">
        <f>EXACT(SUBSTITUTE(A107," ",""),SUBSTITUTE(I107&amp;J107&amp;K107&amp;L107&amp;M107," ",""))</f>
        <v/>
      </c>
    </row>
    <row r="108">
      <c r="A108" s="15" t="inlineStr">
        <is>
          <t>INSERT INTO CNF_PRF_TBL VALUES(10 , 536);</t>
        </is>
      </c>
      <c r="B108" s="16" t="n"/>
      <c r="C108" s="15" t="inlineStr">
        <is>
          <t xml:space="preserve">10 </t>
        </is>
      </c>
      <c r="D108" s="15" t="inlineStr">
        <is>
          <t xml:space="preserve"> 536</t>
        </is>
      </c>
      <c r="F108" s="17" t="inlineStr">
        <is>
          <t>10</t>
        </is>
      </c>
      <c r="G108" s="17" t="inlineStr">
        <is>
          <t>536</t>
        </is>
      </c>
      <c r="I108" s="15" t="inlineStr">
        <is>
          <t>INSERT INTO</t>
        </is>
      </c>
      <c r="J108" s="15" t="inlineStr">
        <is>
          <t>CNF_PRF_TBL</t>
        </is>
      </c>
      <c r="K108" s="15" t="inlineStr">
        <is>
          <t>VALUES(</t>
        </is>
      </c>
      <c r="L108" s="15" t="inlineStr">
        <is>
          <t>10 , 536</t>
        </is>
      </c>
      <c r="M108" s="15" t="inlineStr">
        <is>
          <t>);</t>
        </is>
      </c>
      <c r="O108" s="18">
        <f>EXACT(TRIM(C108),F108&amp;"")</f>
        <v/>
      </c>
      <c r="P108" s="18">
        <f>EXACT(TRIM(D108),G108&amp;"")</f>
        <v/>
      </c>
      <c r="Q108" s="18">
        <f>AND(O108:P108)</f>
        <v/>
      </c>
      <c r="R108" s="19">
        <f>TRIM(IF(O108,"",$O$3&amp;" ")&amp;IF(P108,"",$P$3&amp;" "))</f>
        <v/>
      </c>
      <c r="S108" s="18">
        <f>EXACT(SUBSTITUTE(A108," ",""),SUBSTITUTE(I108&amp;J108&amp;K108&amp;L108&amp;M108," ",""))</f>
        <v/>
      </c>
    </row>
    <row r="109">
      <c r="A109" s="15" t="inlineStr">
        <is>
          <t>INSERT INTO CNF_PRF_TBL VALUES(10 , 537);</t>
        </is>
      </c>
      <c r="B109" s="16" t="n"/>
      <c r="C109" s="15" t="inlineStr">
        <is>
          <t xml:space="preserve">10 </t>
        </is>
      </c>
      <c r="D109" s="15" t="inlineStr">
        <is>
          <t xml:space="preserve"> 537</t>
        </is>
      </c>
      <c r="F109" s="17" t="inlineStr">
        <is>
          <t>10</t>
        </is>
      </c>
      <c r="G109" s="17" t="inlineStr">
        <is>
          <t>537</t>
        </is>
      </c>
      <c r="I109" s="15" t="inlineStr">
        <is>
          <t>INSERT INTO</t>
        </is>
      </c>
      <c r="J109" s="15" t="inlineStr">
        <is>
          <t>CNF_PRF_TBL</t>
        </is>
      </c>
      <c r="K109" s="15" t="inlineStr">
        <is>
          <t>VALUES(</t>
        </is>
      </c>
      <c r="L109" s="15" t="inlineStr">
        <is>
          <t>10 , 537</t>
        </is>
      </c>
      <c r="M109" s="15" t="inlineStr">
        <is>
          <t>);</t>
        </is>
      </c>
      <c r="O109" s="18">
        <f>EXACT(TRIM(C109),F109&amp;"")</f>
        <v/>
      </c>
      <c r="P109" s="18">
        <f>EXACT(TRIM(D109),G109&amp;"")</f>
        <v/>
      </c>
      <c r="Q109" s="18">
        <f>AND(O109:P109)</f>
        <v/>
      </c>
      <c r="R109" s="19">
        <f>TRIM(IF(O109,"",$O$3&amp;" ")&amp;IF(P109,"",$P$3&amp;" "))</f>
        <v/>
      </c>
      <c r="S109" s="18">
        <f>EXACT(SUBSTITUTE(A109," ",""),SUBSTITUTE(I109&amp;J109&amp;K109&amp;L109&amp;M109," ",""))</f>
        <v/>
      </c>
    </row>
    <row r="110">
      <c r="A110" s="15" t="inlineStr">
        <is>
          <t>INSERT INTO CNF_PRF_TBL VALUES(10 , 538);</t>
        </is>
      </c>
      <c r="B110" s="16" t="n"/>
      <c r="C110" s="15" t="inlineStr">
        <is>
          <t xml:space="preserve">10 </t>
        </is>
      </c>
      <c r="D110" s="15" t="inlineStr">
        <is>
          <t xml:space="preserve"> 538</t>
        </is>
      </c>
      <c r="F110" s="17" t="inlineStr">
        <is>
          <t>10</t>
        </is>
      </c>
      <c r="G110" s="17" t="inlineStr">
        <is>
          <t>538</t>
        </is>
      </c>
      <c r="I110" s="15" t="inlineStr">
        <is>
          <t>INSERT INTO</t>
        </is>
      </c>
      <c r="J110" s="15" t="inlineStr">
        <is>
          <t>CNF_PRF_TBL</t>
        </is>
      </c>
      <c r="K110" s="15" t="inlineStr">
        <is>
          <t>VALUES(</t>
        </is>
      </c>
      <c r="L110" s="15" t="inlineStr">
        <is>
          <t>10 , 538</t>
        </is>
      </c>
      <c r="M110" s="15" t="inlineStr">
        <is>
          <t>);</t>
        </is>
      </c>
      <c r="O110" s="18">
        <f>EXACT(TRIM(C110),F110&amp;"")</f>
        <v/>
      </c>
      <c r="P110" s="18">
        <f>EXACT(TRIM(D110),G110&amp;"")</f>
        <v/>
      </c>
      <c r="Q110" s="18">
        <f>AND(O110:P110)</f>
        <v/>
      </c>
      <c r="R110" s="19">
        <f>TRIM(IF(O110,"",$O$3&amp;" ")&amp;IF(P110,"",$P$3&amp;" "))</f>
        <v/>
      </c>
      <c r="S110" s="18">
        <f>EXACT(SUBSTITUTE(A110," ",""),SUBSTITUTE(I110&amp;J110&amp;K110&amp;L110&amp;M110," ",""))</f>
        <v/>
      </c>
    </row>
    <row r="111">
      <c r="A111" s="15" t="inlineStr">
        <is>
          <t>INSERT INTO CNF_PRF_TBL VALUES(10 , 539);</t>
        </is>
      </c>
      <c r="B111" s="16" t="n"/>
      <c r="C111" s="15" t="inlineStr">
        <is>
          <t xml:space="preserve">10 </t>
        </is>
      </c>
      <c r="D111" s="15" t="inlineStr">
        <is>
          <t xml:space="preserve"> 539</t>
        </is>
      </c>
      <c r="F111" s="17" t="inlineStr">
        <is>
          <t>10</t>
        </is>
      </c>
      <c r="G111" s="17" t="inlineStr">
        <is>
          <t>539</t>
        </is>
      </c>
      <c r="I111" s="15" t="inlineStr">
        <is>
          <t>INSERT INTO</t>
        </is>
      </c>
      <c r="J111" s="15" t="inlineStr">
        <is>
          <t>CNF_PRF_TBL</t>
        </is>
      </c>
      <c r="K111" s="15" t="inlineStr">
        <is>
          <t>VALUES(</t>
        </is>
      </c>
      <c r="L111" s="15" t="inlineStr">
        <is>
          <t>10 , 539</t>
        </is>
      </c>
      <c r="M111" s="15" t="inlineStr">
        <is>
          <t>);</t>
        </is>
      </c>
      <c r="O111" s="18">
        <f>EXACT(TRIM(C111),F111&amp;"")</f>
        <v/>
      </c>
      <c r="P111" s="18">
        <f>EXACT(TRIM(D111),G111&amp;"")</f>
        <v/>
      </c>
      <c r="Q111" s="18">
        <f>AND(O111:P111)</f>
        <v/>
      </c>
      <c r="R111" s="19">
        <f>TRIM(IF(O111,"",$O$3&amp;" ")&amp;IF(P111,"",$P$3&amp;" "))</f>
        <v/>
      </c>
      <c r="S111" s="18">
        <f>EXACT(SUBSTITUTE(A111," ",""),SUBSTITUTE(I111&amp;J111&amp;K111&amp;L111&amp;M111," ",""))</f>
        <v/>
      </c>
    </row>
    <row r="112">
      <c r="A112" s="15" t="inlineStr">
        <is>
          <t>INSERT INTO CNF_PRF_TBL VALUES(10 , 540);</t>
        </is>
      </c>
      <c r="B112" s="16" t="n"/>
      <c r="C112" s="15" t="inlineStr">
        <is>
          <t xml:space="preserve">10 </t>
        </is>
      </c>
      <c r="D112" s="15" t="inlineStr">
        <is>
          <t xml:space="preserve"> 540</t>
        </is>
      </c>
      <c r="F112" s="17" t="inlineStr">
        <is>
          <t>10</t>
        </is>
      </c>
      <c r="G112" s="17" t="inlineStr">
        <is>
          <t>540</t>
        </is>
      </c>
      <c r="I112" s="15" t="inlineStr">
        <is>
          <t>INSERT INTO</t>
        </is>
      </c>
      <c r="J112" s="15" t="inlineStr">
        <is>
          <t>CNF_PRF_TBL</t>
        </is>
      </c>
      <c r="K112" s="15" t="inlineStr">
        <is>
          <t>VALUES(</t>
        </is>
      </c>
      <c r="L112" s="15" t="inlineStr">
        <is>
          <t>10 , 540</t>
        </is>
      </c>
      <c r="M112" s="15" t="inlineStr">
        <is>
          <t>);</t>
        </is>
      </c>
      <c r="O112" s="18">
        <f>EXACT(TRIM(C112),F112&amp;"")</f>
        <v/>
      </c>
      <c r="P112" s="18">
        <f>EXACT(TRIM(D112),G112&amp;"")</f>
        <v/>
      </c>
      <c r="Q112" s="18">
        <f>AND(O112:P112)</f>
        <v/>
      </c>
      <c r="R112" s="19">
        <f>TRIM(IF(O112,"",$O$3&amp;" ")&amp;IF(P112,"",$P$3&amp;" "))</f>
        <v/>
      </c>
      <c r="S112" s="18">
        <f>EXACT(SUBSTITUTE(A112," ",""),SUBSTITUTE(I112&amp;J112&amp;K112&amp;L112&amp;M112," ",""))</f>
        <v/>
      </c>
    </row>
    <row r="113">
      <c r="A113" s="15" t="inlineStr">
        <is>
          <t>INSERT INTO CNF_PRF_TBL VALUES(10 , 541);</t>
        </is>
      </c>
      <c r="B113" s="16" t="n"/>
      <c r="C113" s="15" t="inlineStr">
        <is>
          <t xml:space="preserve">10 </t>
        </is>
      </c>
      <c r="D113" s="15" t="inlineStr">
        <is>
          <t xml:space="preserve"> 541</t>
        </is>
      </c>
      <c r="F113" s="17" t="inlineStr">
        <is>
          <t>10</t>
        </is>
      </c>
      <c r="G113" s="17" t="inlineStr">
        <is>
          <t>541</t>
        </is>
      </c>
      <c r="I113" s="15" t="inlineStr">
        <is>
          <t>INSERT INTO</t>
        </is>
      </c>
      <c r="J113" s="15" t="inlineStr">
        <is>
          <t>CNF_PRF_TBL</t>
        </is>
      </c>
      <c r="K113" s="15" t="inlineStr">
        <is>
          <t>VALUES(</t>
        </is>
      </c>
      <c r="L113" s="15" t="inlineStr">
        <is>
          <t>10 , 541</t>
        </is>
      </c>
      <c r="M113" s="15" t="inlineStr">
        <is>
          <t>);</t>
        </is>
      </c>
      <c r="O113" s="18">
        <f>EXACT(TRIM(C113),F113&amp;"")</f>
        <v/>
      </c>
      <c r="P113" s="18">
        <f>EXACT(TRIM(D113),G113&amp;"")</f>
        <v/>
      </c>
      <c r="Q113" s="18">
        <f>AND(O113:P113)</f>
        <v/>
      </c>
      <c r="R113" s="19">
        <f>TRIM(IF(O113,"",$O$3&amp;" ")&amp;IF(P113,"",$P$3&amp;" "))</f>
        <v/>
      </c>
      <c r="S113" s="18">
        <f>EXACT(SUBSTITUTE(A113," ",""),SUBSTITUTE(I113&amp;J113&amp;K113&amp;L113&amp;M113," ",""))</f>
        <v/>
      </c>
    </row>
    <row r="114">
      <c r="A114" s="15" t="inlineStr">
        <is>
          <t>INSERT INTO CNF_PRF_TBL VALUES(10 , 542);</t>
        </is>
      </c>
      <c r="B114" s="16" t="n"/>
      <c r="C114" s="15" t="inlineStr">
        <is>
          <t xml:space="preserve">10 </t>
        </is>
      </c>
      <c r="D114" s="15" t="inlineStr">
        <is>
          <t xml:space="preserve"> 542</t>
        </is>
      </c>
      <c r="F114" s="17" t="inlineStr">
        <is>
          <t>10</t>
        </is>
      </c>
      <c r="G114" s="17" t="inlineStr">
        <is>
          <t>542</t>
        </is>
      </c>
      <c r="I114" s="15" t="inlineStr">
        <is>
          <t>INSERT INTO</t>
        </is>
      </c>
      <c r="J114" s="15" t="inlineStr">
        <is>
          <t>CNF_PRF_TBL</t>
        </is>
      </c>
      <c r="K114" s="15" t="inlineStr">
        <is>
          <t>VALUES(</t>
        </is>
      </c>
      <c r="L114" s="15" t="inlineStr">
        <is>
          <t>10 , 542</t>
        </is>
      </c>
      <c r="M114" s="15" t="inlineStr">
        <is>
          <t>);</t>
        </is>
      </c>
      <c r="O114" s="18">
        <f>EXACT(TRIM(C114),F114&amp;"")</f>
        <v/>
      </c>
      <c r="P114" s="18">
        <f>EXACT(TRIM(D114),G114&amp;"")</f>
        <v/>
      </c>
      <c r="Q114" s="18">
        <f>AND(O114:P114)</f>
        <v/>
      </c>
      <c r="R114" s="19">
        <f>TRIM(IF(O114,"",$O$3&amp;" ")&amp;IF(P114,"",$P$3&amp;" "))</f>
        <v/>
      </c>
      <c r="S114" s="18">
        <f>EXACT(SUBSTITUTE(A114," ",""),SUBSTITUTE(I114&amp;J114&amp;K114&amp;L114&amp;M114," ",""))</f>
        <v/>
      </c>
    </row>
    <row r="115">
      <c r="A115" s="15" t="inlineStr">
        <is>
          <t>INSERT INTO CNF_PRF_TBL VALUES(10 , 543);</t>
        </is>
      </c>
      <c r="B115" s="16" t="n"/>
      <c r="C115" s="15" t="inlineStr">
        <is>
          <t xml:space="preserve">10 </t>
        </is>
      </c>
      <c r="D115" s="15" t="inlineStr">
        <is>
          <t xml:space="preserve"> 543</t>
        </is>
      </c>
      <c r="F115" s="17" t="inlineStr">
        <is>
          <t>10</t>
        </is>
      </c>
      <c r="G115" s="17" t="inlineStr">
        <is>
          <t>543</t>
        </is>
      </c>
      <c r="I115" s="15" t="inlineStr">
        <is>
          <t>INSERT INTO</t>
        </is>
      </c>
      <c r="J115" s="15" t="inlineStr">
        <is>
          <t>CNF_PRF_TBL</t>
        </is>
      </c>
      <c r="K115" s="15" t="inlineStr">
        <is>
          <t>VALUES(</t>
        </is>
      </c>
      <c r="L115" s="15" t="inlineStr">
        <is>
          <t>10 , 543</t>
        </is>
      </c>
      <c r="M115" s="15" t="inlineStr">
        <is>
          <t>);</t>
        </is>
      </c>
      <c r="O115" s="18">
        <f>EXACT(TRIM(C115),F115&amp;"")</f>
        <v/>
      </c>
      <c r="P115" s="18">
        <f>EXACT(TRIM(D115),G115&amp;"")</f>
        <v/>
      </c>
      <c r="Q115" s="18">
        <f>AND(O115:P115)</f>
        <v/>
      </c>
      <c r="R115" s="19">
        <f>TRIM(IF(O115,"",$O$3&amp;" ")&amp;IF(P115,"",$P$3&amp;" "))</f>
        <v/>
      </c>
      <c r="S115" s="18">
        <f>EXACT(SUBSTITUTE(A115," ",""),SUBSTITUTE(I115&amp;J115&amp;K115&amp;L115&amp;M115," ",""))</f>
        <v/>
      </c>
    </row>
    <row r="116">
      <c r="A116" s="15" t="inlineStr">
        <is>
          <t>INSERT INTO CNF_PRF_TBL VALUES(10 , 544);</t>
        </is>
      </c>
      <c r="B116" s="16" t="n"/>
      <c r="C116" s="15" t="inlineStr">
        <is>
          <t xml:space="preserve">10 </t>
        </is>
      </c>
      <c r="D116" s="15" t="inlineStr">
        <is>
          <t xml:space="preserve"> 544</t>
        </is>
      </c>
      <c r="F116" s="17" t="inlineStr">
        <is>
          <t>10</t>
        </is>
      </c>
      <c r="G116" s="17" t="inlineStr">
        <is>
          <t>544</t>
        </is>
      </c>
      <c r="I116" s="15" t="inlineStr">
        <is>
          <t>INSERT INTO</t>
        </is>
      </c>
      <c r="J116" s="15" t="inlineStr">
        <is>
          <t>CNF_PRF_TBL</t>
        </is>
      </c>
      <c r="K116" s="15" t="inlineStr">
        <is>
          <t>VALUES(</t>
        </is>
      </c>
      <c r="L116" s="15" t="inlineStr">
        <is>
          <t>10 , 544</t>
        </is>
      </c>
      <c r="M116" s="15" t="inlineStr">
        <is>
          <t>);</t>
        </is>
      </c>
      <c r="O116" s="18">
        <f>EXACT(TRIM(C116),F116&amp;"")</f>
        <v/>
      </c>
      <c r="P116" s="18">
        <f>EXACT(TRIM(D116),G116&amp;"")</f>
        <v/>
      </c>
      <c r="Q116" s="18">
        <f>AND(O116:P116)</f>
        <v/>
      </c>
      <c r="R116" s="19">
        <f>TRIM(IF(O116,"",$O$3&amp;" ")&amp;IF(P116,"",$P$3&amp;" "))</f>
        <v/>
      </c>
      <c r="S116" s="18">
        <f>EXACT(SUBSTITUTE(A116," ",""),SUBSTITUTE(I116&amp;J116&amp;K116&amp;L116&amp;M116," ",""))</f>
        <v/>
      </c>
    </row>
    <row r="117">
      <c r="A117" s="15" t="inlineStr">
        <is>
          <t>INSERT INTO CNF_PRF_TBL VALUES(10 , 545);</t>
        </is>
      </c>
      <c r="B117" s="16" t="n"/>
      <c r="C117" s="15" t="inlineStr">
        <is>
          <t xml:space="preserve">10 </t>
        </is>
      </c>
      <c r="D117" s="15" t="inlineStr">
        <is>
          <t xml:space="preserve"> 545</t>
        </is>
      </c>
      <c r="F117" s="17" t="inlineStr">
        <is>
          <t>10</t>
        </is>
      </c>
      <c r="G117" s="17" t="inlineStr">
        <is>
          <t>545</t>
        </is>
      </c>
      <c r="I117" s="15" t="inlineStr">
        <is>
          <t>INSERT INTO</t>
        </is>
      </c>
      <c r="J117" s="15" t="inlineStr">
        <is>
          <t>CNF_PRF_TBL</t>
        </is>
      </c>
      <c r="K117" s="15" t="inlineStr">
        <is>
          <t>VALUES(</t>
        </is>
      </c>
      <c r="L117" s="15" t="inlineStr">
        <is>
          <t>10 , 545</t>
        </is>
      </c>
      <c r="M117" s="15" t="inlineStr">
        <is>
          <t>);</t>
        </is>
      </c>
      <c r="O117" s="18">
        <f>EXACT(TRIM(C117),F117&amp;"")</f>
        <v/>
      </c>
      <c r="P117" s="18">
        <f>EXACT(TRIM(D117),G117&amp;"")</f>
        <v/>
      </c>
      <c r="Q117" s="18">
        <f>AND(O117:P117)</f>
        <v/>
      </c>
      <c r="R117" s="19">
        <f>TRIM(IF(O117,"",$O$3&amp;" ")&amp;IF(P117,"",$P$3&amp;" "))</f>
        <v/>
      </c>
      <c r="S117" s="18">
        <f>EXACT(SUBSTITUTE(A117," ",""),SUBSTITUTE(I117&amp;J117&amp;K117&amp;L117&amp;M117," ",""))</f>
        <v/>
      </c>
    </row>
    <row r="118">
      <c r="A118" s="15" t="inlineStr">
        <is>
          <t>INSERT INTO CNF_PRF_TBL VALUES(10 , 546);</t>
        </is>
      </c>
      <c r="B118" s="16" t="n"/>
      <c r="C118" s="15" t="inlineStr">
        <is>
          <t xml:space="preserve">10 </t>
        </is>
      </c>
      <c r="D118" s="15" t="inlineStr">
        <is>
          <t xml:space="preserve"> 546</t>
        </is>
      </c>
      <c r="F118" s="17" t="inlineStr">
        <is>
          <t>10</t>
        </is>
      </c>
      <c r="G118" s="17" t="inlineStr">
        <is>
          <t>546</t>
        </is>
      </c>
      <c r="I118" s="15" t="inlineStr">
        <is>
          <t>INSERT INTO</t>
        </is>
      </c>
      <c r="J118" s="15" t="inlineStr">
        <is>
          <t>CNF_PRF_TBL</t>
        </is>
      </c>
      <c r="K118" s="15" t="inlineStr">
        <is>
          <t>VALUES(</t>
        </is>
      </c>
      <c r="L118" s="15" t="inlineStr">
        <is>
          <t>10 , 546</t>
        </is>
      </c>
      <c r="M118" s="15" t="inlineStr">
        <is>
          <t>);</t>
        </is>
      </c>
      <c r="O118" s="18">
        <f>EXACT(TRIM(C118),F118&amp;"")</f>
        <v/>
      </c>
      <c r="P118" s="18">
        <f>EXACT(TRIM(D118),G118&amp;"")</f>
        <v/>
      </c>
      <c r="Q118" s="18">
        <f>AND(O118:P118)</f>
        <v/>
      </c>
      <c r="R118" s="19">
        <f>TRIM(IF(O118,"",$O$3&amp;" ")&amp;IF(P118,"",$P$3&amp;" "))</f>
        <v/>
      </c>
      <c r="S118" s="18">
        <f>EXACT(SUBSTITUTE(A118," ",""),SUBSTITUTE(I118&amp;J118&amp;K118&amp;L118&amp;M118," ",""))</f>
        <v/>
      </c>
    </row>
    <row r="119">
      <c r="A119" s="15" t="inlineStr">
        <is>
          <t>INSERT INTO CNF_PRF_TBL VALUES(10 , 547);</t>
        </is>
      </c>
      <c r="B119" s="16" t="n"/>
      <c r="C119" s="15" t="inlineStr">
        <is>
          <t xml:space="preserve">10 </t>
        </is>
      </c>
      <c r="D119" s="15" t="inlineStr">
        <is>
          <t xml:space="preserve"> 547</t>
        </is>
      </c>
      <c r="F119" s="17" t="inlineStr">
        <is>
          <t>10</t>
        </is>
      </c>
      <c r="G119" s="17" t="inlineStr">
        <is>
          <t>547</t>
        </is>
      </c>
      <c r="I119" s="15" t="inlineStr">
        <is>
          <t>INSERT INTO</t>
        </is>
      </c>
      <c r="J119" s="15" t="inlineStr">
        <is>
          <t>CNF_PRF_TBL</t>
        </is>
      </c>
      <c r="K119" s="15" t="inlineStr">
        <is>
          <t>VALUES(</t>
        </is>
      </c>
      <c r="L119" s="15" t="inlineStr">
        <is>
          <t>10 , 547</t>
        </is>
      </c>
      <c r="M119" s="15" t="inlineStr">
        <is>
          <t>);</t>
        </is>
      </c>
      <c r="O119" s="18">
        <f>EXACT(TRIM(C119),F119&amp;"")</f>
        <v/>
      </c>
      <c r="P119" s="18">
        <f>EXACT(TRIM(D119),G119&amp;"")</f>
        <v/>
      </c>
      <c r="Q119" s="18">
        <f>AND(O119:P119)</f>
        <v/>
      </c>
      <c r="R119" s="19">
        <f>TRIM(IF(O119,"",$O$3&amp;" ")&amp;IF(P119,"",$P$3&amp;" "))</f>
        <v/>
      </c>
      <c r="S119" s="18">
        <f>EXACT(SUBSTITUTE(A119," ",""),SUBSTITUTE(I119&amp;J119&amp;K119&amp;L119&amp;M119," ",""))</f>
        <v/>
      </c>
    </row>
    <row r="120">
      <c r="A120" s="15" t="inlineStr">
        <is>
          <t>INSERT INTO CNF_PRF_TBL VALUES(10 , 548);</t>
        </is>
      </c>
      <c r="B120" s="16" t="n"/>
      <c r="C120" s="15" t="inlineStr">
        <is>
          <t xml:space="preserve">10 </t>
        </is>
      </c>
      <c r="D120" s="15" t="inlineStr">
        <is>
          <t xml:space="preserve"> 548</t>
        </is>
      </c>
      <c r="F120" s="17" t="inlineStr">
        <is>
          <t>10</t>
        </is>
      </c>
      <c r="G120" s="17" t="inlineStr">
        <is>
          <t>548</t>
        </is>
      </c>
      <c r="I120" s="15" t="inlineStr">
        <is>
          <t>INSERT INTO</t>
        </is>
      </c>
      <c r="J120" s="15" t="inlineStr">
        <is>
          <t>CNF_PRF_TBL</t>
        </is>
      </c>
      <c r="K120" s="15" t="inlineStr">
        <is>
          <t>VALUES(</t>
        </is>
      </c>
      <c r="L120" s="15" t="inlineStr">
        <is>
          <t>10 , 548</t>
        </is>
      </c>
      <c r="M120" s="15" t="inlineStr">
        <is>
          <t>);</t>
        </is>
      </c>
      <c r="O120" s="18">
        <f>EXACT(TRIM(C120),F120&amp;"")</f>
        <v/>
      </c>
      <c r="P120" s="18">
        <f>EXACT(TRIM(D120),G120&amp;"")</f>
        <v/>
      </c>
      <c r="Q120" s="18">
        <f>AND(O120:P120)</f>
        <v/>
      </c>
      <c r="R120" s="19">
        <f>TRIM(IF(O120,"",$O$3&amp;" ")&amp;IF(P120,"",$P$3&amp;" "))</f>
        <v/>
      </c>
      <c r="S120" s="18">
        <f>EXACT(SUBSTITUTE(A120," ",""),SUBSTITUTE(I120&amp;J120&amp;K120&amp;L120&amp;M120," ",""))</f>
        <v/>
      </c>
    </row>
    <row r="121">
      <c r="A121" s="15" t="inlineStr">
        <is>
          <t>INSERT INTO CNF_PRF_TBL VALUES(10 , 549);</t>
        </is>
      </c>
      <c r="B121" s="16" t="n"/>
      <c r="C121" s="15" t="inlineStr">
        <is>
          <t xml:space="preserve">10 </t>
        </is>
      </c>
      <c r="D121" s="15" t="inlineStr">
        <is>
          <t xml:space="preserve"> 549</t>
        </is>
      </c>
      <c r="F121" s="17" t="inlineStr">
        <is>
          <t>10</t>
        </is>
      </c>
      <c r="G121" s="17" t="inlineStr">
        <is>
          <t>549</t>
        </is>
      </c>
      <c r="I121" s="15" t="inlineStr">
        <is>
          <t>INSERT INTO</t>
        </is>
      </c>
      <c r="J121" s="15" t="inlineStr">
        <is>
          <t>CNF_PRF_TBL</t>
        </is>
      </c>
      <c r="K121" s="15" t="inlineStr">
        <is>
          <t>VALUES(</t>
        </is>
      </c>
      <c r="L121" s="15" t="inlineStr">
        <is>
          <t>10 , 549</t>
        </is>
      </c>
      <c r="M121" s="15" t="inlineStr">
        <is>
          <t>);</t>
        </is>
      </c>
      <c r="O121" s="18">
        <f>EXACT(TRIM(C121),F121&amp;"")</f>
        <v/>
      </c>
      <c r="P121" s="18">
        <f>EXACT(TRIM(D121),G121&amp;"")</f>
        <v/>
      </c>
      <c r="Q121" s="18">
        <f>AND(O121:P121)</f>
        <v/>
      </c>
      <c r="R121" s="19">
        <f>TRIM(IF(O121,"",$O$3&amp;" ")&amp;IF(P121,"",$P$3&amp;" "))</f>
        <v/>
      </c>
      <c r="S121" s="18">
        <f>EXACT(SUBSTITUTE(A121," ",""),SUBSTITUTE(I121&amp;J121&amp;K121&amp;L121&amp;M121," ",""))</f>
        <v/>
      </c>
    </row>
    <row r="122">
      <c r="A122" s="15" t="inlineStr">
        <is>
          <t>INSERT INTO CNF_PRF_TBL VALUES(10 , 550);</t>
        </is>
      </c>
      <c r="B122" s="16" t="n"/>
      <c r="C122" s="15" t="inlineStr">
        <is>
          <t xml:space="preserve">10 </t>
        </is>
      </c>
      <c r="D122" s="15" t="inlineStr">
        <is>
          <t xml:space="preserve"> 550</t>
        </is>
      </c>
      <c r="F122" s="17" t="inlineStr">
        <is>
          <t>10</t>
        </is>
      </c>
      <c r="G122" s="17" t="inlineStr">
        <is>
          <t>550</t>
        </is>
      </c>
      <c r="I122" s="15" t="inlineStr">
        <is>
          <t>INSERT INTO</t>
        </is>
      </c>
      <c r="J122" s="15" t="inlineStr">
        <is>
          <t>CNF_PRF_TBL</t>
        </is>
      </c>
      <c r="K122" s="15" t="inlineStr">
        <is>
          <t>VALUES(</t>
        </is>
      </c>
      <c r="L122" s="15" t="inlineStr">
        <is>
          <t>10 , 550</t>
        </is>
      </c>
      <c r="M122" s="15" t="inlineStr">
        <is>
          <t>);</t>
        </is>
      </c>
      <c r="O122" s="18">
        <f>EXACT(TRIM(C122),F122&amp;"")</f>
        <v/>
      </c>
      <c r="P122" s="18">
        <f>EXACT(TRIM(D122),G122&amp;"")</f>
        <v/>
      </c>
      <c r="Q122" s="18">
        <f>AND(O122:P122)</f>
        <v/>
      </c>
      <c r="R122" s="19">
        <f>TRIM(IF(O122,"",$O$3&amp;" ")&amp;IF(P122,"",$P$3&amp;" "))</f>
        <v/>
      </c>
      <c r="S122" s="18">
        <f>EXACT(SUBSTITUTE(A122," ",""),SUBSTITUTE(I122&amp;J122&amp;K122&amp;L122&amp;M122," ",""))</f>
        <v/>
      </c>
    </row>
    <row r="123">
      <c r="A123" s="15" t="inlineStr">
        <is>
          <t>INSERT INTO CNF_PRF_TBL VALUES(10 , 551);</t>
        </is>
      </c>
      <c r="B123" s="16" t="n"/>
      <c r="C123" s="15" t="inlineStr">
        <is>
          <t xml:space="preserve">10 </t>
        </is>
      </c>
      <c r="D123" s="15" t="inlineStr">
        <is>
          <t xml:space="preserve"> 551</t>
        </is>
      </c>
      <c r="F123" s="17" t="inlineStr">
        <is>
          <t>10</t>
        </is>
      </c>
      <c r="G123" s="17" t="inlineStr">
        <is>
          <t>551</t>
        </is>
      </c>
      <c r="I123" s="15" t="inlineStr">
        <is>
          <t>INSERT INTO</t>
        </is>
      </c>
      <c r="J123" s="15" t="inlineStr">
        <is>
          <t>CNF_PRF_TBL</t>
        </is>
      </c>
      <c r="K123" s="15" t="inlineStr">
        <is>
          <t>VALUES(</t>
        </is>
      </c>
      <c r="L123" s="15" t="inlineStr">
        <is>
          <t>10 , 551</t>
        </is>
      </c>
      <c r="M123" s="15" t="inlineStr">
        <is>
          <t>);</t>
        </is>
      </c>
      <c r="O123" s="18">
        <f>EXACT(TRIM(C123),F123&amp;"")</f>
        <v/>
      </c>
      <c r="P123" s="18">
        <f>EXACT(TRIM(D123),G123&amp;"")</f>
        <v/>
      </c>
      <c r="Q123" s="18">
        <f>AND(O123:P123)</f>
        <v/>
      </c>
      <c r="R123" s="19">
        <f>TRIM(IF(O123,"",$O$3&amp;" ")&amp;IF(P123,"",$P$3&amp;" "))</f>
        <v/>
      </c>
      <c r="S123" s="18">
        <f>EXACT(SUBSTITUTE(A123," ",""),SUBSTITUTE(I123&amp;J123&amp;K123&amp;L123&amp;M123," ",""))</f>
        <v/>
      </c>
    </row>
    <row r="124">
      <c r="A124" s="15" t="inlineStr">
        <is>
          <t>INSERT INTO CNF_PRF_TBL VALUES(10 , 552);</t>
        </is>
      </c>
      <c r="B124" s="16" t="n"/>
      <c r="C124" s="15" t="inlineStr">
        <is>
          <t xml:space="preserve">10 </t>
        </is>
      </c>
      <c r="D124" s="15" t="inlineStr">
        <is>
          <t xml:space="preserve"> 552</t>
        </is>
      </c>
      <c r="F124" s="17" t="inlineStr">
        <is>
          <t>10</t>
        </is>
      </c>
      <c r="G124" s="17" t="inlineStr">
        <is>
          <t>552</t>
        </is>
      </c>
      <c r="I124" s="15" t="inlineStr">
        <is>
          <t>INSERT INTO</t>
        </is>
      </c>
      <c r="J124" s="15" t="inlineStr">
        <is>
          <t>CNF_PRF_TBL</t>
        </is>
      </c>
      <c r="K124" s="15" t="inlineStr">
        <is>
          <t>VALUES(</t>
        </is>
      </c>
      <c r="L124" s="15" t="inlineStr">
        <is>
          <t>10 , 552</t>
        </is>
      </c>
      <c r="M124" s="15" t="inlineStr">
        <is>
          <t>);</t>
        </is>
      </c>
      <c r="O124" s="18">
        <f>EXACT(TRIM(C124),F124&amp;"")</f>
        <v/>
      </c>
      <c r="P124" s="18">
        <f>EXACT(TRIM(D124),G124&amp;"")</f>
        <v/>
      </c>
      <c r="Q124" s="18">
        <f>AND(O124:P124)</f>
        <v/>
      </c>
      <c r="R124" s="19">
        <f>TRIM(IF(O124,"",$O$3&amp;" ")&amp;IF(P124,"",$P$3&amp;" "))</f>
        <v/>
      </c>
      <c r="S124" s="18">
        <f>EXACT(SUBSTITUTE(A124," ",""),SUBSTITUTE(I124&amp;J124&amp;K124&amp;L124&amp;M124," ",""))</f>
        <v/>
      </c>
    </row>
    <row r="125">
      <c r="A125" s="15" t="inlineStr">
        <is>
          <t>INSERT INTO CNF_PRF_TBL VALUES(10 , 553);</t>
        </is>
      </c>
      <c r="B125" s="16" t="n"/>
      <c r="C125" s="15" t="inlineStr">
        <is>
          <t xml:space="preserve">10 </t>
        </is>
      </c>
      <c r="D125" s="15" t="inlineStr">
        <is>
          <t xml:space="preserve"> 553</t>
        </is>
      </c>
      <c r="F125" s="17" t="inlineStr">
        <is>
          <t>10</t>
        </is>
      </c>
      <c r="G125" s="17" t="inlineStr">
        <is>
          <t>553</t>
        </is>
      </c>
      <c r="I125" s="15" t="inlineStr">
        <is>
          <t>INSERT INTO</t>
        </is>
      </c>
      <c r="J125" s="15" t="inlineStr">
        <is>
          <t>CNF_PRF_TBL</t>
        </is>
      </c>
      <c r="K125" s="15" t="inlineStr">
        <is>
          <t>VALUES(</t>
        </is>
      </c>
      <c r="L125" s="15" t="inlineStr">
        <is>
          <t>10 , 553</t>
        </is>
      </c>
      <c r="M125" s="15" t="inlineStr">
        <is>
          <t>);</t>
        </is>
      </c>
      <c r="O125" s="18">
        <f>EXACT(TRIM(C125),F125&amp;"")</f>
        <v/>
      </c>
      <c r="P125" s="18">
        <f>EXACT(TRIM(D125),G125&amp;"")</f>
        <v/>
      </c>
      <c r="Q125" s="18">
        <f>AND(O125:P125)</f>
        <v/>
      </c>
      <c r="R125" s="19">
        <f>TRIM(IF(O125,"",$O$3&amp;" ")&amp;IF(P125,"",$P$3&amp;" "))</f>
        <v/>
      </c>
      <c r="S125" s="18">
        <f>EXACT(SUBSTITUTE(A125," ",""),SUBSTITUTE(I125&amp;J125&amp;K125&amp;L125&amp;M125," ",""))</f>
        <v/>
      </c>
    </row>
    <row r="126">
      <c r="A126" s="15" t="inlineStr">
        <is>
          <t>INSERT INTO CNF_PRF_TBL VALUES(10 , 554);</t>
        </is>
      </c>
      <c r="B126" s="16" t="n"/>
      <c r="C126" s="15" t="inlineStr">
        <is>
          <t xml:space="preserve">10 </t>
        </is>
      </c>
      <c r="D126" s="15" t="inlineStr">
        <is>
          <t xml:space="preserve"> 554</t>
        </is>
      </c>
      <c r="F126" s="17" t="inlineStr">
        <is>
          <t>10</t>
        </is>
      </c>
      <c r="G126" s="17" t="inlineStr">
        <is>
          <t>554</t>
        </is>
      </c>
      <c r="I126" s="15" t="inlineStr">
        <is>
          <t>INSERT INTO</t>
        </is>
      </c>
      <c r="J126" s="15" t="inlineStr">
        <is>
          <t>CNF_PRF_TBL</t>
        </is>
      </c>
      <c r="K126" s="15" t="inlineStr">
        <is>
          <t>VALUES(</t>
        </is>
      </c>
      <c r="L126" s="15" t="inlineStr">
        <is>
          <t>10 , 554</t>
        </is>
      </c>
      <c r="M126" s="15" t="inlineStr">
        <is>
          <t>);</t>
        </is>
      </c>
      <c r="O126" s="18">
        <f>EXACT(TRIM(C126),F126&amp;"")</f>
        <v/>
      </c>
      <c r="P126" s="18">
        <f>EXACT(TRIM(D126),G126&amp;"")</f>
        <v/>
      </c>
      <c r="Q126" s="18">
        <f>AND(O126:P126)</f>
        <v/>
      </c>
      <c r="R126" s="19">
        <f>TRIM(IF(O126,"",$O$3&amp;" ")&amp;IF(P126,"",$P$3&amp;" "))</f>
        <v/>
      </c>
      <c r="S126" s="18">
        <f>EXACT(SUBSTITUTE(A126," ",""),SUBSTITUTE(I126&amp;J126&amp;K126&amp;L126&amp;M126," ",""))</f>
        <v/>
      </c>
    </row>
    <row r="127">
      <c r="A127" s="15" t="inlineStr">
        <is>
          <t>INSERT INTO CNF_PRF_TBL VALUES(10 , 555);</t>
        </is>
      </c>
      <c r="B127" s="16" t="n"/>
      <c r="C127" s="15" t="inlineStr">
        <is>
          <t xml:space="preserve">10 </t>
        </is>
      </c>
      <c r="D127" s="15" t="inlineStr">
        <is>
          <t xml:space="preserve"> 555</t>
        </is>
      </c>
      <c r="F127" s="17" t="inlineStr">
        <is>
          <t>10</t>
        </is>
      </c>
      <c r="G127" s="17" t="inlineStr">
        <is>
          <t>555</t>
        </is>
      </c>
      <c r="I127" s="15" t="inlineStr">
        <is>
          <t>INSERT INTO</t>
        </is>
      </c>
      <c r="J127" s="15" t="inlineStr">
        <is>
          <t>CNF_PRF_TBL</t>
        </is>
      </c>
      <c r="K127" s="15" t="inlineStr">
        <is>
          <t>VALUES(</t>
        </is>
      </c>
      <c r="L127" s="15" t="inlineStr">
        <is>
          <t>10 , 555</t>
        </is>
      </c>
      <c r="M127" s="15" t="inlineStr">
        <is>
          <t>);</t>
        </is>
      </c>
      <c r="O127" s="18">
        <f>EXACT(TRIM(C127),F127&amp;"")</f>
        <v/>
      </c>
      <c r="P127" s="18">
        <f>EXACT(TRIM(D127),G127&amp;"")</f>
        <v/>
      </c>
      <c r="Q127" s="18">
        <f>AND(O127:P127)</f>
        <v/>
      </c>
      <c r="R127" s="19">
        <f>TRIM(IF(O127,"",$O$3&amp;" ")&amp;IF(P127,"",$P$3&amp;" "))</f>
        <v/>
      </c>
      <c r="S127" s="18">
        <f>EXACT(SUBSTITUTE(A127," ",""),SUBSTITUTE(I127&amp;J127&amp;K127&amp;L127&amp;M127," ",""))</f>
        <v/>
      </c>
    </row>
    <row r="128">
      <c r="A128" s="15" t="inlineStr">
        <is>
          <t>INSERT INTO CNF_PRF_TBL VALUES(10 , 556);</t>
        </is>
      </c>
      <c r="B128" s="16" t="n"/>
      <c r="C128" s="15" t="inlineStr">
        <is>
          <t xml:space="preserve">10 </t>
        </is>
      </c>
      <c r="D128" s="15" t="inlineStr">
        <is>
          <t xml:space="preserve"> 556</t>
        </is>
      </c>
      <c r="F128" s="17" t="inlineStr">
        <is>
          <t>10</t>
        </is>
      </c>
      <c r="G128" s="17" t="inlineStr">
        <is>
          <t>556</t>
        </is>
      </c>
      <c r="I128" s="15" t="inlineStr">
        <is>
          <t>INSERT INTO</t>
        </is>
      </c>
      <c r="J128" s="15" t="inlineStr">
        <is>
          <t>CNF_PRF_TBL</t>
        </is>
      </c>
      <c r="K128" s="15" t="inlineStr">
        <is>
          <t>VALUES(</t>
        </is>
      </c>
      <c r="L128" s="15" t="inlineStr">
        <is>
          <t>10 , 556</t>
        </is>
      </c>
      <c r="M128" s="15" t="inlineStr">
        <is>
          <t>);</t>
        </is>
      </c>
      <c r="O128" s="18">
        <f>EXACT(TRIM(C128),F128&amp;"")</f>
        <v/>
      </c>
      <c r="P128" s="18">
        <f>EXACT(TRIM(D128),G128&amp;"")</f>
        <v/>
      </c>
      <c r="Q128" s="18">
        <f>AND(O128:P128)</f>
        <v/>
      </c>
      <c r="R128" s="19">
        <f>TRIM(IF(O128,"",$O$3&amp;" ")&amp;IF(P128,"",$P$3&amp;" "))</f>
        <v/>
      </c>
      <c r="S128" s="18">
        <f>EXACT(SUBSTITUTE(A128," ",""),SUBSTITUTE(I128&amp;J128&amp;K128&amp;L128&amp;M128," ",""))</f>
        <v/>
      </c>
    </row>
    <row r="129">
      <c r="A129" s="15" t="inlineStr">
        <is>
          <t>INSERT INTO CNF_PRF_TBL VALUES(10 , 557);</t>
        </is>
      </c>
      <c r="B129" s="16" t="n"/>
      <c r="C129" s="15" t="inlineStr">
        <is>
          <t xml:space="preserve">10 </t>
        </is>
      </c>
      <c r="D129" s="15" t="inlineStr">
        <is>
          <t xml:space="preserve"> 557</t>
        </is>
      </c>
      <c r="F129" s="17" t="inlineStr">
        <is>
          <t>10</t>
        </is>
      </c>
      <c r="G129" s="17" t="inlineStr">
        <is>
          <t>557</t>
        </is>
      </c>
      <c r="I129" s="15" t="inlineStr">
        <is>
          <t>INSERT INTO</t>
        </is>
      </c>
      <c r="J129" s="15" t="inlineStr">
        <is>
          <t>CNF_PRF_TBL</t>
        </is>
      </c>
      <c r="K129" s="15" t="inlineStr">
        <is>
          <t>VALUES(</t>
        </is>
      </c>
      <c r="L129" s="15" t="inlineStr">
        <is>
          <t>10 , 557</t>
        </is>
      </c>
      <c r="M129" s="15" t="inlineStr">
        <is>
          <t>);</t>
        </is>
      </c>
      <c r="O129" s="18">
        <f>EXACT(TRIM(C129),F129&amp;"")</f>
        <v/>
      </c>
      <c r="P129" s="18">
        <f>EXACT(TRIM(D129),G129&amp;"")</f>
        <v/>
      </c>
      <c r="Q129" s="18">
        <f>AND(O129:P129)</f>
        <v/>
      </c>
      <c r="R129" s="19">
        <f>TRIM(IF(O129,"",$O$3&amp;" ")&amp;IF(P129,"",$P$3&amp;" "))</f>
        <v/>
      </c>
      <c r="S129" s="18">
        <f>EXACT(SUBSTITUTE(A129," ",""),SUBSTITUTE(I129&amp;J129&amp;K129&amp;L129&amp;M129," ",""))</f>
        <v/>
      </c>
    </row>
    <row r="130">
      <c r="A130" s="15" t="inlineStr">
        <is>
          <t>INSERT INTO CNF_PRF_TBL VALUES(10 , 558);</t>
        </is>
      </c>
      <c r="B130" s="16" t="n"/>
      <c r="C130" s="15" t="inlineStr">
        <is>
          <t xml:space="preserve">10 </t>
        </is>
      </c>
      <c r="D130" s="15" t="inlineStr">
        <is>
          <t xml:space="preserve"> 558</t>
        </is>
      </c>
      <c r="F130" s="17" t="inlineStr">
        <is>
          <t>10</t>
        </is>
      </c>
      <c r="G130" s="17" t="inlineStr">
        <is>
          <t>558</t>
        </is>
      </c>
      <c r="I130" s="15" t="inlineStr">
        <is>
          <t>INSERT INTO</t>
        </is>
      </c>
      <c r="J130" s="15" t="inlineStr">
        <is>
          <t>CNF_PRF_TBL</t>
        </is>
      </c>
      <c r="K130" s="15" t="inlineStr">
        <is>
          <t>VALUES(</t>
        </is>
      </c>
      <c r="L130" s="15" t="inlineStr">
        <is>
          <t>10 , 558</t>
        </is>
      </c>
      <c r="M130" s="15" t="inlineStr">
        <is>
          <t>);</t>
        </is>
      </c>
      <c r="O130" s="18">
        <f>EXACT(TRIM(C130),F130&amp;"")</f>
        <v/>
      </c>
      <c r="P130" s="18">
        <f>EXACT(TRIM(D130),G130&amp;"")</f>
        <v/>
      </c>
      <c r="Q130" s="18">
        <f>AND(O130:P130)</f>
        <v/>
      </c>
      <c r="R130" s="19">
        <f>TRIM(IF(O130,"",$O$3&amp;" ")&amp;IF(P130,"",$P$3&amp;" "))</f>
        <v/>
      </c>
      <c r="S130" s="18">
        <f>EXACT(SUBSTITUTE(A130," ",""),SUBSTITUTE(I130&amp;J130&amp;K130&amp;L130&amp;M130," ",""))</f>
        <v/>
      </c>
    </row>
    <row r="131">
      <c r="A131" s="15" t="inlineStr">
        <is>
          <t>INSERT INTO CNF_PRF_TBL VALUES(10 , 559);</t>
        </is>
      </c>
      <c r="B131" s="16" t="n"/>
      <c r="C131" s="15" t="inlineStr">
        <is>
          <t xml:space="preserve">10 </t>
        </is>
      </c>
      <c r="D131" s="15" t="inlineStr">
        <is>
          <t xml:space="preserve"> 559</t>
        </is>
      </c>
      <c r="F131" s="17" t="inlineStr">
        <is>
          <t>10</t>
        </is>
      </c>
      <c r="G131" s="17" t="inlineStr">
        <is>
          <t>559</t>
        </is>
      </c>
      <c r="I131" s="15" t="inlineStr">
        <is>
          <t>INSERT INTO</t>
        </is>
      </c>
      <c r="J131" s="15" t="inlineStr">
        <is>
          <t>CNF_PRF_TBL</t>
        </is>
      </c>
      <c r="K131" s="15" t="inlineStr">
        <is>
          <t>VALUES(</t>
        </is>
      </c>
      <c r="L131" s="15" t="inlineStr">
        <is>
          <t>10 , 559</t>
        </is>
      </c>
      <c r="M131" s="15" t="inlineStr">
        <is>
          <t>);</t>
        </is>
      </c>
      <c r="O131" s="18">
        <f>EXACT(TRIM(C131),F131&amp;"")</f>
        <v/>
      </c>
      <c r="P131" s="18">
        <f>EXACT(TRIM(D131),G131&amp;"")</f>
        <v/>
      </c>
      <c r="Q131" s="18">
        <f>AND(O131:P131)</f>
        <v/>
      </c>
      <c r="R131" s="19">
        <f>TRIM(IF(O131,"",$O$3&amp;" ")&amp;IF(P131,"",$P$3&amp;" "))</f>
        <v/>
      </c>
      <c r="S131" s="18">
        <f>EXACT(SUBSTITUTE(A131," ",""),SUBSTITUTE(I131&amp;J131&amp;K131&amp;L131&amp;M131," ",""))</f>
        <v/>
      </c>
    </row>
    <row r="132">
      <c r="A132" s="15" t="inlineStr">
        <is>
          <t>INSERT INTO CNF_PRF_TBL VALUES(10 , 560);</t>
        </is>
      </c>
      <c r="B132" s="16" t="n"/>
      <c r="C132" s="15" t="inlineStr">
        <is>
          <t xml:space="preserve">10 </t>
        </is>
      </c>
      <c r="D132" s="15" t="inlineStr">
        <is>
          <t xml:space="preserve"> 560</t>
        </is>
      </c>
      <c r="F132" s="17" t="inlineStr">
        <is>
          <t>10</t>
        </is>
      </c>
      <c r="G132" s="17" t="inlineStr">
        <is>
          <t>560</t>
        </is>
      </c>
      <c r="I132" s="15" t="inlineStr">
        <is>
          <t>INSERT INTO</t>
        </is>
      </c>
      <c r="J132" s="15" t="inlineStr">
        <is>
          <t>CNF_PRF_TBL</t>
        </is>
      </c>
      <c r="K132" s="15" t="inlineStr">
        <is>
          <t>VALUES(</t>
        </is>
      </c>
      <c r="L132" s="15" t="inlineStr">
        <is>
          <t>10 , 560</t>
        </is>
      </c>
      <c r="M132" s="15" t="inlineStr">
        <is>
          <t>);</t>
        </is>
      </c>
      <c r="O132" s="18">
        <f>EXACT(TRIM(C132),F132&amp;"")</f>
        <v/>
      </c>
      <c r="P132" s="18">
        <f>EXACT(TRIM(D132),G132&amp;"")</f>
        <v/>
      </c>
      <c r="Q132" s="18">
        <f>AND(O132:P132)</f>
        <v/>
      </c>
      <c r="R132" s="19">
        <f>TRIM(IF(O132,"",$O$3&amp;" ")&amp;IF(P132,"",$P$3&amp;" "))</f>
        <v/>
      </c>
      <c r="S132" s="18">
        <f>EXACT(SUBSTITUTE(A132," ",""),SUBSTITUTE(I132&amp;J132&amp;K132&amp;L132&amp;M132," ",""))</f>
        <v/>
      </c>
    </row>
    <row r="133">
      <c r="A133" s="15" t="inlineStr">
        <is>
          <t>INSERT INTO CNF_PRF_TBL VALUES(10 , 561);</t>
        </is>
      </c>
      <c r="B133" s="16" t="n"/>
      <c r="C133" s="15" t="inlineStr">
        <is>
          <t xml:space="preserve">10 </t>
        </is>
      </c>
      <c r="D133" s="15" t="inlineStr">
        <is>
          <t xml:space="preserve"> 561</t>
        </is>
      </c>
      <c r="F133" s="17" t="inlineStr">
        <is>
          <t>10</t>
        </is>
      </c>
      <c r="G133" s="17" t="inlineStr">
        <is>
          <t>561</t>
        </is>
      </c>
      <c r="I133" s="15" t="inlineStr">
        <is>
          <t>INSERT INTO</t>
        </is>
      </c>
      <c r="J133" s="15" t="inlineStr">
        <is>
          <t>CNF_PRF_TBL</t>
        </is>
      </c>
      <c r="K133" s="15" t="inlineStr">
        <is>
          <t>VALUES(</t>
        </is>
      </c>
      <c r="L133" s="15" t="inlineStr">
        <is>
          <t>10 , 561</t>
        </is>
      </c>
      <c r="M133" s="15" t="inlineStr">
        <is>
          <t>);</t>
        </is>
      </c>
      <c r="O133" s="18">
        <f>EXACT(TRIM(C133),F133&amp;"")</f>
        <v/>
      </c>
      <c r="P133" s="18">
        <f>EXACT(TRIM(D133),G133&amp;"")</f>
        <v/>
      </c>
      <c r="Q133" s="18">
        <f>AND(O133:P133)</f>
        <v/>
      </c>
      <c r="R133" s="19">
        <f>TRIM(IF(O133,"",$O$3&amp;" ")&amp;IF(P133,"",$P$3&amp;" "))</f>
        <v/>
      </c>
      <c r="S133" s="18">
        <f>EXACT(SUBSTITUTE(A133," ",""),SUBSTITUTE(I133&amp;J133&amp;K133&amp;L133&amp;M133," ",""))</f>
        <v/>
      </c>
    </row>
    <row r="134">
      <c r="A134" s="15" t="inlineStr">
        <is>
          <t>INSERT INTO CNF_PRF_TBL VALUES(10 , 562);</t>
        </is>
      </c>
      <c r="B134" s="16" t="n"/>
      <c r="C134" s="15" t="inlineStr">
        <is>
          <t xml:space="preserve">10 </t>
        </is>
      </c>
      <c r="D134" s="15" t="inlineStr">
        <is>
          <t xml:space="preserve"> 562</t>
        </is>
      </c>
      <c r="F134" s="17" t="inlineStr">
        <is>
          <t>10</t>
        </is>
      </c>
      <c r="G134" s="17" t="inlineStr">
        <is>
          <t>562</t>
        </is>
      </c>
      <c r="I134" s="15" t="inlineStr">
        <is>
          <t>INSERT INTO</t>
        </is>
      </c>
      <c r="J134" s="15" t="inlineStr">
        <is>
          <t>CNF_PRF_TBL</t>
        </is>
      </c>
      <c r="K134" s="15" t="inlineStr">
        <is>
          <t>VALUES(</t>
        </is>
      </c>
      <c r="L134" s="15" t="inlineStr">
        <is>
          <t>10 , 562</t>
        </is>
      </c>
      <c r="M134" s="15" t="inlineStr">
        <is>
          <t>);</t>
        </is>
      </c>
      <c r="O134" s="18">
        <f>EXACT(TRIM(C134),F134&amp;"")</f>
        <v/>
      </c>
      <c r="P134" s="18">
        <f>EXACT(TRIM(D134),G134&amp;"")</f>
        <v/>
      </c>
      <c r="Q134" s="18">
        <f>AND(O134:P134)</f>
        <v/>
      </c>
      <c r="R134" s="19">
        <f>TRIM(IF(O134,"",$O$3&amp;" ")&amp;IF(P134,"",$P$3&amp;" "))</f>
        <v/>
      </c>
      <c r="S134" s="18">
        <f>EXACT(SUBSTITUTE(A134," ",""),SUBSTITUTE(I134&amp;J134&amp;K134&amp;L134&amp;M134," ",""))</f>
        <v/>
      </c>
    </row>
    <row r="135">
      <c r="A135" s="15" t="inlineStr">
        <is>
          <t>INSERT INTO CNF_PRF_TBL VALUES(10 , 563);</t>
        </is>
      </c>
      <c r="B135" s="16" t="n"/>
      <c r="C135" s="15" t="inlineStr">
        <is>
          <t xml:space="preserve">10 </t>
        </is>
      </c>
      <c r="D135" s="15" t="inlineStr">
        <is>
          <t xml:space="preserve"> 563</t>
        </is>
      </c>
      <c r="F135" s="17" t="inlineStr">
        <is>
          <t>10</t>
        </is>
      </c>
      <c r="G135" s="17" t="inlineStr">
        <is>
          <t>563</t>
        </is>
      </c>
      <c r="I135" s="15" t="inlineStr">
        <is>
          <t>INSERT INTO</t>
        </is>
      </c>
      <c r="J135" s="15" t="inlineStr">
        <is>
          <t>CNF_PRF_TBL</t>
        </is>
      </c>
      <c r="K135" s="15" t="inlineStr">
        <is>
          <t>VALUES(</t>
        </is>
      </c>
      <c r="L135" s="15" t="inlineStr">
        <is>
          <t>10 , 563</t>
        </is>
      </c>
      <c r="M135" s="15" t="inlineStr">
        <is>
          <t>);</t>
        </is>
      </c>
      <c r="O135" s="18">
        <f>EXACT(TRIM(C135),F135&amp;"")</f>
        <v/>
      </c>
      <c r="P135" s="18">
        <f>EXACT(TRIM(D135),G135&amp;"")</f>
        <v/>
      </c>
      <c r="Q135" s="18">
        <f>AND(O135:P135)</f>
        <v/>
      </c>
      <c r="R135" s="19">
        <f>TRIM(IF(O135,"",$O$3&amp;" ")&amp;IF(P135,"",$P$3&amp;" "))</f>
        <v/>
      </c>
      <c r="S135" s="18">
        <f>EXACT(SUBSTITUTE(A135," ",""),SUBSTITUTE(I135&amp;J135&amp;K135&amp;L135&amp;M135," ",""))</f>
        <v/>
      </c>
    </row>
    <row r="136">
      <c r="A136" s="15" t="inlineStr">
        <is>
          <t>INSERT INTO CNF_PRF_TBL VALUES(10 , 564);</t>
        </is>
      </c>
      <c r="B136" s="16" t="n"/>
      <c r="C136" s="15" t="inlineStr">
        <is>
          <t xml:space="preserve">10 </t>
        </is>
      </c>
      <c r="D136" s="15" t="inlineStr">
        <is>
          <t xml:space="preserve"> 564</t>
        </is>
      </c>
      <c r="F136" s="17" t="inlineStr">
        <is>
          <t>10</t>
        </is>
      </c>
      <c r="G136" s="17" t="inlineStr">
        <is>
          <t>564</t>
        </is>
      </c>
      <c r="I136" s="15" t="inlineStr">
        <is>
          <t>INSERT INTO</t>
        </is>
      </c>
      <c r="J136" s="15" t="inlineStr">
        <is>
          <t>CNF_PRF_TBL</t>
        </is>
      </c>
      <c r="K136" s="15" t="inlineStr">
        <is>
          <t>VALUES(</t>
        </is>
      </c>
      <c r="L136" s="15" t="inlineStr">
        <is>
          <t>10 , 564</t>
        </is>
      </c>
      <c r="M136" s="15" t="inlineStr">
        <is>
          <t>);</t>
        </is>
      </c>
      <c r="O136" s="18">
        <f>EXACT(TRIM(C136),F136&amp;"")</f>
        <v/>
      </c>
      <c r="P136" s="18">
        <f>EXACT(TRIM(D136),G136&amp;"")</f>
        <v/>
      </c>
      <c r="Q136" s="18">
        <f>AND(O136:P136)</f>
        <v/>
      </c>
      <c r="R136" s="19">
        <f>TRIM(IF(O136,"",$O$3&amp;" ")&amp;IF(P136,"",$P$3&amp;" "))</f>
        <v/>
      </c>
      <c r="S136" s="18">
        <f>EXACT(SUBSTITUTE(A136," ",""),SUBSTITUTE(I136&amp;J136&amp;K136&amp;L136&amp;M136," ",""))</f>
        <v/>
      </c>
    </row>
    <row r="137">
      <c r="A137" s="15" t="inlineStr">
        <is>
          <t>INSERT INTO CNF_PRF_TBL VALUES(10 , 565);</t>
        </is>
      </c>
      <c r="B137" s="16" t="n"/>
      <c r="C137" s="15" t="inlineStr">
        <is>
          <t xml:space="preserve">10 </t>
        </is>
      </c>
      <c r="D137" s="15" t="inlineStr">
        <is>
          <t xml:space="preserve"> 565</t>
        </is>
      </c>
      <c r="F137" s="17" t="inlineStr">
        <is>
          <t>10</t>
        </is>
      </c>
      <c r="G137" s="17" t="inlineStr">
        <is>
          <t>565</t>
        </is>
      </c>
      <c r="I137" s="15" t="inlineStr">
        <is>
          <t>INSERT INTO</t>
        </is>
      </c>
      <c r="J137" s="15" t="inlineStr">
        <is>
          <t>CNF_PRF_TBL</t>
        </is>
      </c>
      <c r="K137" s="15" t="inlineStr">
        <is>
          <t>VALUES(</t>
        </is>
      </c>
      <c r="L137" s="15" t="inlineStr">
        <is>
          <t>10 , 565</t>
        </is>
      </c>
      <c r="M137" s="15" t="inlineStr">
        <is>
          <t>);</t>
        </is>
      </c>
      <c r="O137" s="18">
        <f>EXACT(TRIM(C137),F137&amp;"")</f>
        <v/>
      </c>
      <c r="P137" s="18">
        <f>EXACT(TRIM(D137),G137&amp;"")</f>
        <v/>
      </c>
      <c r="Q137" s="18">
        <f>AND(O137:P137)</f>
        <v/>
      </c>
      <c r="R137" s="19">
        <f>TRIM(IF(O137,"",$O$3&amp;" ")&amp;IF(P137,"",$P$3&amp;" "))</f>
        <v/>
      </c>
      <c r="S137" s="18">
        <f>EXACT(SUBSTITUTE(A137," ",""),SUBSTITUTE(I137&amp;J137&amp;K137&amp;L137&amp;M137," ",""))</f>
        <v/>
      </c>
    </row>
    <row r="138">
      <c r="A138" s="15" t="inlineStr">
        <is>
          <t>INSERT INTO CNF_PRF_TBL VALUES(10 , 566);</t>
        </is>
      </c>
      <c r="B138" s="16" t="n"/>
      <c r="C138" s="15" t="inlineStr">
        <is>
          <t xml:space="preserve">10 </t>
        </is>
      </c>
      <c r="D138" s="15" t="inlineStr">
        <is>
          <t xml:space="preserve"> 566</t>
        </is>
      </c>
      <c r="F138" s="17" t="inlineStr">
        <is>
          <t>10</t>
        </is>
      </c>
      <c r="G138" s="17" t="inlineStr">
        <is>
          <t>566</t>
        </is>
      </c>
      <c r="I138" s="15" t="inlineStr">
        <is>
          <t>INSERT INTO</t>
        </is>
      </c>
      <c r="J138" s="15" t="inlineStr">
        <is>
          <t>CNF_PRF_TBL</t>
        </is>
      </c>
      <c r="K138" s="15" t="inlineStr">
        <is>
          <t>VALUES(</t>
        </is>
      </c>
      <c r="L138" s="15" t="inlineStr">
        <is>
          <t>10 , 566</t>
        </is>
      </c>
      <c r="M138" s="15" t="inlineStr">
        <is>
          <t>);</t>
        </is>
      </c>
      <c r="O138" s="18">
        <f>EXACT(TRIM(C138),F138&amp;"")</f>
        <v/>
      </c>
      <c r="P138" s="18">
        <f>EXACT(TRIM(D138),G138&amp;"")</f>
        <v/>
      </c>
      <c r="Q138" s="18">
        <f>AND(O138:P138)</f>
        <v/>
      </c>
      <c r="R138" s="19">
        <f>TRIM(IF(O138,"",$O$3&amp;" ")&amp;IF(P138,"",$P$3&amp;" "))</f>
        <v/>
      </c>
      <c r="S138" s="18">
        <f>EXACT(SUBSTITUTE(A138," ",""),SUBSTITUTE(I138&amp;J138&amp;K138&amp;L138&amp;M138," ",""))</f>
        <v/>
      </c>
    </row>
    <row r="139">
      <c r="A139" s="15" t="inlineStr">
        <is>
          <t>INSERT INTO CNF_PRF_TBL VALUES(10 , 567);</t>
        </is>
      </c>
      <c r="B139" s="16" t="n"/>
      <c r="C139" s="15" t="inlineStr">
        <is>
          <t xml:space="preserve">10 </t>
        </is>
      </c>
      <c r="D139" s="15" t="inlineStr">
        <is>
          <t xml:space="preserve"> 567</t>
        </is>
      </c>
      <c r="F139" s="17" t="inlineStr">
        <is>
          <t>10</t>
        </is>
      </c>
      <c r="G139" s="17" t="inlineStr">
        <is>
          <t>567</t>
        </is>
      </c>
      <c r="I139" s="15" t="inlineStr">
        <is>
          <t>INSERT INTO</t>
        </is>
      </c>
      <c r="J139" s="15" t="inlineStr">
        <is>
          <t>CNF_PRF_TBL</t>
        </is>
      </c>
      <c r="K139" s="15" t="inlineStr">
        <is>
          <t>VALUES(</t>
        </is>
      </c>
      <c r="L139" s="15" t="inlineStr">
        <is>
          <t>10 , 567</t>
        </is>
      </c>
      <c r="M139" s="15" t="inlineStr">
        <is>
          <t>);</t>
        </is>
      </c>
      <c r="O139" s="18">
        <f>EXACT(TRIM(C139),F139&amp;"")</f>
        <v/>
      </c>
      <c r="P139" s="18">
        <f>EXACT(TRIM(D139),G139&amp;"")</f>
        <v/>
      </c>
      <c r="Q139" s="18">
        <f>AND(O139:P139)</f>
        <v/>
      </c>
      <c r="R139" s="19">
        <f>TRIM(IF(O139,"",$O$3&amp;" ")&amp;IF(P139,"",$P$3&amp;" "))</f>
        <v/>
      </c>
      <c r="S139" s="18">
        <f>EXACT(SUBSTITUTE(A139," ",""),SUBSTITUTE(I139&amp;J139&amp;K139&amp;L139&amp;M139," ",""))</f>
        <v/>
      </c>
    </row>
    <row r="140">
      <c r="A140" s="15" t="inlineStr">
        <is>
          <t>INSERT INTO CNF_PRF_TBL VALUES(10 , 568);</t>
        </is>
      </c>
      <c r="B140" s="16" t="n"/>
      <c r="C140" s="15" t="inlineStr">
        <is>
          <t xml:space="preserve">10 </t>
        </is>
      </c>
      <c r="D140" s="15" t="inlineStr">
        <is>
          <t xml:space="preserve"> 568</t>
        </is>
      </c>
      <c r="F140" s="17" t="inlineStr">
        <is>
          <t>10</t>
        </is>
      </c>
      <c r="G140" s="17" t="inlineStr">
        <is>
          <t>568</t>
        </is>
      </c>
      <c r="I140" s="15" t="inlineStr">
        <is>
          <t>INSERT INTO</t>
        </is>
      </c>
      <c r="J140" s="15" t="inlineStr">
        <is>
          <t>CNF_PRF_TBL</t>
        </is>
      </c>
      <c r="K140" s="15" t="inlineStr">
        <is>
          <t>VALUES(</t>
        </is>
      </c>
      <c r="L140" s="15" t="inlineStr">
        <is>
          <t>10 , 568</t>
        </is>
      </c>
      <c r="M140" s="15" t="inlineStr">
        <is>
          <t>);</t>
        </is>
      </c>
      <c r="O140" s="18">
        <f>EXACT(TRIM(C140),F140&amp;"")</f>
        <v/>
      </c>
      <c r="P140" s="18">
        <f>EXACT(TRIM(D140),G140&amp;"")</f>
        <v/>
      </c>
      <c r="Q140" s="18">
        <f>AND(O140:P140)</f>
        <v/>
      </c>
      <c r="R140" s="19">
        <f>TRIM(IF(O140,"",$O$3&amp;" ")&amp;IF(P140,"",$P$3&amp;" "))</f>
        <v/>
      </c>
      <c r="S140" s="18">
        <f>EXACT(SUBSTITUTE(A140," ",""),SUBSTITUTE(I140&amp;J140&amp;K140&amp;L140&amp;M140," ",""))</f>
        <v/>
      </c>
    </row>
    <row r="141">
      <c r="A141" s="15" t="inlineStr">
        <is>
          <t>INSERT INTO CNF_PRF_TBL VALUES(11 , 1);</t>
        </is>
      </c>
      <c r="B141" s="16" t="n"/>
      <c r="C141" s="15" t="inlineStr">
        <is>
          <t xml:space="preserve">11 </t>
        </is>
      </c>
      <c r="D141" s="15" t="inlineStr">
        <is>
          <t xml:space="preserve"> 1</t>
        </is>
      </c>
      <c r="F141" s="17" t="inlineStr">
        <is>
          <t>11</t>
        </is>
      </c>
      <c r="G141" s="17" t="inlineStr">
        <is>
          <t>1</t>
        </is>
      </c>
      <c r="I141" s="15" t="inlineStr">
        <is>
          <t>INSERT INTO</t>
        </is>
      </c>
      <c r="J141" s="15" t="inlineStr">
        <is>
          <t>CNF_PRF_TBL</t>
        </is>
      </c>
      <c r="K141" s="15" t="inlineStr">
        <is>
          <t>VALUES(</t>
        </is>
      </c>
      <c r="L141" s="15" t="inlineStr">
        <is>
          <t>11 , 1</t>
        </is>
      </c>
      <c r="M141" s="15" t="inlineStr">
        <is>
          <t>);</t>
        </is>
      </c>
      <c r="O141" s="18">
        <f>EXACT(TRIM(C141),F141&amp;"")</f>
        <v/>
      </c>
      <c r="P141" s="18">
        <f>EXACT(TRIM(D141),G141&amp;"")</f>
        <v/>
      </c>
      <c r="Q141" s="18">
        <f>AND(O141:P141)</f>
        <v/>
      </c>
      <c r="R141" s="19">
        <f>TRIM(IF(O141,"",$O$3&amp;" ")&amp;IF(P141,"",$P$3&amp;" "))</f>
        <v/>
      </c>
      <c r="S141" s="18">
        <f>EXACT(SUBSTITUTE(A141," ",""),SUBSTITUTE(I141&amp;J141&amp;K141&amp;L141&amp;M141," ",""))</f>
        <v/>
      </c>
    </row>
    <row r="142">
      <c r="A142" s="15" t="inlineStr">
        <is>
          <t>INSERT INTO CNF_PRF_TBL VALUES(11 , 3);</t>
        </is>
      </c>
      <c r="B142" s="16" t="n"/>
      <c r="C142" s="15" t="inlineStr">
        <is>
          <t xml:space="preserve">11 </t>
        </is>
      </c>
      <c r="D142" s="15" t="inlineStr">
        <is>
          <t xml:space="preserve"> 3</t>
        </is>
      </c>
      <c r="F142" s="17" t="inlineStr">
        <is>
          <t>11</t>
        </is>
      </c>
      <c r="G142" s="17" t="inlineStr">
        <is>
          <t>3</t>
        </is>
      </c>
      <c r="I142" s="15" t="inlineStr">
        <is>
          <t>INSERT INTO</t>
        </is>
      </c>
      <c r="J142" s="15" t="inlineStr">
        <is>
          <t>CNF_PRF_TBL</t>
        </is>
      </c>
      <c r="K142" s="15" t="inlineStr">
        <is>
          <t>VALUES(</t>
        </is>
      </c>
      <c r="L142" s="15" t="inlineStr">
        <is>
          <t>11 , 3</t>
        </is>
      </c>
      <c r="M142" s="15" t="inlineStr">
        <is>
          <t>);</t>
        </is>
      </c>
      <c r="O142" s="18">
        <f>EXACT(TRIM(C142),F142&amp;"")</f>
        <v/>
      </c>
      <c r="P142" s="18">
        <f>EXACT(TRIM(D142),G142&amp;"")</f>
        <v/>
      </c>
      <c r="Q142" s="18">
        <f>AND(O142:P142)</f>
        <v/>
      </c>
      <c r="R142" s="19">
        <f>TRIM(IF(O142,"",$O$3&amp;" ")&amp;IF(P142,"",$P$3&amp;" "))</f>
        <v/>
      </c>
      <c r="S142" s="18">
        <f>EXACT(SUBSTITUTE(A142," ",""),SUBSTITUTE(I142&amp;J142&amp;K142&amp;L142&amp;M142," ",""))</f>
        <v/>
      </c>
    </row>
    <row r="143">
      <c r="A143" s="15" t="inlineStr">
        <is>
          <t>INSERT INTO CNF_PRF_TBL VALUES(11 , 5);</t>
        </is>
      </c>
      <c r="B143" s="16" t="n"/>
      <c r="C143" s="15" t="inlineStr">
        <is>
          <t xml:space="preserve">11 </t>
        </is>
      </c>
      <c r="D143" s="15" t="inlineStr">
        <is>
          <t xml:space="preserve"> 5</t>
        </is>
      </c>
      <c r="F143" s="17" t="inlineStr">
        <is>
          <t>11</t>
        </is>
      </c>
      <c r="G143" s="17" t="inlineStr">
        <is>
          <t>5</t>
        </is>
      </c>
      <c r="I143" s="15" t="inlineStr">
        <is>
          <t>INSERT INTO</t>
        </is>
      </c>
      <c r="J143" s="15" t="inlineStr">
        <is>
          <t>CNF_PRF_TBL</t>
        </is>
      </c>
      <c r="K143" s="15" t="inlineStr">
        <is>
          <t>VALUES(</t>
        </is>
      </c>
      <c r="L143" s="15" t="inlineStr">
        <is>
          <t>11 , 5</t>
        </is>
      </c>
      <c r="M143" s="15" t="inlineStr">
        <is>
          <t>);</t>
        </is>
      </c>
      <c r="O143" s="18">
        <f>EXACT(TRIM(C143),F143&amp;"")</f>
        <v/>
      </c>
      <c r="P143" s="18">
        <f>EXACT(TRIM(D143),G143&amp;"")</f>
        <v/>
      </c>
      <c r="Q143" s="18">
        <f>AND(O143:P143)</f>
        <v/>
      </c>
      <c r="R143" s="19">
        <f>TRIM(IF(O143,"",$O$3&amp;" ")&amp;IF(P143,"",$P$3&amp;" "))</f>
        <v/>
      </c>
      <c r="S143" s="18">
        <f>EXACT(SUBSTITUTE(A143," ",""),SUBSTITUTE(I143&amp;J143&amp;K143&amp;L143&amp;M143," ",""))</f>
        <v/>
      </c>
    </row>
    <row r="144">
      <c r="A144" s="15" t="inlineStr">
        <is>
          <t>INSERT INTO CNF_PRF_TBL VALUES(11 , 7);</t>
        </is>
      </c>
      <c r="B144" s="16" t="n"/>
      <c r="C144" s="15" t="inlineStr">
        <is>
          <t xml:space="preserve">11 </t>
        </is>
      </c>
      <c r="D144" s="15" t="inlineStr">
        <is>
          <t xml:space="preserve"> 7</t>
        </is>
      </c>
      <c r="F144" s="17" t="inlineStr">
        <is>
          <t>11</t>
        </is>
      </c>
      <c r="G144" s="17" t="inlineStr">
        <is>
          <t>7</t>
        </is>
      </c>
      <c r="I144" s="15" t="inlineStr">
        <is>
          <t>INSERT INTO</t>
        </is>
      </c>
      <c r="J144" s="15" t="inlineStr">
        <is>
          <t>CNF_PRF_TBL</t>
        </is>
      </c>
      <c r="K144" s="15" t="inlineStr">
        <is>
          <t>VALUES(</t>
        </is>
      </c>
      <c r="L144" s="15" t="inlineStr">
        <is>
          <t>11 , 7</t>
        </is>
      </c>
      <c r="M144" s="15" t="inlineStr">
        <is>
          <t>);</t>
        </is>
      </c>
      <c r="O144" s="18">
        <f>EXACT(TRIM(C144),F144&amp;"")</f>
        <v/>
      </c>
      <c r="P144" s="18">
        <f>EXACT(TRIM(D144),G144&amp;"")</f>
        <v/>
      </c>
      <c r="Q144" s="18">
        <f>AND(O144:P144)</f>
        <v/>
      </c>
      <c r="R144" s="19">
        <f>TRIM(IF(O144,"",$O$3&amp;" ")&amp;IF(P144,"",$P$3&amp;" "))</f>
        <v/>
      </c>
      <c r="S144" s="18">
        <f>EXACT(SUBSTITUTE(A144," ",""),SUBSTITUTE(I144&amp;J144&amp;K144&amp;L144&amp;M144," ",""))</f>
        <v/>
      </c>
    </row>
    <row r="145">
      <c r="A145" s="15" t="inlineStr">
        <is>
          <t>INSERT INTO CNF_PRF_TBL VALUES(11 , 18);</t>
        </is>
      </c>
      <c r="B145" s="16" t="n"/>
      <c r="C145" s="15" t="inlineStr">
        <is>
          <t xml:space="preserve">11 </t>
        </is>
      </c>
      <c r="D145" s="15" t="inlineStr">
        <is>
          <t xml:space="preserve"> 18</t>
        </is>
      </c>
      <c r="F145" s="17" t="inlineStr">
        <is>
          <t>11</t>
        </is>
      </c>
      <c r="G145" s="17" t="inlineStr">
        <is>
          <t>18</t>
        </is>
      </c>
      <c r="I145" s="15" t="inlineStr">
        <is>
          <t>INSERT INTO</t>
        </is>
      </c>
      <c r="J145" s="15" t="inlineStr">
        <is>
          <t>CNF_PRF_TBL</t>
        </is>
      </c>
      <c r="K145" s="15" t="inlineStr">
        <is>
          <t>VALUES(</t>
        </is>
      </c>
      <c r="L145" s="15" t="inlineStr">
        <is>
          <t>11 , 18</t>
        </is>
      </c>
      <c r="M145" s="15" t="inlineStr">
        <is>
          <t>);</t>
        </is>
      </c>
      <c r="O145" s="18">
        <f>EXACT(TRIM(C145),F145&amp;"")</f>
        <v/>
      </c>
      <c r="P145" s="18">
        <f>EXACT(TRIM(D145),G145&amp;"")</f>
        <v/>
      </c>
      <c r="Q145" s="18">
        <f>AND(O145:P145)</f>
        <v/>
      </c>
      <c r="R145" s="19">
        <f>TRIM(IF(O145,"",$O$3&amp;" ")&amp;IF(P145,"",$P$3&amp;" "))</f>
        <v/>
      </c>
      <c r="S145" s="18">
        <f>EXACT(SUBSTITUTE(A145," ",""),SUBSTITUTE(I145&amp;J145&amp;K145&amp;L145&amp;M145," ",""))</f>
        <v/>
      </c>
    </row>
    <row r="146">
      <c r="A146" s="15" t="inlineStr">
        <is>
          <t>INSERT INTO CNF_PRF_TBL VALUES(11 , 1001);</t>
        </is>
      </c>
      <c r="B146" s="16" t="n"/>
      <c r="C146" s="15" t="inlineStr">
        <is>
          <t xml:space="preserve">11 </t>
        </is>
      </c>
      <c r="D146" s="15" t="inlineStr">
        <is>
          <t xml:space="preserve"> 1001</t>
        </is>
      </c>
      <c r="F146" s="17" t="inlineStr">
        <is>
          <t>11</t>
        </is>
      </c>
      <c r="G146" s="17" t="inlineStr">
        <is>
          <t>1001</t>
        </is>
      </c>
      <c r="I146" s="15" t="inlineStr">
        <is>
          <t>INSERT INTO</t>
        </is>
      </c>
      <c r="J146" s="15" t="inlineStr">
        <is>
          <t>CNF_PRF_TBL</t>
        </is>
      </c>
      <c r="K146" s="15" t="inlineStr">
        <is>
          <t>VALUES(</t>
        </is>
      </c>
      <c r="L146" s="15" t="inlineStr">
        <is>
          <t>11 , 1001</t>
        </is>
      </c>
      <c r="M146" s="15" t="inlineStr">
        <is>
          <t>);</t>
        </is>
      </c>
      <c r="O146" s="18">
        <f>EXACT(TRIM(C146),F146&amp;"")</f>
        <v/>
      </c>
      <c r="P146" s="18">
        <f>EXACT(TRIM(D146),G146&amp;"")</f>
        <v/>
      </c>
      <c r="Q146" s="18">
        <f>AND(O146:P146)</f>
        <v/>
      </c>
      <c r="R146" s="19">
        <f>TRIM(IF(O146,"",$O$3&amp;" ")&amp;IF(P146,"",$P$3&amp;" "))</f>
        <v/>
      </c>
      <c r="S146" s="18">
        <f>EXACT(SUBSTITUTE(A146," ",""),SUBSTITUTE(I146&amp;J146&amp;K146&amp;L146&amp;M146," ",""))</f>
        <v/>
      </c>
    </row>
    <row r="147">
      <c r="A147" s="15" t="inlineStr">
        <is>
          <t>INSERT INTO CNF_PRF_TBL VALUES(11 , 1002);</t>
        </is>
      </c>
      <c r="B147" s="16" t="n"/>
      <c r="C147" s="15" t="inlineStr">
        <is>
          <t xml:space="preserve">11 </t>
        </is>
      </c>
      <c r="D147" s="15" t="inlineStr">
        <is>
          <t xml:space="preserve"> 1002</t>
        </is>
      </c>
      <c r="F147" s="17" t="inlineStr">
        <is>
          <t>11</t>
        </is>
      </c>
      <c r="G147" s="17" t="inlineStr">
        <is>
          <t>1002</t>
        </is>
      </c>
      <c r="I147" s="15" t="inlineStr">
        <is>
          <t>INSERT INTO</t>
        </is>
      </c>
      <c r="J147" s="15" t="inlineStr">
        <is>
          <t>CNF_PRF_TBL</t>
        </is>
      </c>
      <c r="K147" s="15" t="inlineStr">
        <is>
          <t>VALUES(</t>
        </is>
      </c>
      <c r="L147" s="15" t="inlineStr">
        <is>
          <t>11 , 1002</t>
        </is>
      </c>
      <c r="M147" s="15" t="inlineStr">
        <is>
          <t>);</t>
        </is>
      </c>
      <c r="O147" s="18">
        <f>EXACT(TRIM(C147),F147&amp;"")</f>
        <v/>
      </c>
      <c r="P147" s="18">
        <f>EXACT(TRIM(D147),G147&amp;"")</f>
        <v/>
      </c>
      <c r="Q147" s="18">
        <f>AND(O147:P147)</f>
        <v/>
      </c>
      <c r="R147" s="19">
        <f>TRIM(IF(O147,"",$O$3&amp;" ")&amp;IF(P147,"",$P$3&amp;" "))</f>
        <v/>
      </c>
      <c r="S147" s="18">
        <f>EXACT(SUBSTITUTE(A147," ",""),SUBSTITUTE(I147&amp;J147&amp;K147&amp;L147&amp;M147," ",""))</f>
        <v/>
      </c>
    </row>
    <row r="148">
      <c r="A148" s="15" t="inlineStr">
        <is>
          <t>INSERT INTO CNF_PRF_TBL VALUES(11 , 1003);</t>
        </is>
      </c>
      <c r="B148" s="16" t="n"/>
      <c r="C148" s="15" t="inlineStr">
        <is>
          <t xml:space="preserve">11 </t>
        </is>
      </c>
      <c r="D148" s="15" t="inlineStr">
        <is>
          <t xml:space="preserve"> 1003</t>
        </is>
      </c>
      <c r="F148" s="20" t="inlineStr"/>
      <c r="G148" s="20" t="inlineStr"/>
      <c r="I148" s="20" t="inlineStr"/>
      <c r="J148" s="20" t="inlineStr"/>
      <c r="K148" s="20" t="inlineStr"/>
      <c r="L148" s="20" t="inlineStr"/>
      <c r="M148" s="20" t="inlineStr"/>
      <c r="O148" s="18">
        <f>EXACT(TRIM(C148),F148&amp;"")</f>
        <v/>
      </c>
      <c r="P148" s="18">
        <f>EXACT(TRIM(D148),G148&amp;"")</f>
        <v/>
      </c>
      <c r="Q148" s="18">
        <f>AND(O148:P148)</f>
        <v/>
      </c>
      <c r="R148" s="19">
        <f>TRIM(IF(O148,"",$O$3&amp;" ")&amp;IF(P148,"",$P$3&amp;" "))</f>
        <v/>
      </c>
      <c r="S148" s="18">
        <f>EXACT(SUBSTITUTE(A148," ",""),SUBSTITUTE(I148&amp;J148&amp;K148&amp;L148&amp;M148," ",""))</f>
        <v/>
      </c>
    </row>
    <row r="149">
      <c r="A149" s="15" t="inlineStr">
        <is>
          <t>INSERT INTO CNF_PRF_TBL VALUES(2 , 551);</t>
        </is>
      </c>
      <c r="B149" s="16" t="n"/>
      <c r="C149" s="15" t="inlineStr">
        <is>
          <t xml:space="preserve">2 </t>
        </is>
      </c>
      <c r="D149" s="15" t="inlineStr">
        <is>
          <t xml:space="preserve"> 551</t>
        </is>
      </c>
      <c r="F149" s="17" t="inlineStr">
        <is>
          <t>2</t>
        </is>
      </c>
      <c r="G149" s="17" t="inlineStr">
        <is>
          <t>551</t>
        </is>
      </c>
      <c r="I149" s="15" t="inlineStr">
        <is>
          <t>INSERT INTO</t>
        </is>
      </c>
      <c r="J149" s="15" t="inlineStr">
        <is>
          <t>CNF_PRF_TBL</t>
        </is>
      </c>
      <c r="K149" s="15" t="inlineStr">
        <is>
          <t>VALUES(</t>
        </is>
      </c>
      <c r="L149" s="15" t="inlineStr">
        <is>
          <t>2 , 551</t>
        </is>
      </c>
      <c r="M149" s="15" t="inlineStr">
        <is>
          <t>);</t>
        </is>
      </c>
      <c r="O149" s="18">
        <f>EXACT(TRIM(C149),F149&amp;"")</f>
        <v/>
      </c>
      <c r="P149" s="18">
        <f>EXACT(TRIM(D149),G149&amp;"")</f>
        <v/>
      </c>
      <c r="Q149" s="18">
        <f>AND(O149:P149)</f>
        <v/>
      </c>
      <c r="R149" s="19">
        <f>TRIM(IF(O149,"",$O$3&amp;" ")&amp;IF(P149,"",$P$3&amp;" "))</f>
        <v/>
      </c>
      <c r="S149" s="18">
        <f>EXACT(SUBSTITUTE(A149," ",""),SUBSTITUTE(I149&amp;J149&amp;K149&amp;L149&amp;M149," ",""))</f>
        <v/>
      </c>
    </row>
    <row r="150">
      <c r="A150" s="15" t="inlineStr">
        <is>
          <t>INSERT INTO CNF_PRF_TBL VALUES(2 , 552);</t>
        </is>
      </c>
      <c r="B150" s="16" t="n"/>
      <c r="C150" s="15" t="inlineStr">
        <is>
          <t xml:space="preserve">2 </t>
        </is>
      </c>
      <c r="D150" s="15" t="inlineStr">
        <is>
          <t xml:space="preserve"> 552</t>
        </is>
      </c>
      <c r="F150" s="17" t="inlineStr">
        <is>
          <t>2</t>
        </is>
      </c>
      <c r="G150" s="17" t="inlineStr">
        <is>
          <t>552</t>
        </is>
      </c>
      <c r="I150" s="15" t="inlineStr">
        <is>
          <t>INSERT INTO</t>
        </is>
      </c>
      <c r="J150" s="15" t="inlineStr">
        <is>
          <t>CNF_PRF_TBL</t>
        </is>
      </c>
      <c r="K150" s="15" t="inlineStr">
        <is>
          <t>VALUES(</t>
        </is>
      </c>
      <c r="L150" s="15" t="inlineStr">
        <is>
          <t>2 , 552</t>
        </is>
      </c>
      <c r="M150" s="15" t="inlineStr">
        <is>
          <t>);</t>
        </is>
      </c>
      <c r="O150" s="18">
        <f>EXACT(TRIM(C150),F150&amp;"")</f>
        <v/>
      </c>
      <c r="P150" s="18">
        <f>EXACT(TRIM(D150),G150&amp;"")</f>
        <v/>
      </c>
      <c r="Q150" s="18">
        <f>AND(O150:P150)</f>
        <v/>
      </c>
      <c r="R150" s="19">
        <f>TRIM(IF(O150,"",$O$3&amp;" ")&amp;IF(P150,"",$P$3&amp;" "))</f>
        <v/>
      </c>
      <c r="S150" s="18">
        <f>EXACT(SUBSTITUTE(A150," ",""),SUBSTITUTE(I150&amp;J150&amp;K150&amp;L150&amp;M150," ",""))</f>
        <v/>
      </c>
    </row>
    <row r="151">
      <c r="A151" s="15" t="inlineStr">
        <is>
          <t>INSERT INTO CNF_PRF_TBL VALUES(2 , 553);</t>
        </is>
      </c>
      <c r="B151" s="16" t="n"/>
      <c r="C151" s="15" t="inlineStr">
        <is>
          <t xml:space="preserve">2 </t>
        </is>
      </c>
      <c r="D151" s="15" t="inlineStr">
        <is>
          <t xml:space="preserve"> 553</t>
        </is>
      </c>
      <c r="F151" s="17" t="inlineStr">
        <is>
          <t>2</t>
        </is>
      </c>
      <c r="G151" s="17" t="inlineStr">
        <is>
          <t>553</t>
        </is>
      </c>
      <c r="I151" s="15" t="inlineStr">
        <is>
          <t>INSERT INTO</t>
        </is>
      </c>
      <c r="J151" s="15" t="inlineStr">
        <is>
          <t>CNF_PRF_TBL</t>
        </is>
      </c>
      <c r="K151" s="15" t="inlineStr">
        <is>
          <t>VALUES(</t>
        </is>
      </c>
      <c r="L151" s="15" t="inlineStr">
        <is>
          <t>2 , 553</t>
        </is>
      </c>
      <c r="M151" s="15" t="inlineStr">
        <is>
          <t>);</t>
        </is>
      </c>
      <c r="O151" s="18">
        <f>EXACT(TRIM(C151),F151&amp;"")</f>
        <v/>
      </c>
      <c r="P151" s="18">
        <f>EXACT(TRIM(D151),G151&amp;"")</f>
        <v/>
      </c>
      <c r="Q151" s="18">
        <f>AND(O151:P151)</f>
        <v/>
      </c>
      <c r="R151" s="19">
        <f>TRIM(IF(O151,"",$O$3&amp;" ")&amp;IF(P151,"",$P$3&amp;" "))</f>
        <v/>
      </c>
      <c r="S151" s="18">
        <f>EXACT(SUBSTITUTE(A151," ",""),SUBSTITUTE(I151&amp;J151&amp;K151&amp;L151&amp;M151," ",""))</f>
        <v/>
      </c>
    </row>
    <row r="152">
      <c r="A152" s="15" t="inlineStr">
        <is>
          <t>INSERT INTO CNF_PRF_TBL VALUES(2 , 554);</t>
        </is>
      </c>
      <c r="B152" s="16" t="n"/>
      <c r="C152" s="15" t="inlineStr">
        <is>
          <t xml:space="preserve">2 </t>
        </is>
      </c>
      <c r="D152" s="15" t="inlineStr">
        <is>
          <t xml:space="preserve"> 554</t>
        </is>
      </c>
      <c r="F152" s="17" t="inlineStr">
        <is>
          <t>2</t>
        </is>
      </c>
      <c r="G152" s="17" t="inlineStr">
        <is>
          <t>554</t>
        </is>
      </c>
      <c r="I152" s="15" t="inlineStr">
        <is>
          <t>INSERT INTO</t>
        </is>
      </c>
      <c r="J152" s="15" t="inlineStr">
        <is>
          <t>CNF_PRF_TBL</t>
        </is>
      </c>
      <c r="K152" s="15" t="inlineStr">
        <is>
          <t>VALUES(</t>
        </is>
      </c>
      <c r="L152" s="15" t="inlineStr">
        <is>
          <t>2 , 554</t>
        </is>
      </c>
      <c r="M152" s="15" t="inlineStr">
        <is>
          <t>);</t>
        </is>
      </c>
      <c r="O152" s="18">
        <f>EXACT(TRIM(C152),F152&amp;"")</f>
        <v/>
      </c>
      <c r="P152" s="18">
        <f>EXACT(TRIM(D152),G152&amp;"")</f>
        <v/>
      </c>
      <c r="Q152" s="18">
        <f>AND(O152:P152)</f>
        <v/>
      </c>
      <c r="R152" s="19">
        <f>TRIM(IF(O152,"",$O$3&amp;" ")&amp;IF(P152,"",$P$3&amp;" "))</f>
        <v/>
      </c>
      <c r="S152" s="18">
        <f>EXACT(SUBSTITUTE(A152," ",""),SUBSTITUTE(I152&amp;J152&amp;K152&amp;L152&amp;M152," ",""))</f>
        <v/>
      </c>
    </row>
    <row r="153">
      <c r="A153" s="15" t="inlineStr">
        <is>
          <t>INSERT INTO CNF_PRF_TBL VALUES(2 , 555);</t>
        </is>
      </c>
      <c r="B153" s="16" t="n"/>
      <c r="C153" s="15" t="inlineStr">
        <is>
          <t xml:space="preserve">2 </t>
        </is>
      </c>
      <c r="D153" s="15" t="inlineStr">
        <is>
          <t xml:space="preserve"> 555</t>
        </is>
      </c>
      <c r="F153" s="17" t="inlineStr">
        <is>
          <t>2</t>
        </is>
      </c>
      <c r="G153" s="17" t="inlineStr">
        <is>
          <t>555</t>
        </is>
      </c>
      <c r="I153" s="15" t="inlineStr">
        <is>
          <t>INSERT INTO</t>
        </is>
      </c>
      <c r="J153" s="15" t="inlineStr">
        <is>
          <t>CNF_PRF_TBL</t>
        </is>
      </c>
      <c r="K153" s="15" t="inlineStr">
        <is>
          <t>VALUES(</t>
        </is>
      </c>
      <c r="L153" s="15" t="inlineStr">
        <is>
          <t>2 , 555</t>
        </is>
      </c>
      <c r="M153" s="15" t="inlineStr">
        <is>
          <t>);</t>
        </is>
      </c>
      <c r="O153" s="18">
        <f>EXACT(TRIM(C153),F153&amp;"")</f>
        <v/>
      </c>
      <c r="P153" s="18">
        <f>EXACT(TRIM(D153),G153&amp;"")</f>
        <v/>
      </c>
      <c r="Q153" s="18">
        <f>AND(O153:P153)</f>
        <v/>
      </c>
      <c r="R153" s="19">
        <f>TRIM(IF(O153,"",$O$3&amp;" ")&amp;IF(P153,"",$P$3&amp;" "))</f>
        <v/>
      </c>
      <c r="S153" s="18">
        <f>EXACT(SUBSTITUTE(A153," ",""),SUBSTITUTE(I153&amp;J153&amp;K153&amp;L153&amp;M153," ",""))</f>
        <v/>
      </c>
    </row>
    <row r="154">
      <c r="A154" s="15" t="inlineStr">
        <is>
          <t>INSERT INTO CNF_PRF_TBL VALUES(2 , 556);</t>
        </is>
      </c>
      <c r="B154" s="16" t="n"/>
      <c r="C154" s="15" t="inlineStr">
        <is>
          <t xml:space="preserve">2 </t>
        </is>
      </c>
      <c r="D154" s="15" t="inlineStr">
        <is>
          <t xml:space="preserve"> 556</t>
        </is>
      </c>
      <c r="F154" s="17" t="inlineStr">
        <is>
          <t>2</t>
        </is>
      </c>
      <c r="G154" s="17" t="inlineStr">
        <is>
          <t>556</t>
        </is>
      </c>
      <c r="I154" s="15" t="inlineStr">
        <is>
          <t>INSERT INTO</t>
        </is>
      </c>
      <c r="J154" s="15" t="inlineStr">
        <is>
          <t>CNF_PRF_TBL</t>
        </is>
      </c>
      <c r="K154" s="15" t="inlineStr">
        <is>
          <t>VALUES(</t>
        </is>
      </c>
      <c r="L154" s="15" t="inlineStr">
        <is>
          <t>2 , 556</t>
        </is>
      </c>
      <c r="M154" s="15" t="inlineStr">
        <is>
          <t>);</t>
        </is>
      </c>
      <c r="O154" s="18">
        <f>EXACT(TRIM(C154),F154&amp;"")</f>
        <v/>
      </c>
      <c r="P154" s="18">
        <f>EXACT(TRIM(D154),G154&amp;"")</f>
        <v/>
      </c>
      <c r="Q154" s="18">
        <f>AND(O154:P154)</f>
        <v/>
      </c>
      <c r="R154" s="19">
        <f>TRIM(IF(O154,"",$O$3&amp;" ")&amp;IF(P154,"",$P$3&amp;" "))</f>
        <v/>
      </c>
      <c r="S154" s="18">
        <f>EXACT(SUBSTITUTE(A154," ",""),SUBSTITUTE(I154&amp;J154&amp;K154&amp;L154&amp;M154," ",""))</f>
        <v/>
      </c>
    </row>
    <row r="155">
      <c r="A155" s="15" t="inlineStr">
        <is>
          <t>INSERT INTO CNF_PRF_TBL VALUES(2 , 557);</t>
        </is>
      </c>
      <c r="B155" s="16" t="n"/>
      <c r="C155" s="15" t="inlineStr">
        <is>
          <t xml:space="preserve">2 </t>
        </is>
      </c>
      <c r="D155" s="15" t="inlineStr">
        <is>
          <t xml:space="preserve"> 557</t>
        </is>
      </c>
      <c r="F155" s="17" t="inlineStr">
        <is>
          <t>2</t>
        </is>
      </c>
      <c r="G155" s="17" t="inlineStr">
        <is>
          <t>557</t>
        </is>
      </c>
      <c r="I155" s="15" t="inlineStr">
        <is>
          <t>INSERT INTO</t>
        </is>
      </c>
      <c r="J155" s="15" t="inlineStr">
        <is>
          <t>CNF_PRF_TBL</t>
        </is>
      </c>
      <c r="K155" s="15" t="inlineStr">
        <is>
          <t>VALUES(</t>
        </is>
      </c>
      <c r="L155" s="15" t="inlineStr">
        <is>
          <t>2 , 557</t>
        </is>
      </c>
      <c r="M155" s="15" t="inlineStr">
        <is>
          <t>);</t>
        </is>
      </c>
      <c r="O155" s="18">
        <f>EXACT(TRIM(C155),F155&amp;"")</f>
        <v/>
      </c>
      <c r="P155" s="18">
        <f>EXACT(TRIM(D155),G155&amp;"")</f>
        <v/>
      </c>
      <c r="Q155" s="18">
        <f>AND(O155:P155)</f>
        <v/>
      </c>
      <c r="R155" s="19">
        <f>TRIM(IF(O155,"",$O$3&amp;" ")&amp;IF(P155,"",$P$3&amp;" "))</f>
        <v/>
      </c>
      <c r="S155" s="18">
        <f>EXACT(SUBSTITUTE(A155," ",""),SUBSTITUTE(I155&amp;J155&amp;K155&amp;L155&amp;M155," ",""))</f>
        <v/>
      </c>
    </row>
    <row r="156">
      <c r="A156" s="15" t="inlineStr">
        <is>
          <t>INSERT INTO CNF_PRF_TBL VALUES(2 , 558);</t>
        </is>
      </c>
      <c r="B156" s="16" t="n"/>
      <c r="C156" s="15" t="inlineStr">
        <is>
          <t xml:space="preserve">2 </t>
        </is>
      </c>
      <c r="D156" s="15" t="inlineStr">
        <is>
          <t xml:space="preserve"> 558</t>
        </is>
      </c>
      <c r="F156" s="17" t="inlineStr">
        <is>
          <t>2</t>
        </is>
      </c>
      <c r="G156" s="17" t="inlineStr">
        <is>
          <t>558</t>
        </is>
      </c>
      <c r="I156" s="15" t="inlineStr">
        <is>
          <t>INSERT INTO</t>
        </is>
      </c>
      <c r="J156" s="15" t="inlineStr">
        <is>
          <t>CNF_PRF_TBL</t>
        </is>
      </c>
      <c r="K156" s="15" t="inlineStr">
        <is>
          <t>VALUES(</t>
        </is>
      </c>
      <c r="L156" s="15" t="inlineStr">
        <is>
          <t>2 , 558</t>
        </is>
      </c>
      <c r="M156" s="15" t="inlineStr">
        <is>
          <t>);</t>
        </is>
      </c>
      <c r="O156" s="18">
        <f>EXACT(TRIM(C156),F156&amp;"")</f>
        <v/>
      </c>
      <c r="P156" s="18">
        <f>EXACT(TRIM(D156),G156&amp;"")</f>
        <v/>
      </c>
      <c r="Q156" s="18">
        <f>AND(O156:P156)</f>
        <v/>
      </c>
      <c r="R156" s="19">
        <f>TRIM(IF(O156,"",$O$3&amp;" ")&amp;IF(P156,"",$P$3&amp;" "))</f>
        <v/>
      </c>
      <c r="S156" s="18">
        <f>EXACT(SUBSTITUTE(A156," ",""),SUBSTITUTE(I156&amp;J156&amp;K156&amp;L156&amp;M156," ",""))</f>
        <v/>
      </c>
    </row>
    <row r="157">
      <c r="A157" s="15" t="inlineStr">
        <is>
          <t>INSERT INTO CNF_PRF_TBL VALUES(2 , 559);</t>
        </is>
      </c>
      <c r="B157" s="16" t="n"/>
      <c r="C157" s="15" t="inlineStr">
        <is>
          <t xml:space="preserve">2 </t>
        </is>
      </c>
      <c r="D157" s="15" t="inlineStr">
        <is>
          <t xml:space="preserve"> 559</t>
        </is>
      </c>
      <c r="F157" s="17" t="inlineStr">
        <is>
          <t>2</t>
        </is>
      </c>
      <c r="G157" s="17" t="inlineStr">
        <is>
          <t>559</t>
        </is>
      </c>
      <c r="I157" s="15" t="inlineStr">
        <is>
          <t>INSERT INTO</t>
        </is>
      </c>
      <c r="J157" s="15" t="inlineStr">
        <is>
          <t>CNF_PRF_TBL</t>
        </is>
      </c>
      <c r="K157" s="15" t="inlineStr">
        <is>
          <t>VALUES(</t>
        </is>
      </c>
      <c r="L157" s="15" t="inlineStr">
        <is>
          <t>2 , 559</t>
        </is>
      </c>
      <c r="M157" s="15" t="inlineStr">
        <is>
          <t>);</t>
        </is>
      </c>
      <c r="O157" s="18">
        <f>EXACT(TRIM(C157),F157&amp;"")</f>
        <v/>
      </c>
      <c r="P157" s="18">
        <f>EXACT(TRIM(D157),G157&amp;"")</f>
        <v/>
      </c>
      <c r="Q157" s="18">
        <f>AND(O157:P157)</f>
        <v/>
      </c>
      <c r="R157" s="19">
        <f>TRIM(IF(O157,"",$O$3&amp;" ")&amp;IF(P157,"",$P$3&amp;" "))</f>
        <v/>
      </c>
      <c r="S157" s="18">
        <f>EXACT(SUBSTITUTE(A157," ",""),SUBSTITUTE(I157&amp;J157&amp;K157&amp;L157&amp;M157," ",""))</f>
        <v/>
      </c>
    </row>
    <row r="158">
      <c r="A158" s="15" t="inlineStr">
        <is>
          <t>INSERT INTO CNF_PRF_TBL VALUES(2 , 560);</t>
        </is>
      </c>
      <c r="B158" s="16" t="n"/>
      <c r="C158" s="15" t="inlineStr">
        <is>
          <t xml:space="preserve">2 </t>
        </is>
      </c>
      <c r="D158" s="15" t="inlineStr">
        <is>
          <t xml:space="preserve"> 560</t>
        </is>
      </c>
      <c r="F158" s="17" t="inlineStr">
        <is>
          <t>2</t>
        </is>
      </c>
      <c r="G158" s="17" t="inlineStr">
        <is>
          <t>560</t>
        </is>
      </c>
      <c r="I158" s="15" t="inlineStr">
        <is>
          <t>INSERT INTO</t>
        </is>
      </c>
      <c r="J158" s="15" t="inlineStr">
        <is>
          <t>CNF_PRF_TBL</t>
        </is>
      </c>
      <c r="K158" s="15" t="inlineStr">
        <is>
          <t>VALUES(</t>
        </is>
      </c>
      <c r="L158" s="15" t="inlineStr">
        <is>
          <t>2 , 560</t>
        </is>
      </c>
      <c r="M158" s="15" t="inlineStr">
        <is>
          <t>);</t>
        </is>
      </c>
      <c r="O158" s="18">
        <f>EXACT(TRIM(C158),F158&amp;"")</f>
        <v/>
      </c>
      <c r="P158" s="18">
        <f>EXACT(TRIM(D158),G158&amp;"")</f>
        <v/>
      </c>
      <c r="Q158" s="18">
        <f>AND(O158:P158)</f>
        <v/>
      </c>
      <c r="R158" s="19">
        <f>TRIM(IF(O158,"",$O$3&amp;" ")&amp;IF(P158,"",$P$3&amp;" "))</f>
        <v/>
      </c>
      <c r="S158" s="18">
        <f>EXACT(SUBSTITUTE(A158," ",""),SUBSTITUTE(I158&amp;J158&amp;K158&amp;L158&amp;M158," ",""))</f>
        <v/>
      </c>
    </row>
    <row r="159">
      <c r="A159" s="15" t="inlineStr">
        <is>
          <t>INSERT INTO CNF_PRF_TBL VALUES(2 , 561);</t>
        </is>
      </c>
      <c r="B159" s="16" t="n"/>
      <c r="C159" s="15" t="inlineStr">
        <is>
          <t xml:space="preserve">2 </t>
        </is>
      </c>
      <c r="D159" s="15" t="inlineStr">
        <is>
          <t xml:space="preserve"> 561</t>
        </is>
      </c>
      <c r="F159" s="17" t="inlineStr">
        <is>
          <t>2</t>
        </is>
      </c>
      <c r="G159" s="17" t="inlineStr">
        <is>
          <t>561</t>
        </is>
      </c>
      <c r="I159" s="15" t="inlineStr">
        <is>
          <t>INSERT INTO</t>
        </is>
      </c>
      <c r="J159" s="15" t="inlineStr">
        <is>
          <t>CNF_PRF_TBL</t>
        </is>
      </c>
      <c r="K159" s="15" t="inlineStr">
        <is>
          <t>VALUES(</t>
        </is>
      </c>
      <c r="L159" s="15" t="inlineStr">
        <is>
          <t>2 , 561</t>
        </is>
      </c>
      <c r="M159" s="15" t="inlineStr">
        <is>
          <t>);</t>
        </is>
      </c>
      <c r="O159" s="18">
        <f>EXACT(TRIM(C159),F159&amp;"")</f>
        <v/>
      </c>
      <c r="P159" s="18">
        <f>EXACT(TRIM(D159),G159&amp;"")</f>
        <v/>
      </c>
      <c r="Q159" s="18">
        <f>AND(O159:P159)</f>
        <v/>
      </c>
      <c r="R159" s="19">
        <f>TRIM(IF(O159,"",$O$3&amp;" ")&amp;IF(P159,"",$P$3&amp;" "))</f>
        <v/>
      </c>
      <c r="S159" s="18">
        <f>EXACT(SUBSTITUTE(A159," ",""),SUBSTITUTE(I159&amp;J159&amp;K159&amp;L159&amp;M159," ",""))</f>
        <v/>
      </c>
    </row>
    <row r="160">
      <c r="A160" s="15" t="inlineStr">
        <is>
          <t>INSERT INTO CNF_PRF_TBL VALUES(2 , 562);</t>
        </is>
      </c>
      <c r="B160" s="16" t="n"/>
      <c r="C160" s="15" t="inlineStr">
        <is>
          <t xml:space="preserve">2 </t>
        </is>
      </c>
      <c r="D160" s="15" t="inlineStr">
        <is>
          <t xml:space="preserve"> 562</t>
        </is>
      </c>
      <c r="F160" s="17" t="inlineStr">
        <is>
          <t>2</t>
        </is>
      </c>
      <c r="G160" s="17" t="inlineStr">
        <is>
          <t>562</t>
        </is>
      </c>
      <c r="I160" s="15" t="inlineStr">
        <is>
          <t>INSERT INTO</t>
        </is>
      </c>
      <c r="J160" s="15" t="inlineStr">
        <is>
          <t>CNF_PRF_TBL</t>
        </is>
      </c>
      <c r="K160" s="15" t="inlineStr">
        <is>
          <t>VALUES(</t>
        </is>
      </c>
      <c r="L160" s="15" t="inlineStr">
        <is>
          <t>2 , 562</t>
        </is>
      </c>
      <c r="M160" s="15" t="inlineStr">
        <is>
          <t>);</t>
        </is>
      </c>
      <c r="O160" s="18">
        <f>EXACT(TRIM(C160),F160&amp;"")</f>
        <v/>
      </c>
      <c r="P160" s="18">
        <f>EXACT(TRIM(D160),G160&amp;"")</f>
        <v/>
      </c>
      <c r="Q160" s="18">
        <f>AND(O160:P160)</f>
        <v/>
      </c>
      <c r="R160" s="19">
        <f>TRIM(IF(O160,"",$O$3&amp;" ")&amp;IF(P160,"",$P$3&amp;" "))</f>
        <v/>
      </c>
      <c r="S160" s="18">
        <f>EXACT(SUBSTITUTE(A160," ",""),SUBSTITUTE(I160&amp;J160&amp;K160&amp;L160&amp;M160," ",""))</f>
        <v/>
      </c>
    </row>
    <row r="161">
      <c r="A161" s="15" t="inlineStr">
        <is>
          <t>INSERT INTO CNF_PRF_TBL VALUES(2 , 563);</t>
        </is>
      </c>
      <c r="B161" s="16" t="n"/>
      <c r="C161" s="15" t="inlineStr">
        <is>
          <t xml:space="preserve">2 </t>
        </is>
      </c>
      <c r="D161" s="15" t="inlineStr">
        <is>
          <t xml:space="preserve"> 563</t>
        </is>
      </c>
      <c r="F161" s="17" t="inlineStr">
        <is>
          <t>2</t>
        </is>
      </c>
      <c r="G161" s="17" t="inlineStr">
        <is>
          <t>563</t>
        </is>
      </c>
      <c r="I161" s="15" t="inlineStr">
        <is>
          <t>INSERT INTO</t>
        </is>
      </c>
      <c r="J161" s="15" t="inlineStr">
        <is>
          <t>CNF_PRF_TBL</t>
        </is>
      </c>
      <c r="K161" s="15" t="inlineStr">
        <is>
          <t>VALUES(</t>
        </is>
      </c>
      <c r="L161" s="15" t="inlineStr">
        <is>
          <t>2 , 563</t>
        </is>
      </c>
      <c r="M161" s="15" t="inlineStr">
        <is>
          <t>);</t>
        </is>
      </c>
      <c r="O161" s="18">
        <f>EXACT(TRIM(C161),F161&amp;"")</f>
        <v/>
      </c>
      <c r="P161" s="18">
        <f>EXACT(TRIM(D161),G161&amp;"")</f>
        <v/>
      </c>
      <c r="Q161" s="18">
        <f>AND(O161:P161)</f>
        <v/>
      </c>
      <c r="R161" s="19">
        <f>TRIM(IF(O161,"",$O$3&amp;" ")&amp;IF(P161,"",$P$3&amp;" "))</f>
        <v/>
      </c>
      <c r="S161" s="18">
        <f>EXACT(SUBSTITUTE(A161," ",""),SUBSTITUTE(I161&amp;J161&amp;K161&amp;L161&amp;M161," ",""))</f>
        <v/>
      </c>
    </row>
    <row r="162">
      <c r="A162" s="15" t="inlineStr">
        <is>
          <t>INSERT INTO CNF_PRF_TBL VALUES(2 , 564);</t>
        </is>
      </c>
      <c r="B162" s="16" t="n"/>
      <c r="C162" s="15" t="inlineStr">
        <is>
          <t xml:space="preserve">2 </t>
        </is>
      </c>
      <c r="D162" s="15" t="inlineStr">
        <is>
          <t xml:space="preserve"> 564</t>
        </is>
      </c>
      <c r="F162" s="17" t="inlineStr">
        <is>
          <t>2</t>
        </is>
      </c>
      <c r="G162" s="17" t="inlineStr">
        <is>
          <t>564</t>
        </is>
      </c>
      <c r="I162" s="15" t="inlineStr">
        <is>
          <t>INSERT INTO</t>
        </is>
      </c>
      <c r="J162" s="15" t="inlineStr">
        <is>
          <t>CNF_PRF_TBL</t>
        </is>
      </c>
      <c r="K162" s="15" t="inlineStr">
        <is>
          <t>VALUES(</t>
        </is>
      </c>
      <c r="L162" s="15" t="inlineStr">
        <is>
          <t>2 , 564</t>
        </is>
      </c>
      <c r="M162" s="15" t="inlineStr">
        <is>
          <t>);</t>
        </is>
      </c>
      <c r="O162" s="18">
        <f>EXACT(TRIM(C162),F162&amp;"")</f>
        <v/>
      </c>
      <c r="P162" s="18">
        <f>EXACT(TRIM(D162),G162&amp;"")</f>
        <v/>
      </c>
      <c r="Q162" s="18">
        <f>AND(O162:P162)</f>
        <v/>
      </c>
      <c r="R162" s="19">
        <f>TRIM(IF(O162,"",$O$3&amp;" ")&amp;IF(P162,"",$P$3&amp;" "))</f>
        <v/>
      </c>
      <c r="S162" s="18">
        <f>EXACT(SUBSTITUTE(A162," ",""),SUBSTITUTE(I162&amp;J162&amp;K162&amp;L162&amp;M162," ",""))</f>
        <v/>
      </c>
    </row>
    <row r="163">
      <c r="A163" s="15" t="inlineStr">
        <is>
          <t>INSERT INTO CNF_PRF_TBL VALUES(2 , 565);</t>
        </is>
      </c>
      <c r="B163" s="16" t="n"/>
      <c r="C163" s="15" t="inlineStr">
        <is>
          <t xml:space="preserve">2 </t>
        </is>
      </c>
      <c r="D163" s="15" t="inlineStr">
        <is>
          <t xml:space="preserve"> 565</t>
        </is>
      </c>
      <c r="F163" s="17" t="inlineStr">
        <is>
          <t>2</t>
        </is>
      </c>
      <c r="G163" s="17" t="inlineStr">
        <is>
          <t>565</t>
        </is>
      </c>
      <c r="I163" s="15" t="inlineStr">
        <is>
          <t>INSERT INTO</t>
        </is>
      </c>
      <c r="J163" s="15" t="inlineStr">
        <is>
          <t>CNF_PRF_TBL</t>
        </is>
      </c>
      <c r="K163" s="15" t="inlineStr">
        <is>
          <t>VALUES(</t>
        </is>
      </c>
      <c r="L163" s="15" t="inlineStr">
        <is>
          <t>2 , 565</t>
        </is>
      </c>
      <c r="M163" s="15" t="inlineStr">
        <is>
          <t>);</t>
        </is>
      </c>
      <c r="O163" s="18">
        <f>EXACT(TRIM(C163),F163&amp;"")</f>
        <v/>
      </c>
      <c r="P163" s="18">
        <f>EXACT(TRIM(D163),G163&amp;"")</f>
        <v/>
      </c>
      <c r="Q163" s="18">
        <f>AND(O163:P163)</f>
        <v/>
      </c>
      <c r="R163" s="19">
        <f>TRIM(IF(O163,"",$O$3&amp;" ")&amp;IF(P163,"",$P$3&amp;" "))</f>
        <v/>
      </c>
      <c r="S163" s="18">
        <f>EXACT(SUBSTITUTE(A163," ",""),SUBSTITUTE(I163&amp;J163&amp;K163&amp;L163&amp;M163," ",""))</f>
        <v/>
      </c>
    </row>
    <row r="164">
      <c r="A164" s="15" t="inlineStr">
        <is>
          <t>INSERT INTO CNF_PRF_TBL VALUES(2 , 566);</t>
        </is>
      </c>
      <c r="B164" s="16" t="n"/>
      <c r="C164" s="15" t="inlineStr">
        <is>
          <t xml:space="preserve">2 </t>
        </is>
      </c>
      <c r="D164" s="15" t="inlineStr">
        <is>
          <t xml:space="preserve"> 566</t>
        </is>
      </c>
      <c r="F164" s="17" t="inlineStr">
        <is>
          <t>2</t>
        </is>
      </c>
      <c r="G164" s="17" t="inlineStr">
        <is>
          <t>566</t>
        </is>
      </c>
      <c r="I164" s="15" t="inlineStr">
        <is>
          <t>INSERT INTO</t>
        </is>
      </c>
      <c r="J164" s="15" t="inlineStr">
        <is>
          <t>CNF_PRF_TBL</t>
        </is>
      </c>
      <c r="K164" s="15" t="inlineStr">
        <is>
          <t>VALUES(</t>
        </is>
      </c>
      <c r="L164" s="15" t="inlineStr">
        <is>
          <t>2 , 566</t>
        </is>
      </c>
      <c r="M164" s="15" t="inlineStr">
        <is>
          <t>);</t>
        </is>
      </c>
      <c r="O164" s="18">
        <f>EXACT(TRIM(C164),F164&amp;"")</f>
        <v/>
      </c>
      <c r="P164" s="18">
        <f>EXACT(TRIM(D164),G164&amp;"")</f>
        <v/>
      </c>
      <c r="Q164" s="18">
        <f>AND(O164:P164)</f>
        <v/>
      </c>
      <c r="R164" s="19">
        <f>TRIM(IF(O164,"",$O$3&amp;" ")&amp;IF(P164,"",$P$3&amp;" "))</f>
        <v/>
      </c>
      <c r="S164" s="18">
        <f>EXACT(SUBSTITUTE(A164," ",""),SUBSTITUTE(I164&amp;J164&amp;K164&amp;L164&amp;M164," ",""))</f>
        <v/>
      </c>
    </row>
    <row r="165">
      <c r="A165" s="15" t="inlineStr">
        <is>
          <t>INSERT INTO CNF_PRF_TBL VALUES(2 , 567);</t>
        </is>
      </c>
      <c r="B165" s="16" t="n"/>
      <c r="C165" s="15" t="inlineStr">
        <is>
          <t xml:space="preserve">2 </t>
        </is>
      </c>
      <c r="D165" s="15" t="inlineStr">
        <is>
          <t xml:space="preserve"> 567</t>
        </is>
      </c>
      <c r="F165" s="17" t="inlineStr">
        <is>
          <t>2</t>
        </is>
      </c>
      <c r="G165" s="17" t="inlineStr">
        <is>
          <t>567</t>
        </is>
      </c>
      <c r="I165" s="15" t="inlineStr">
        <is>
          <t>INSERT INTO</t>
        </is>
      </c>
      <c r="J165" s="15" t="inlineStr">
        <is>
          <t>CNF_PRF_TBL</t>
        </is>
      </c>
      <c r="K165" s="15" t="inlineStr">
        <is>
          <t>VALUES(</t>
        </is>
      </c>
      <c r="L165" s="15" t="inlineStr">
        <is>
          <t>2 , 567</t>
        </is>
      </c>
      <c r="M165" s="15" t="inlineStr">
        <is>
          <t>);</t>
        </is>
      </c>
      <c r="O165" s="18">
        <f>EXACT(TRIM(C165),F165&amp;"")</f>
        <v/>
      </c>
      <c r="P165" s="18">
        <f>EXACT(TRIM(D165),G165&amp;"")</f>
        <v/>
      </c>
      <c r="Q165" s="18">
        <f>AND(O165:P165)</f>
        <v/>
      </c>
      <c r="R165" s="19">
        <f>TRIM(IF(O165,"",$O$3&amp;" ")&amp;IF(P165,"",$P$3&amp;" "))</f>
        <v/>
      </c>
      <c r="S165" s="18">
        <f>EXACT(SUBSTITUTE(A165," ",""),SUBSTITUTE(I165&amp;J165&amp;K165&amp;L165&amp;M165," ",""))</f>
        <v/>
      </c>
    </row>
    <row r="166">
      <c r="A166" s="15" t="inlineStr">
        <is>
          <t>INSERT INTO CNF_PRF_TBL VALUES(2 , 568);</t>
        </is>
      </c>
      <c r="B166" s="16" t="n"/>
      <c r="C166" s="15" t="inlineStr">
        <is>
          <t xml:space="preserve">2 </t>
        </is>
      </c>
      <c r="D166" s="15" t="inlineStr">
        <is>
          <t xml:space="preserve"> 568</t>
        </is>
      </c>
      <c r="F166" s="17" t="inlineStr">
        <is>
          <t>2</t>
        </is>
      </c>
      <c r="G166" s="17" t="inlineStr">
        <is>
          <t>568</t>
        </is>
      </c>
      <c r="I166" s="15" t="inlineStr">
        <is>
          <t>INSERT INTO</t>
        </is>
      </c>
      <c r="J166" s="15" t="inlineStr">
        <is>
          <t>CNF_PRF_TBL</t>
        </is>
      </c>
      <c r="K166" s="15" t="inlineStr">
        <is>
          <t>VALUES(</t>
        </is>
      </c>
      <c r="L166" s="15" t="inlineStr">
        <is>
          <t>2 , 568</t>
        </is>
      </c>
      <c r="M166" s="15" t="inlineStr">
        <is>
          <t>);</t>
        </is>
      </c>
      <c r="O166" s="18">
        <f>EXACT(TRIM(C166),F166&amp;"")</f>
        <v/>
      </c>
      <c r="P166" s="18">
        <f>EXACT(TRIM(D166),G166&amp;"")</f>
        <v/>
      </c>
      <c r="Q166" s="18">
        <f>AND(O166:P166)</f>
        <v/>
      </c>
      <c r="R166" s="19">
        <f>TRIM(IF(O166,"",$O$3&amp;" ")&amp;IF(P166,"",$P$3&amp;" "))</f>
        <v/>
      </c>
      <c r="S166" s="18">
        <f>EXACT(SUBSTITUTE(A166," ",""),SUBSTITUTE(I166&amp;J166&amp;K166&amp;L166&amp;M166," ",""))</f>
        <v/>
      </c>
    </row>
    <row r="167">
      <c r="A167" s="15" t="inlineStr">
        <is>
          <t>INSERT INTO CNF_PRF_TBL VALUES(3 , 551);</t>
        </is>
      </c>
      <c r="B167" s="16" t="n"/>
      <c r="C167" s="15" t="inlineStr">
        <is>
          <t xml:space="preserve">3 </t>
        </is>
      </c>
      <c r="D167" s="15" t="inlineStr">
        <is>
          <t xml:space="preserve"> 551</t>
        </is>
      </c>
      <c r="F167" s="17" t="inlineStr">
        <is>
          <t>3</t>
        </is>
      </c>
      <c r="G167" s="17" t="inlineStr">
        <is>
          <t>551</t>
        </is>
      </c>
      <c r="I167" s="15" t="inlineStr">
        <is>
          <t>INSERT INTO</t>
        </is>
      </c>
      <c r="J167" s="15" t="inlineStr">
        <is>
          <t>CNF_PRF_TBL</t>
        </is>
      </c>
      <c r="K167" s="15" t="inlineStr">
        <is>
          <t>VALUES(</t>
        </is>
      </c>
      <c r="L167" s="15" t="inlineStr">
        <is>
          <t>3 , 551</t>
        </is>
      </c>
      <c r="M167" s="15" t="inlineStr">
        <is>
          <t>);</t>
        </is>
      </c>
      <c r="O167" s="18">
        <f>EXACT(TRIM(C167),F167&amp;"")</f>
        <v/>
      </c>
      <c r="P167" s="18">
        <f>EXACT(TRIM(D167),G167&amp;"")</f>
        <v/>
      </c>
      <c r="Q167" s="18">
        <f>AND(O167:P167)</f>
        <v/>
      </c>
      <c r="R167" s="19">
        <f>TRIM(IF(O167,"",$O$3&amp;" ")&amp;IF(P167,"",$P$3&amp;" "))</f>
        <v/>
      </c>
      <c r="S167" s="18">
        <f>EXACT(SUBSTITUTE(A167," ",""),SUBSTITUTE(I167&amp;J167&amp;K167&amp;L167&amp;M167," ",""))</f>
        <v/>
      </c>
    </row>
    <row r="168">
      <c r="A168" s="15" t="inlineStr">
        <is>
          <t>INSERT INTO CNF_PRF_TBL VALUES(3 , 552);</t>
        </is>
      </c>
      <c r="B168" s="16" t="n"/>
      <c r="C168" s="15" t="inlineStr">
        <is>
          <t xml:space="preserve">3 </t>
        </is>
      </c>
      <c r="D168" s="15" t="inlineStr">
        <is>
          <t xml:space="preserve"> 552</t>
        </is>
      </c>
      <c r="F168" s="17" t="inlineStr">
        <is>
          <t>3</t>
        </is>
      </c>
      <c r="G168" s="17" t="inlineStr">
        <is>
          <t>552</t>
        </is>
      </c>
      <c r="I168" s="15" t="inlineStr">
        <is>
          <t>INSERT INTO</t>
        </is>
      </c>
      <c r="J168" s="15" t="inlineStr">
        <is>
          <t>CNF_PRF_TBL</t>
        </is>
      </c>
      <c r="K168" s="15" t="inlineStr">
        <is>
          <t>VALUES(</t>
        </is>
      </c>
      <c r="L168" s="15" t="inlineStr">
        <is>
          <t>3 , 552</t>
        </is>
      </c>
      <c r="M168" s="15" t="inlineStr">
        <is>
          <t>);</t>
        </is>
      </c>
      <c r="O168" s="18">
        <f>EXACT(TRIM(C168),F168&amp;"")</f>
        <v/>
      </c>
      <c r="P168" s="18">
        <f>EXACT(TRIM(D168),G168&amp;"")</f>
        <v/>
      </c>
      <c r="Q168" s="18">
        <f>AND(O168:P168)</f>
        <v/>
      </c>
      <c r="R168" s="19">
        <f>TRIM(IF(O168,"",$O$3&amp;" ")&amp;IF(P168,"",$P$3&amp;" "))</f>
        <v/>
      </c>
      <c r="S168" s="18">
        <f>EXACT(SUBSTITUTE(A168," ",""),SUBSTITUTE(I168&amp;J168&amp;K168&amp;L168&amp;M168," ",""))</f>
        <v/>
      </c>
    </row>
    <row r="169">
      <c r="A169" s="15" t="inlineStr">
        <is>
          <t>INSERT INTO CNF_PRF_TBL VALUES(3 , 553);</t>
        </is>
      </c>
      <c r="B169" s="16" t="n"/>
      <c r="C169" s="15" t="inlineStr">
        <is>
          <t xml:space="preserve">3 </t>
        </is>
      </c>
      <c r="D169" s="15" t="inlineStr">
        <is>
          <t xml:space="preserve"> 553</t>
        </is>
      </c>
      <c r="F169" s="17" t="inlineStr">
        <is>
          <t>3</t>
        </is>
      </c>
      <c r="G169" s="17" t="inlineStr">
        <is>
          <t>553</t>
        </is>
      </c>
      <c r="I169" s="15" t="inlineStr">
        <is>
          <t>INSERT INTO</t>
        </is>
      </c>
      <c r="J169" s="15" t="inlineStr">
        <is>
          <t>CNF_PRF_TBL</t>
        </is>
      </c>
      <c r="K169" s="15" t="inlineStr">
        <is>
          <t>VALUES(</t>
        </is>
      </c>
      <c r="L169" s="15" t="inlineStr">
        <is>
          <t>3 , 553</t>
        </is>
      </c>
      <c r="M169" s="15" t="inlineStr">
        <is>
          <t>);</t>
        </is>
      </c>
      <c r="O169" s="18">
        <f>EXACT(TRIM(C169),F169&amp;"")</f>
        <v/>
      </c>
      <c r="P169" s="18">
        <f>EXACT(TRIM(D169),G169&amp;"")</f>
        <v/>
      </c>
      <c r="Q169" s="18">
        <f>AND(O169:P169)</f>
        <v/>
      </c>
      <c r="R169" s="19">
        <f>TRIM(IF(O169,"",$O$3&amp;" ")&amp;IF(P169,"",$P$3&amp;" "))</f>
        <v/>
      </c>
      <c r="S169" s="18">
        <f>EXACT(SUBSTITUTE(A169," ",""),SUBSTITUTE(I169&amp;J169&amp;K169&amp;L169&amp;M169," ",""))</f>
        <v/>
      </c>
    </row>
    <row r="170">
      <c r="A170" s="15" t="inlineStr">
        <is>
          <t>INSERT INTO CNF_PRF_TBL VALUES(3 , 554);</t>
        </is>
      </c>
      <c r="B170" s="16" t="n"/>
      <c r="C170" s="15" t="inlineStr">
        <is>
          <t xml:space="preserve">3 </t>
        </is>
      </c>
      <c r="D170" s="15" t="inlineStr">
        <is>
          <t xml:space="preserve"> 554</t>
        </is>
      </c>
      <c r="F170" s="17" t="inlineStr">
        <is>
          <t>3</t>
        </is>
      </c>
      <c r="G170" s="17" t="inlineStr">
        <is>
          <t>554</t>
        </is>
      </c>
      <c r="I170" s="15" t="inlineStr">
        <is>
          <t>INSERT INTO</t>
        </is>
      </c>
      <c r="J170" s="15" t="inlineStr">
        <is>
          <t>CNF_PRF_TBL</t>
        </is>
      </c>
      <c r="K170" s="15" t="inlineStr">
        <is>
          <t>VALUES(</t>
        </is>
      </c>
      <c r="L170" s="15" t="inlineStr">
        <is>
          <t>3 , 554</t>
        </is>
      </c>
      <c r="M170" s="15" t="inlineStr">
        <is>
          <t>);</t>
        </is>
      </c>
      <c r="O170" s="18">
        <f>EXACT(TRIM(C170),F170&amp;"")</f>
        <v/>
      </c>
      <c r="P170" s="18">
        <f>EXACT(TRIM(D170),G170&amp;"")</f>
        <v/>
      </c>
      <c r="Q170" s="18">
        <f>AND(O170:P170)</f>
        <v/>
      </c>
      <c r="R170" s="19">
        <f>TRIM(IF(O170,"",$O$3&amp;" ")&amp;IF(P170,"",$P$3&amp;" "))</f>
        <v/>
      </c>
      <c r="S170" s="18">
        <f>EXACT(SUBSTITUTE(A170," ",""),SUBSTITUTE(I170&amp;J170&amp;K170&amp;L170&amp;M170," ",""))</f>
        <v/>
      </c>
    </row>
    <row r="171">
      <c r="A171" s="15" t="inlineStr">
        <is>
          <t>INSERT INTO CNF_PRF_TBL VALUES(3 , 555);</t>
        </is>
      </c>
      <c r="B171" s="16" t="n"/>
      <c r="C171" s="15" t="inlineStr">
        <is>
          <t xml:space="preserve">3 </t>
        </is>
      </c>
      <c r="D171" s="15" t="inlineStr">
        <is>
          <t xml:space="preserve"> 555</t>
        </is>
      </c>
      <c r="F171" s="17" t="inlineStr">
        <is>
          <t>3</t>
        </is>
      </c>
      <c r="G171" s="17" t="inlineStr">
        <is>
          <t>555</t>
        </is>
      </c>
      <c r="I171" s="15" t="inlineStr">
        <is>
          <t>INSERT INTO</t>
        </is>
      </c>
      <c r="J171" s="15" t="inlineStr">
        <is>
          <t>CNF_PRF_TBL</t>
        </is>
      </c>
      <c r="K171" s="15" t="inlineStr">
        <is>
          <t>VALUES(</t>
        </is>
      </c>
      <c r="L171" s="15" t="inlineStr">
        <is>
          <t>3 , 555</t>
        </is>
      </c>
      <c r="M171" s="15" t="inlineStr">
        <is>
          <t>);</t>
        </is>
      </c>
      <c r="O171" s="18">
        <f>EXACT(TRIM(C171),F171&amp;"")</f>
        <v/>
      </c>
      <c r="P171" s="18">
        <f>EXACT(TRIM(D171),G171&amp;"")</f>
        <v/>
      </c>
      <c r="Q171" s="18">
        <f>AND(O171:P171)</f>
        <v/>
      </c>
      <c r="R171" s="19">
        <f>TRIM(IF(O171,"",$O$3&amp;" ")&amp;IF(P171,"",$P$3&amp;" "))</f>
        <v/>
      </c>
      <c r="S171" s="18">
        <f>EXACT(SUBSTITUTE(A171," ",""),SUBSTITUTE(I171&amp;J171&amp;K171&amp;L171&amp;M171," ",""))</f>
        <v/>
      </c>
    </row>
    <row r="172">
      <c r="A172" s="15" t="inlineStr">
        <is>
          <t>INSERT INTO CNF_PRF_TBL VALUES(3 , 556);</t>
        </is>
      </c>
      <c r="B172" s="16" t="n"/>
      <c r="C172" s="15" t="inlineStr">
        <is>
          <t xml:space="preserve">3 </t>
        </is>
      </c>
      <c r="D172" s="15" t="inlineStr">
        <is>
          <t xml:space="preserve"> 556</t>
        </is>
      </c>
      <c r="F172" s="17" t="inlineStr">
        <is>
          <t>3</t>
        </is>
      </c>
      <c r="G172" s="17" t="inlineStr">
        <is>
          <t>556</t>
        </is>
      </c>
      <c r="I172" s="15" t="inlineStr">
        <is>
          <t>INSERT INTO</t>
        </is>
      </c>
      <c r="J172" s="15" t="inlineStr">
        <is>
          <t>CNF_PRF_TBL</t>
        </is>
      </c>
      <c r="K172" s="15" t="inlineStr">
        <is>
          <t>VALUES(</t>
        </is>
      </c>
      <c r="L172" s="15" t="inlineStr">
        <is>
          <t>3 , 556</t>
        </is>
      </c>
      <c r="M172" s="15" t="inlineStr">
        <is>
          <t>);</t>
        </is>
      </c>
      <c r="O172" s="18">
        <f>EXACT(TRIM(C172),F172&amp;"")</f>
        <v/>
      </c>
      <c r="P172" s="18">
        <f>EXACT(TRIM(D172),G172&amp;"")</f>
        <v/>
      </c>
      <c r="Q172" s="18">
        <f>AND(O172:P172)</f>
        <v/>
      </c>
      <c r="R172" s="19">
        <f>TRIM(IF(O172,"",$O$3&amp;" ")&amp;IF(P172,"",$P$3&amp;" "))</f>
        <v/>
      </c>
      <c r="S172" s="18">
        <f>EXACT(SUBSTITUTE(A172," ",""),SUBSTITUTE(I172&amp;J172&amp;K172&amp;L172&amp;M172," ",""))</f>
        <v/>
      </c>
    </row>
    <row r="173">
      <c r="A173" s="15" t="inlineStr">
        <is>
          <t>INSERT INTO CNF_PRF_TBL VALUES(3 , 557);</t>
        </is>
      </c>
      <c r="B173" s="16" t="n"/>
      <c r="C173" s="15" t="inlineStr">
        <is>
          <t xml:space="preserve">3 </t>
        </is>
      </c>
      <c r="D173" s="15" t="inlineStr">
        <is>
          <t xml:space="preserve"> 557</t>
        </is>
      </c>
      <c r="F173" s="17" t="inlineStr">
        <is>
          <t>3</t>
        </is>
      </c>
      <c r="G173" s="17" t="inlineStr">
        <is>
          <t>557</t>
        </is>
      </c>
      <c r="I173" s="15" t="inlineStr">
        <is>
          <t>INSERT INTO</t>
        </is>
      </c>
      <c r="J173" s="15" t="inlineStr">
        <is>
          <t>CNF_PRF_TBL</t>
        </is>
      </c>
      <c r="K173" s="15" t="inlineStr">
        <is>
          <t>VALUES(</t>
        </is>
      </c>
      <c r="L173" s="15" t="inlineStr">
        <is>
          <t>3 , 557</t>
        </is>
      </c>
      <c r="M173" s="15" t="inlineStr">
        <is>
          <t>);</t>
        </is>
      </c>
      <c r="O173" s="18">
        <f>EXACT(TRIM(C173),F173&amp;"")</f>
        <v/>
      </c>
      <c r="P173" s="18">
        <f>EXACT(TRIM(D173),G173&amp;"")</f>
        <v/>
      </c>
      <c r="Q173" s="18">
        <f>AND(O173:P173)</f>
        <v/>
      </c>
      <c r="R173" s="19">
        <f>TRIM(IF(O173,"",$O$3&amp;" ")&amp;IF(P173,"",$P$3&amp;" "))</f>
        <v/>
      </c>
      <c r="S173" s="18">
        <f>EXACT(SUBSTITUTE(A173," ",""),SUBSTITUTE(I173&amp;J173&amp;K173&amp;L173&amp;M173," ",""))</f>
        <v/>
      </c>
    </row>
    <row r="174">
      <c r="A174" s="15" t="inlineStr">
        <is>
          <t>INSERT INTO CNF_PRF_TBL VALUES(3 , 558);</t>
        </is>
      </c>
      <c r="B174" s="16" t="n"/>
      <c r="C174" s="15" t="inlineStr">
        <is>
          <t xml:space="preserve">3 </t>
        </is>
      </c>
      <c r="D174" s="15" t="inlineStr">
        <is>
          <t xml:space="preserve"> 558</t>
        </is>
      </c>
      <c r="F174" s="17" t="inlineStr">
        <is>
          <t>3</t>
        </is>
      </c>
      <c r="G174" s="17" t="inlineStr">
        <is>
          <t>558</t>
        </is>
      </c>
      <c r="I174" s="15" t="inlineStr">
        <is>
          <t>INSERT INTO</t>
        </is>
      </c>
      <c r="J174" s="15" t="inlineStr">
        <is>
          <t>CNF_PRF_TBL</t>
        </is>
      </c>
      <c r="K174" s="15" t="inlineStr">
        <is>
          <t>VALUES(</t>
        </is>
      </c>
      <c r="L174" s="15" t="inlineStr">
        <is>
          <t>3 , 558</t>
        </is>
      </c>
      <c r="M174" s="15" t="inlineStr">
        <is>
          <t>);</t>
        </is>
      </c>
      <c r="O174" s="18">
        <f>EXACT(TRIM(C174),F174&amp;"")</f>
        <v/>
      </c>
      <c r="P174" s="18">
        <f>EXACT(TRIM(D174),G174&amp;"")</f>
        <v/>
      </c>
      <c r="Q174" s="18">
        <f>AND(O174:P174)</f>
        <v/>
      </c>
      <c r="R174" s="19">
        <f>TRIM(IF(O174,"",$O$3&amp;" ")&amp;IF(P174,"",$P$3&amp;" "))</f>
        <v/>
      </c>
      <c r="S174" s="18">
        <f>EXACT(SUBSTITUTE(A174," ",""),SUBSTITUTE(I174&amp;J174&amp;K174&amp;L174&amp;M174," ",""))</f>
        <v/>
      </c>
    </row>
    <row r="175">
      <c r="A175" s="15" t="inlineStr">
        <is>
          <t>INSERT INTO CNF_PRF_TBL VALUES(3 , 559);</t>
        </is>
      </c>
      <c r="B175" s="16" t="n"/>
      <c r="C175" s="15" t="inlineStr">
        <is>
          <t xml:space="preserve">3 </t>
        </is>
      </c>
      <c r="D175" s="15" t="inlineStr">
        <is>
          <t xml:space="preserve"> 559</t>
        </is>
      </c>
      <c r="F175" s="17" t="inlineStr">
        <is>
          <t>3</t>
        </is>
      </c>
      <c r="G175" s="17" t="inlineStr">
        <is>
          <t>559</t>
        </is>
      </c>
      <c r="I175" s="15" t="inlineStr">
        <is>
          <t>INSERT INTO</t>
        </is>
      </c>
      <c r="J175" s="15" t="inlineStr">
        <is>
          <t>CNF_PRF_TBL</t>
        </is>
      </c>
      <c r="K175" s="15" t="inlineStr">
        <is>
          <t>VALUES(</t>
        </is>
      </c>
      <c r="L175" s="15" t="inlineStr">
        <is>
          <t>3 , 559</t>
        </is>
      </c>
      <c r="M175" s="15" t="inlineStr">
        <is>
          <t>);</t>
        </is>
      </c>
      <c r="O175" s="18">
        <f>EXACT(TRIM(C175),F175&amp;"")</f>
        <v/>
      </c>
      <c r="P175" s="18">
        <f>EXACT(TRIM(D175),G175&amp;"")</f>
        <v/>
      </c>
      <c r="Q175" s="18">
        <f>AND(O175:P175)</f>
        <v/>
      </c>
      <c r="R175" s="19">
        <f>TRIM(IF(O175,"",$O$3&amp;" ")&amp;IF(P175,"",$P$3&amp;" "))</f>
        <v/>
      </c>
      <c r="S175" s="18">
        <f>EXACT(SUBSTITUTE(A175," ",""),SUBSTITUTE(I175&amp;J175&amp;K175&amp;L175&amp;M175," ",""))</f>
        <v/>
      </c>
    </row>
    <row r="176">
      <c r="A176" s="15" t="inlineStr">
        <is>
          <t>INSERT INTO CNF_PRF_TBL VALUES(3 , 560);</t>
        </is>
      </c>
      <c r="B176" s="16" t="n"/>
      <c r="C176" s="15" t="inlineStr">
        <is>
          <t xml:space="preserve">3 </t>
        </is>
      </c>
      <c r="D176" s="15" t="inlineStr">
        <is>
          <t xml:space="preserve"> 560</t>
        </is>
      </c>
      <c r="F176" s="17" t="inlineStr">
        <is>
          <t>3</t>
        </is>
      </c>
      <c r="G176" s="17" t="inlineStr">
        <is>
          <t>560</t>
        </is>
      </c>
      <c r="I176" s="15" t="inlineStr">
        <is>
          <t>INSERT INTO</t>
        </is>
      </c>
      <c r="J176" s="15" t="inlineStr">
        <is>
          <t>CNF_PRF_TBL</t>
        </is>
      </c>
      <c r="K176" s="15" t="inlineStr">
        <is>
          <t>VALUES(</t>
        </is>
      </c>
      <c r="L176" s="15" t="inlineStr">
        <is>
          <t>3 , 560</t>
        </is>
      </c>
      <c r="M176" s="15" t="inlineStr">
        <is>
          <t>);</t>
        </is>
      </c>
      <c r="O176" s="18">
        <f>EXACT(TRIM(C176),F176&amp;"")</f>
        <v/>
      </c>
      <c r="P176" s="18">
        <f>EXACT(TRIM(D176),G176&amp;"")</f>
        <v/>
      </c>
      <c r="Q176" s="18">
        <f>AND(O176:P176)</f>
        <v/>
      </c>
      <c r="R176" s="19">
        <f>TRIM(IF(O176,"",$O$3&amp;" ")&amp;IF(P176,"",$P$3&amp;" "))</f>
        <v/>
      </c>
      <c r="S176" s="18">
        <f>EXACT(SUBSTITUTE(A176," ",""),SUBSTITUTE(I176&amp;J176&amp;K176&amp;L176&amp;M176," ",""))</f>
        <v/>
      </c>
    </row>
    <row r="177">
      <c r="A177" s="15" t="inlineStr">
        <is>
          <t>INSERT INTO CNF_PRF_TBL VALUES(3 , 561);</t>
        </is>
      </c>
      <c r="B177" s="16" t="n"/>
      <c r="C177" s="15" t="inlineStr">
        <is>
          <t xml:space="preserve">3 </t>
        </is>
      </c>
      <c r="D177" s="15" t="inlineStr">
        <is>
          <t xml:space="preserve"> 561</t>
        </is>
      </c>
      <c r="F177" s="17" t="inlineStr">
        <is>
          <t>3</t>
        </is>
      </c>
      <c r="G177" s="17" t="inlineStr">
        <is>
          <t>561</t>
        </is>
      </c>
      <c r="I177" s="15" t="inlineStr">
        <is>
          <t>INSERT INTO</t>
        </is>
      </c>
      <c r="J177" s="15" t="inlineStr">
        <is>
          <t>CNF_PRF_TBL</t>
        </is>
      </c>
      <c r="K177" s="15" t="inlineStr">
        <is>
          <t>VALUES(</t>
        </is>
      </c>
      <c r="L177" s="15" t="inlineStr">
        <is>
          <t>3 , 561</t>
        </is>
      </c>
      <c r="M177" s="15" t="inlineStr">
        <is>
          <t>);</t>
        </is>
      </c>
      <c r="O177" s="18">
        <f>EXACT(TRIM(C177),F177&amp;"")</f>
        <v/>
      </c>
      <c r="P177" s="18">
        <f>EXACT(TRIM(D177),G177&amp;"")</f>
        <v/>
      </c>
      <c r="Q177" s="18">
        <f>AND(O177:P177)</f>
        <v/>
      </c>
      <c r="R177" s="19">
        <f>TRIM(IF(O177,"",$O$3&amp;" ")&amp;IF(P177,"",$P$3&amp;" "))</f>
        <v/>
      </c>
      <c r="S177" s="18">
        <f>EXACT(SUBSTITUTE(A177," ",""),SUBSTITUTE(I177&amp;J177&amp;K177&amp;L177&amp;M177," ",""))</f>
        <v/>
      </c>
    </row>
    <row r="178">
      <c r="A178" s="15" t="inlineStr">
        <is>
          <t>INSERT INTO CNF_PRF_TBL VALUES(3 , 562);</t>
        </is>
      </c>
      <c r="B178" s="16" t="n"/>
      <c r="C178" s="15" t="inlineStr">
        <is>
          <t xml:space="preserve">3 </t>
        </is>
      </c>
      <c r="D178" s="15" t="inlineStr">
        <is>
          <t xml:space="preserve"> 562</t>
        </is>
      </c>
      <c r="F178" s="17" t="inlineStr">
        <is>
          <t>3</t>
        </is>
      </c>
      <c r="G178" s="17" t="inlineStr">
        <is>
          <t>562</t>
        </is>
      </c>
      <c r="I178" s="15" t="inlineStr">
        <is>
          <t>INSERT INTO</t>
        </is>
      </c>
      <c r="J178" s="15" t="inlineStr">
        <is>
          <t>CNF_PRF_TBL</t>
        </is>
      </c>
      <c r="K178" s="15" t="inlineStr">
        <is>
          <t>VALUES(</t>
        </is>
      </c>
      <c r="L178" s="15" t="inlineStr">
        <is>
          <t>3 , 562</t>
        </is>
      </c>
      <c r="M178" s="15" t="inlineStr">
        <is>
          <t>);</t>
        </is>
      </c>
      <c r="O178" s="18">
        <f>EXACT(TRIM(C178),F178&amp;"")</f>
        <v/>
      </c>
      <c r="P178" s="18">
        <f>EXACT(TRIM(D178),G178&amp;"")</f>
        <v/>
      </c>
      <c r="Q178" s="18">
        <f>AND(O178:P178)</f>
        <v/>
      </c>
      <c r="R178" s="19">
        <f>TRIM(IF(O178,"",$O$3&amp;" ")&amp;IF(P178,"",$P$3&amp;" "))</f>
        <v/>
      </c>
      <c r="S178" s="18">
        <f>EXACT(SUBSTITUTE(A178," ",""),SUBSTITUTE(I178&amp;J178&amp;K178&amp;L178&amp;M178," ",""))</f>
        <v/>
      </c>
    </row>
    <row r="179">
      <c r="A179" s="15" t="inlineStr">
        <is>
          <t>INSERT INTO CNF_PRF_TBL VALUES(3 , 563);</t>
        </is>
      </c>
      <c r="B179" s="16" t="n"/>
      <c r="C179" s="15" t="inlineStr">
        <is>
          <t xml:space="preserve">3 </t>
        </is>
      </c>
      <c r="D179" s="15" t="inlineStr">
        <is>
          <t xml:space="preserve"> 563</t>
        </is>
      </c>
      <c r="F179" s="17" t="inlineStr">
        <is>
          <t>3</t>
        </is>
      </c>
      <c r="G179" s="17" t="inlineStr">
        <is>
          <t>563</t>
        </is>
      </c>
      <c r="I179" s="15" t="inlineStr">
        <is>
          <t>INSERT INTO</t>
        </is>
      </c>
      <c r="J179" s="15" t="inlineStr">
        <is>
          <t>CNF_PRF_TBL</t>
        </is>
      </c>
      <c r="K179" s="15" t="inlineStr">
        <is>
          <t>VALUES(</t>
        </is>
      </c>
      <c r="L179" s="15" t="inlineStr">
        <is>
          <t>3 , 563</t>
        </is>
      </c>
      <c r="M179" s="15" t="inlineStr">
        <is>
          <t>);</t>
        </is>
      </c>
      <c r="O179" s="18">
        <f>EXACT(TRIM(C179),F179&amp;"")</f>
        <v/>
      </c>
      <c r="P179" s="18">
        <f>EXACT(TRIM(D179),G179&amp;"")</f>
        <v/>
      </c>
      <c r="Q179" s="18">
        <f>AND(O179:P179)</f>
        <v/>
      </c>
      <c r="R179" s="19">
        <f>TRIM(IF(O179,"",$O$3&amp;" ")&amp;IF(P179,"",$P$3&amp;" "))</f>
        <v/>
      </c>
      <c r="S179" s="18">
        <f>EXACT(SUBSTITUTE(A179," ",""),SUBSTITUTE(I179&amp;J179&amp;K179&amp;L179&amp;M179," ",""))</f>
        <v/>
      </c>
    </row>
    <row r="180">
      <c r="A180" s="15" t="inlineStr">
        <is>
          <t>INSERT INTO CNF_PRF_TBL VALUES(3 , 564);</t>
        </is>
      </c>
      <c r="B180" s="16" t="n"/>
      <c r="C180" s="15" t="inlineStr">
        <is>
          <t xml:space="preserve">3 </t>
        </is>
      </c>
      <c r="D180" s="15" t="inlineStr">
        <is>
          <t xml:space="preserve"> 564</t>
        </is>
      </c>
      <c r="F180" s="17" t="inlineStr">
        <is>
          <t>3</t>
        </is>
      </c>
      <c r="G180" s="17" t="inlineStr">
        <is>
          <t>564</t>
        </is>
      </c>
      <c r="I180" s="15" t="inlineStr">
        <is>
          <t>INSERT INTO</t>
        </is>
      </c>
      <c r="J180" s="15" t="inlineStr">
        <is>
          <t>CNF_PRF_TBL</t>
        </is>
      </c>
      <c r="K180" s="15" t="inlineStr">
        <is>
          <t>VALUES(</t>
        </is>
      </c>
      <c r="L180" s="15" t="inlineStr">
        <is>
          <t>3 , 564</t>
        </is>
      </c>
      <c r="M180" s="15" t="inlineStr">
        <is>
          <t>);</t>
        </is>
      </c>
      <c r="O180" s="18">
        <f>EXACT(TRIM(C180),F180&amp;"")</f>
        <v/>
      </c>
      <c r="P180" s="18">
        <f>EXACT(TRIM(D180),G180&amp;"")</f>
        <v/>
      </c>
      <c r="Q180" s="18">
        <f>AND(O180:P180)</f>
        <v/>
      </c>
      <c r="R180" s="19">
        <f>TRIM(IF(O180,"",$O$3&amp;" ")&amp;IF(P180,"",$P$3&amp;" "))</f>
        <v/>
      </c>
      <c r="S180" s="18">
        <f>EXACT(SUBSTITUTE(A180," ",""),SUBSTITUTE(I180&amp;J180&amp;K180&amp;L180&amp;M180," ",""))</f>
        <v/>
      </c>
    </row>
    <row r="181">
      <c r="A181" s="15" t="inlineStr">
        <is>
          <t>INSERT INTO CNF_PRF_TBL VALUES(3 , 565);</t>
        </is>
      </c>
      <c r="B181" s="16" t="n"/>
      <c r="C181" s="15" t="inlineStr">
        <is>
          <t xml:space="preserve">3 </t>
        </is>
      </c>
      <c r="D181" s="15" t="inlineStr">
        <is>
          <t xml:space="preserve"> 565</t>
        </is>
      </c>
      <c r="F181" s="17" t="inlineStr">
        <is>
          <t>3</t>
        </is>
      </c>
      <c r="G181" s="17" t="inlineStr">
        <is>
          <t>565</t>
        </is>
      </c>
      <c r="I181" s="15" t="inlineStr">
        <is>
          <t>INSERT INTO</t>
        </is>
      </c>
      <c r="J181" s="15" t="inlineStr">
        <is>
          <t>CNF_PRF_TBL</t>
        </is>
      </c>
      <c r="K181" s="15" t="inlineStr">
        <is>
          <t>VALUES(</t>
        </is>
      </c>
      <c r="L181" s="15" t="inlineStr">
        <is>
          <t>3 , 565</t>
        </is>
      </c>
      <c r="M181" s="15" t="inlineStr">
        <is>
          <t>);</t>
        </is>
      </c>
      <c r="O181" s="18">
        <f>EXACT(TRIM(C181),F181&amp;"")</f>
        <v/>
      </c>
      <c r="P181" s="18">
        <f>EXACT(TRIM(D181),G181&amp;"")</f>
        <v/>
      </c>
      <c r="Q181" s="18">
        <f>AND(O181:P181)</f>
        <v/>
      </c>
      <c r="R181" s="19">
        <f>TRIM(IF(O181,"",$O$3&amp;" ")&amp;IF(P181,"",$P$3&amp;" "))</f>
        <v/>
      </c>
      <c r="S181" s="18">
        <f>EXACT(SUBSTITUTE(A181," ",""),SUBSTITUTE(I181&amp;J181&amp;K181&amp;L181&amp;M181," ",""))</f>
        <v/>
      </c>
    </row>
    <row r="182">
      <c r="A182" s="15" t="inlineStr">
        <is>
          <t>INSERT INTO CNF_PRF_TBL VALUES(3 , 566);</t>
        </is>
      </c>
      <c r="B182" s="16" t="n"/>
      <c r="C182" s="15" t="inlineStr">
        <is>
          <t xml:space="preserve">3 </t>
        </is>
      </c>
      <c r="D182" s="15" t="inlineStr">
        <is>
          <t xml:space="preserve"> 566</t>
        </is>
      </c>
      <c r="F182" s="17" t="inlineStr">
        <is>
          <t>3</t>
        </is>
      </c>
      <c r="G182" s="17" t="inlineStr">
        <is>
          <t>566</t>
        </is>
      </c>
      <c r="I182" s="15" t="inlineStr">
        <is>
          <t>INSERT INTO</t>
        </is>
      </c>
      <c r="J182" s="15" t="inlineStr">
        <is>
          <t>CNF_PRF_TBL</t>
        </is>
      </c>
      <c r="K182" s="15" t="inlineStr">
        <is>
          <t>VALUES(</t>
        </is>
      </c>
      <c r="L182" s="15" t="inlineStr">
        <is>
          <t>3 , 566</t>
        </is>
      </c>
      <c r="M182" s="15" t="inlineStr">
        <is>
          <t>);</t>
        </is>
      </c>
      <c r="O182" s="18">
        <f>EXACT(TRIM(C182),F182&amp;"")</f>
        <v/>
      </c>
      <c r="P182" s="18">
        <f>EXACT(TRIM(D182),G182&amp;"")</f>
        <v/>
      </c>
      <c r="Q182" s="18">
        <f>AND(O182:P182)</f>
        <v/>
      </c>
      <c r="R182" s="19">
        <f>TRIM(IF(O182,"",$O$3&amp;" ")&amp;IF(P182,"",$P$3&amp;" "))</f>
        <v/>
      </c>
      <c r="S182" s="18">
        <f>EXACT(SUBSTITUTE(A182," ",""),SUBSTITUTE(I182&amp;J182&amp;K182&amp;L182&amp;M182," ",""))</f>
        <v/>
      </c>
    </row>
    <row r="183">
      <c r="A183" s="15" t="inlineStr">
        <is>
          <t>INSERT INTO CNF_PRF_TBL VALUES(3 , 567);</t>
        </is>
      </c>
      <c r="B183" s="16" t="n"/>
      <c r="C183" s="15" t="inlineStr">
        <is>
          <t xml:space="preserve">3 </t>
        </is>
      </c>
      <c r="D183" s="15" t="inlineStr">
        <is>
          <t xml:space="preserve"> 567</t>
        </is>
      </c>
      <c r="F183" s="17" t="inlineStr">
        <is>
          <t>3</t>
        </is>
      </c>
      <c r="G183" s="17" t="inlineStr">
        <is>
          <t>567</t>
        </is>
      </c>
      <c r="I183" s="15" t="inlineStr">
        <is>
          <t>INSERT INTO</t>
        </is>
      </c>
      <c r="J183" s="15" t="inlineStr">
        <is>
          <t>CNF_PRF_TBL</t>
        </is>
      </c>
      <c r="K183" s="15" t="inlineStr">
        <is>
          <t>VALUES(</t>
        </is>
      </c>
      <c r="L183" s="15" t="inlineStr">
        <is>
          <t>3 , 567</t>
        </is>
      </c>
      <c r="M183" s="15" t="inlineStr">
        <is>
          <t>);</t>
        </is>
      </c>
      <c r="O183" s="18">
        <f>EXACT(TRIM(C183),F183&amp;"")</f>
        <v/>
      </c>
      <c r="P183" s="18">
        <f>EXACT(TRIM(D183),G183&amp;"")</f>
        <v/>
      </c>
      <c r="Q183" s="18">
        <f>AND(O183:P183)</f>
        <v/>
      </c>
      <c r="R183" s="19">
        <f>TRIM(IF(O183,"",$O$3&amp;" ")&amp;IF(P183,"",$P$3&amp;" "))</f>
        <v/>
      </c>
      <c r="S183" s="18">
        <f>EXACT(SUBSTITUTE(A183," ",""),SUBSTITUTE(I183&amp;J183&amp;K183&amp;L183&amp;M183," ",""))</f>
        <v/>
      </c>
    </row>
    <row r="184">
      <c r="A184" s="15" t="inlineStr">
        <is>
          <t>INSERT INTO CNF_PRF_TBL VALUES(3 , 568);</t>
        </is>
      </c>
      <c r="B184" s="16" t="n"/>
      <c r="C184" s="15" t="inlineStr">
        <is>
          <t xml:space="preserve">3 </t>
        </is>
      </c>
      <c r="D184" s="15" t="inlineStr">
        <is>
          <t xml:space="preserve"> 568</t>
        </is>
      </c>
      <c r="F184" s="17" t="inlineStr">
        <is>
          <t>3</t>
        </is>
      </c>
      <c r="G184" s="17" t="inlineStr">
        <is>
          <t>568</t>
        </is>
      </c>
      <c r="I184" s="15" t="inlineStr">
        <is>
          <t>INSERT INTO</t>
        </is>
      </c>
      <c r="J184" s="15" t="inlineStr">
        <is>
          <t>CNF_PRF_TBL</t>
        </is>
      </c>
      <c r="K184" s="15" t="inlineStr">
        <is>
          <t>VALUES(</t>
        </is>
      </c>
      <c r="L184" s="15" t="inlineStr">
        <is>
          <t>3 , 568</t>
        </is>
      </c>
      <c r="M184" s="15" t="inlineStr">
        <is>
          <t>);</t>
        </is>
      </c>
      <c r="O184" s="18">
        <f>EXACT(TRIM(C184),F184&amp;"")</f>
        <v/>
      </c>
      <c r="P184" s="18">
        <f>EXACT(TRIM(D184),G184&amp;"")</f>
        <v/>
      </c>
      <c r="Q184" s="18">
        <f>AND(O184:P184)</f>
        <v/>
      </c>
      <c r="R184" s="19">
        <f>TRIM(IF(O184,"",$O$3&amp;" ")&amp;IF(P184,"",$P$3&amp;" "))</f>
        <v/>
      </c>
      <c r="S184" s="18">
        <f>EXACT(SUBSTITUTE(A184," ",""),SUBSTITUTE(I184&amp;J184&amp;K184&amp;L184&amp;M184," ",""))</f>
        <v/>
      </c>
    </row>
    <row r="185">
      <c r="A185" s="15" t="inlineStr">
        <is>
          <t>INSERT INTO CNF_PRF_TBL VALUES(4 , 551);</t>
        </is>
      </c>
      <c r="B185" s="16" t="n"/>
      <c r="C185" s="15" t="inlineStr">
        <is>
          <t xml:space="preserve">4 </t>
        </is>
      </c>
      <c r="D185" s="15" t="inlineStr">
        <is>
          <t xml:space="preserve"> 551</t>
        </is>
      </c>
      <c r="F185" s="17" t="inlineStr">
        <is>
          <t>4</t>
        </is>
      </c>
      <c r="G185" s="17" t="inlineStr">
        <is>
          <t>551</t>
        </is>
      </c>
      <c r="I185" s="15" t="inlineStr">
        <is>
          <t>INSERT INTO</t>
        </is>
      </c>
      <c r="J185" s="15" t="inlineStr">
        <is>
          <t>CNF_PRF_TBL</t>
        </is>
      </c>
      <c r="K185" s="15" t="inlineStr">
        <is>
          <t>VALUES(</t>
        </is>
      </c>
      <c r="L185" s="15" t="inlineStr">
        <is>
          <t>4 , 551</t>
        </is>
      </c>
      <c r="M185" s="15" t="inlineStr">
        <is>
          <t>);</t>
        </is>
      </c>
      <c r="O185" s="18">
        <f>EXACT(TRIM(C185),F185&amp;"")</f>
        <v/>
      </c>
      <c r="P185" s="18">
        <f>EXACT(TRIM(D185),G185&amp;"")</f>
        <v/>
      </c>
      <c r="Q185" s="18">
        <f>AND(O185:P185)</f>
        <v/>
      </c>
      <c r="R185" s="19">
        <f>TRIM(IF(O185,"",$O$3&amp;" ")&amp;IF(P185,"",$P$3&amp;" "))</f>
        <v/>
      </c>
      <c r="S185" s="18">
        <f>EXACT(SUBSTITUTE(A185," ",""),SUBSTITUTE(I185&amp;J185&amp;K185&amp;L185&amp;M185," ",""))</f>
        <v/>
      </c>
    </row>
    <row r="186">
      <c r="A186" s="15" t="inlineStr">
        <is>
          <t>INSERT INTO CNF_PRF_TBL VALUES(4 , 552);</t>
        </is>
      </c>
      <c r="B186" s="16" t="n"/>
      <c r="C186" s="15" t="inlineStr">
        <is>
          <t xml:space="preserve">4 </t>
        </is>
      </c>
      <c r="D186" s="15" t="inlineStr">
        <is>
          <t xml:space="preserve"> 552</t>
        </is>
      </c>
      <c r="F186" s="17" t="inlineStr">
        <is>
          <t>4</t>
        </is>
      </c>
      <c r="G186" s="17" t="inlineStr">
        <is>
          <t>552</t>
        </is>
      </c>
      <c r="I186" s="15" t="inlineStr">
        <is>
          <t>INSERT INTO</t>
        </is>
      </c>
      <c r="J186" s="15" t="inlineStr">
        <is>
          <t>CNF_PRF_TBL</t>
        </is>
      </c>
      <c r="K186" s="15" t="inlineStr">
        <is>
          <t>VALUES(</t>
        </is>
      </c>
      <c r="L186" s="15" t="inlineStr">
        <is>
          <t>4 , 552</t>
        </is>
      </c>
      <c r="M186" s="15" t="inlineStr">
        <is>
          <t>);</t>
        </is>
      </c>
      <c r="O186" s="18">
        <f>EXACT(TRIM(C186),F186&amp;"")</f>
        <v/>
      </c>
      <c r="P186" s="18">
        <f>EXACT(TRIM(D186),G186&amp;"")</f>
        <v/>
      </c>
      <c r="Q186" s="18">
        <f>AND(O186:P186)</f>
        <v/>
      </c>
      <c r="R186" s="19">
        <f>TRIM(IF(O186,"",$O$3&amp;" ")&amp;IF(P186,"",$P$3&amp;" "))</f>
        <v/>
      </c>
      <c r="S186" s="18">
        <f>EXACT(SUBSTITUTE(A186," ",""),SUBSTITUTE(I186&amp;J186&amp;K186&amp;L186&amp;M186," ",""))</f>
        <v/>
      </c>
    </row>
    <row r="187">
      <c r="A187" s="15" t="inlineStr">
        <is>
          <t>INSERT INTO CNF_PRF_TBL VALUES(4 , 554);</t>
        </is>
      </c>
      <c r="B187" s="16" t="n"/>
      <c r="C187" s="15" t="inlineStr">
        <is>
          <t xml:space="preserve">4 </t>
        </is>
      </c>
      <c r="D187" s="15" t="inlineStr">
        <is>
          <t xml:space="preserve"> 554</t>
        </is>
      </c>
      <c r="F187" s="17" t="inlineStr">
        <is>
          <t>4</t>
        </is>
      </c>
      <c r="G187" s="17" t="inlineStr">
        <is>
          <t>554</t>
        </is>
      </c>
      <c r="I187" s="15" t="inlineStr">
        <is>
          <t>INSERT INTO</t>
        </is>
      </c>
      <c r="J187" s="15" t="inlineStr">
        <is>
          <t>CNF_PRF_TBL</t>
        </is>
      </c>
      <c r="K187" s="15" t="inlineStr">
        <is>
          <t>VALUES(</t>
        </is>
      </c>
      <c r="L187" s="15" t="inlineStr">
        <is>
          <t>4 , 554</t>
        </is>
      </c>
      <c r="M187" s="15" t="inlineStr">
        <is>
          <t>);</t>
        </is>
      </c>
      <c r="O187" s="18">
        <f>EXACT(TRIM(C187),F187&amp;"")</f>
        <v/>
      </c>
      <c r="P187" s="18">
        <f>EXACT(TRIM(D187),G187&amp;"")</f>
        <v/>
      </c>
      <c r="Q187" s="18">
        <f>AND(O187:P187)</f>
        <v/>
      </c>
      <c r="R187" s="19">
        <f>TRIM(IF(O187,"",$O$3&amp;" ")&amp;IF(P187,"",$P$3&amp;" "))</f>
        <v/>
      </c>
      <c r="S187" s="18">
        <f>EXACT(SUBSTITUTE(A187," ",""),SUBSTITUTE(I187&amp;J187&amp;K187&amp;L187&amp;M187," ",""))</f>
        <v/>
      </c>
    </row>
    <row r="188">
      <c r="A188" s="15" t="inlineStr">
        <is>
          <t>INSERT INTO CNF_PRF_TBL VALUES(4 , 555);</t>
        </is>
      </c>
      <c r="B188" s="16" t="n"/>
      <c r="C188" s="15" t="inlineStr">
        <is>
          <t xml:space="preserve">4 </t>
        </is>
      </c>
      <c r="D188" s="15" t="inlineStr">
        <is>
          <t xml:space="preserve"> 555</t>
        </is>
      </c>
      <c r="F188" s="17" t="inlineStr">
        <is>
          <t>4</t>
        </is>
      </c>
      <c r="G188" s="17" t="inlineStr">
        <is>
          <t>555</t>
        </is>
      </c>
      <c r="I188" s="15" t="inlineStr">
        <is>
          <t>INSERT INTO</t>
        </is>
      </c>
      <c r="J188" s="15" t="inlineStr">
        <is>
          <t>CNF_PRF_TBL</t>
        </is>
      </c>
      <c r="K188" s="15" t="inlineStr">
        <is>
          <t>VALUES(</t>
        </is>
      </c>
      <c r="L188" s="15" t="inlineStr">
        <is>
          <t>4 , 555</t>
        </is>
      </c>
      <c r="M188" s="15" t="inlineStr">
        <is>
          <t>);</t>
        </is>
      </c>
      <c r="O188" s="18">
        <f>EXACT(TRIM(C188),F188&amp;"")</f>
        <v/>
      </c>
      <c r="P188" s="18">
        <f>EXACT(TRIM(D188),G188&amp;"")</f>
        <v/>
      </c>
      <c r="Q188" s="18">
        <f>AND(O188:P188)</f>
        <v/>
      </c>
      <c r="R188" s="19">
        <f>TRIM(IF(O188,"",$O$3&amp;" ")&amp;IF(P188,"",$P$3&amp;" "))</f>
        <v/>
      </c>
      <c r="S188" s="18">
        <f>EXACT(SUBSTITUTE(A188," ",""),SUBSTITUTE(I188&amp;J188&amp;K188&amp;L188&amp;M188," ",""))</f>
        <v/>
      </c>
    </row>
    <row r="189">
      <c r="A189" s="15" t="inlineStr">
        <is>
          <t>INSERT INTO CNF_PRF_TBL VALUES(4 , 557);</t>
        </is>
      </c>
      <c r="B189" s="16" t="n"/>
      <c r="C189" s="15" t="inlineStr">
        <is>
          <t xml:space="preserve">4 </t>
        </is>
      </c>
      <c r="D189" s="15" t="inlineStr">
        <is>
          <t xml:space="preserve"> 557</t>
        </is>
      </c>
      <c r="F189" s="17" t="inlineStr">
        <is>
          <t>4</t>
        </is>
      </c>
      <c r="G189" s="17" t="inlineStr">
        <is>
          <t>557</t>
        </is>
      </c>
      <c r="I189" s="15" t="inlineStr">
        <is>
          <t>INSERT INTO</t>
        </is>
      </c>
      <c r="J189" s="15" t="inlineStr">
        <is>
          <t>CNF_PRF_TBL</t>
        </is>
      </c>
      <c r="K189" s="15" t="inlineStr">
        <is>
          <t>VALUES(</t>
        </is>
      </c>
      <c r="L189" s="15" t="inlineStr">
        <is>
          <t>4 , 557</t>
        </is>
      </c>
      <c r="M189" s="15" t="inlineStr">
        <is>
          <t>);</t>
        </is>
      </c>
      <c r="O189" s="18">
        <f>EXACT(TRIM(C189),F189&amp;"")</f>
        <v/>
      </c>
      <c r="P189" s="18">
        <f>EXACT(TRIM(D189),G189&amp;"")</f>
        <v/>
      </c>
      <c r="Q189" s="18">
        <f>AND(O189:P189)</f>
        <v/>
      </c>
      <c r="R189" s="19">
        <f>TRIM(IF(O189,"",$O$3&amp;" ")&amp;IF(P189,"",$P$3&amp;" "))</f>
        <v/>
      </c>
      <c r="S189" s="18">
        <f>EXACT(SUBSTITUTE(A189," ",""),SUBSTITUTE(I189&amp;J189&amp;K189&amp;L189&amp;M189," ",""))</f>
        <v/>
      </c>
    </row>
    <row r="190">
      <c r="A190" s="15" t="inlineStr">
        <is>
          <t>INSERT INTO CNF_PRF_TBL VALUES(4 , 558);</t>
        </is>
      </c>
      <c r="B190" s="16" t="n"/>
      <c r="C190" s="15" t="inlineStr">
        <is>
          <t xml:space="preserve">4 </t>
        </is>
      </c>
      <c r="D190" s="15" t="inlineStr">
        <is>
          <t xml:space="preserve"> 558</t>
        </is>
      </c>
      <c r="F190" s="17" t="inlineStr">
        <is>
          <t>4</t>
        </is>
      </c>
      <c r="G190" s="17" t="inlineStr">
        <is>
          <t>558</t>
        </is>
      </c>
      <c r="I190" s="15" t="inlineStr">
        <is>
          <t>INSERT INTO</t>
        </is>
      </c>
      <c r="J190" s="15" t="inlineStr">
        <is>
          <t>CNF_PRF_TBL</t>
        </is>
      </c>
      <c r="K190" s="15" t="inlineStr">
        <is>
          <t>VALUES(</t>
        </is>
      </c>
      <c r="L190" s="15" t="inlineStr">
        <is>
          <t>4 , 558</t>
        </is>
      </c>
      <c r="M190" s="15" t="inlineStr">
        <is>
          <t>);</t>
        </is>
      </c>
      <c r="O190" s="18">
        <f>EXACT(TRIM(C190),F190&amp;"")</f>
        <v/>
      </c>
      <c r="P190" s="18">
        <f>EXACT(TRIM(D190),G190&amp;"")</f>
        <v/>
      </c>
      <c r="Q190" s="18">
        <f>AND(O190:P190)</f>
        <v/>
      </c>
      <c r="R190" s="19">
        <f>TRIM(IF(O190,"",$O$3&amp;" ")&amp;IF(P190,"",$P$3&amp;" "))</f>
        <v/>
      </c>
      <c r="S190" s="18">
        <f>EXACT(SUBSTITUTE(A190," ",""),SUBSTITUTE(I190&amp;J190&amp;K190&amp;L190&amp;M190," ",""))</f>
        <v/>
      </c>
    </row>
    <row r="191">
      <c r="A191" s="15" t="inlineStr">
        <is>
          <t>INSERT INTO CNF_PRF_TBL VALUES(4 , 560);</t>
        </is>
      </c>
      <c r="B191" s="16" t="n"/>
      <c r="C191" s="15" t="inlineStr">
        <is>
          <t xml:space="preserve">4 </t>
        </is>
      </c>
      <c r="D191" s="15" t="inlineStr">
        <is>
          <t xml:space="preserve"> 560</t>
        </is>
      </c>
      <c r="F191" s="17" t="inlineStr">
        <is>
          <t>4</t>
        </is>
      </c>
      <c r="G191" s="17" t="inlineStr">
        <is>
          <t>560</t>
        </is>
      </c>
      <c r="I191" s="15" t="inlineStr">
        <is>
          <t>INSERT INTO</t>
        </is>
      </c>
      <c r="J191" s="15" t="inlineStr">
        <is>
          <t>CNF_PRF_TBL</t>
        </is>
      </c>
      <c r="K191" s="15" t="inlineStr">
        <is>
          <t>VALUES(</t>
        </is>
      </c>
      <c r="L191" s="15" t="inlineStr">
        <is>
          <t>4 , 560</t>
        </is>
      </c>
      <c r="M191" s="15" t="inlineStr">
        <is>
          <t>);</t>
        </is>
      </c>
      <c r="O191" s="18">
        <f>EXACT(TRIM(C191),F191&amp;"")</f>
        <v/>
      </c>
      <c r="P191" s="18">
        <f>EXACT(TRIM(D191),G191&amp;"")</f>
        <v/>
      </c>
      <c r="Q191" s="18">
        <f>AND(O191:P191)</f>
        <v/>
      </c>
      <c r="R191" s="19">
        <f>TRIM(IF(O191,"",$O$3&amp;" ")&amp;IF(P191,"",$P$3&amp;" "))</f>
        <v/>
      </c>
      <c r="S191" s="18">
        <f>EXACT(SUBSTITUTE(A191," ",""),SUBSTITUTE(I191&amp;J191&amp;K191&amp;L191&amp;M191," ",""))</f>
        <v/>
      </c>
    </row>
    <row r="192">
      <c r="A192" s="15" t="inlineStr">
        <is>
          <t>INSERT INTO CNF_PRF_TBL VALUES(4 , 561);</t>
        </is>
      </c>
      <c r="B192" s="16" t="n"/>
      <c r="C192" s="15" t="inlineStr">
        <is>
          <t xml:space="preserve">4 </t>
        </is>
      </c>
      <c r="D192" s="15" t="inlineStr">
        <is>
          <t xml:space="preserve"> 561</t>
        </is>
      </c>
      <c r="F192" s="17" t="inlineStr">
        <is>
          <t>4</t>
        </is>
      </c>
      <c r="G192" s="17" t="inlineStr">
        <is>
          <t>561</t>
        </is>
      </c>
      <c r="I192" s="15" t="inlineStr">
        <is>
          <t>INSERT INTO</t>
        </is>
      </c>
      <c r="J192" s="15" t="inlineStr">
        <is>
          <t>CNF_PRF_TBL</t>
        </is>
      </c>
      <c r="K192" s="15" t="inlineStr">
        <is>
          <t>VALUES(</t>
        </is>
      </c>
      <c r="L192" s="15" t="inlineStr">
        <is>
          <t>4 , 561</t>
        </is>
      </c>
      <c r="M192" s="15" t="inlineStr">
        <is>
          <t>);</t>
        </is>
      </c>
      <c r="O192" s="18">
        <f>EXACT(TRIM(C192),F192&amp;"")</f>
        <v/>
      </c>
      <c r="P192" s="18">
        <f>EXACT(TRIM(D192),G192&amp;"")</f>
        <v/>
      </c>
      <c r="Q192" s="18">
        <f>AND(O192:P192)</f>
        <v/>
      </c>
      <c r="R192" s="19">
        <f>TRIM(IF(O192,"",$O$3&amp;" ")&amp;IF(P192,"",$P$3&amp;" "))</f>
        <v/>
      </c>
      <c r="S192" s="18">
        <f>EXACT(SUBSTITUTE(A192," ",""),SUBSTITUTE(I192&amp;J192&amp;K192&amp;L192&amp;M192," ",""))</f>
        <v/>
      </c>
    </row>
    <row r="193">
      <c r="A193" s="15" t="inlineStr">
        <is>
          <t>INSERT INTO CNF_PRF_TBL VALUES(4 , 563);</t>
        </is>
      </c>
      <c r="B193" s="16" t="n"/>
      <c r="C193" s="15" t="inlineStr">
        <is>
          <t xml:space="preserve">4 </t>
        </is>
      </c>
      <c r="D193" s="15" t="inlineStr">
        <is>
          <t xml:space="preserve"> 563</t>
        </is>
      </c>
      <c r="F193" s="17" t="inlineStr">
        <is>
          <t>4</t>
        </is>
      </c>
      <c r="G193" s="17" t="inlineStr">
        <is>
          <t>563</t>
        </is>
      </c>
      <c r="I193" s="15" t="inlineStr">
        <is>
          <t>INSERT INTO</t>
        </is>
      </c>
      <c r="J193" s="15" t="inlineStr">
        <is>
          <t>CNF_PRF_TBL</t>
        </is>
      </c>
      <c r="K193" s="15" t="inlineStr">
        <is>
          <t>VALUES(</t>
        </is>
      </c>
      <c r="L193" s="15" t="inlineStr">
        <is>
          <t>4 , 563</t>
        </is>
      </c>
      <c r="M193" s="15" t="inlineStr">
        <is>
          <t>);</t>
        </is>
      </c>
      <c r="O193" s="18">
        <f>EXACT(TRIM(C193),F193&amp;"")</f>
        <v/>
      </c>
      <c r="P193" s="18">
        <f>EXACT(TRIM(D193),G193&amp;"")</f>
        <v/>
      </c>
      <c r="Q193" s="18">
        <f>AND(O193:P193)</f>
        <v/>
      </c>
      <c r="R193" s="19">
        <f>TRIM(IF(O193,"",$O$3&amp;" ")&amp;IF(P193,"",$P$3&amp;" "))</f>
        <v/>
      </c>
      <c r="S193" s="18">
        <f>EXACT(SUBSTITUTE(A193," ",""),SUBSTITUTE(I193&amp;J193&amp;K193&amp;L193&amp;M193," ",""))</f>
        <v/>
      </c>
    </row>
    <row r="194">
      <c r="A194" s="15" t="inlineStr">
        <is>
          <t>INSERT INTO CNF_PRF_TBL VALUES(4 , 564);</t>
        </is>
      </c>
      <c r="B194" s="16" t="n"/>
      <c r="C194" s="15" t="inlineStr">
        <is>
          <t xml:space="preserve">4 </t>
        </is>
      </c>
      <c r="D194" s="15" t="inlineStr">
        <is>
          <t xml:space="preserve"> 564</t>
        </is>
      </c>
      <c r="F194" s="17" t="inlineStr">
        <is>
          <t>4</t>
        </is>
      </c>
      <c r="G194" s="17" t="inlineStr">
        <is>
          <t>564</t>
        </is>
      </c>
      <c r="I194" s="15" t="inlineStr">
        <is>
          <t>INSERT INTO</t>
        </is>
      </c>
      <c r="J194" s="15" t="inlineStr">
        <is>
          <t>CNF_PRF_TBL</t>
        </is>
      </c>
      <c r="K194" s="15" t="inlineStr">
        <is>
          <t>VALUES(</t>
        </is>
      </c>
      <c r="L194" s="15" t="inlineStr">
        <is>
          <t>4 , 564</t>
        </is>
      </c>
      <c r="M194" s="15" t="inlineStr">
        <is>
          <t>);</t>
        </is>
      </c>
      <c r="O194" s="18">
        <f>EXACT(TRIM(C194),F194&amp;"")</f>
        <v/>
      </c>
      <c r="P194" s="18">
        <f>EXACT(TRIM(D194),G194&amp;"")</f>
        <v/>
      </c>
      <c r="Q194" s="18">
        <f>AND(O194:P194)</f>
        <v/>
      </c>
      <c r="R194" s="19">
        <f>TRIM(IF(O194,"",$O$3&amp;" ")&amp;IF(P194,"",$P$3&amp;" "))</f>
        <v/>
      </c>
      <c r="S194" s="18">
        <f>EXACT(SUBSTITUTE(A194," ",""),SUBSTITUTE(I194&amp;J194&amp;K194&amp;L194&amp;M194," ",""))</f>
        <v/>
      </c>
    </row>
    <row r="195">
      <c r="A195" s="15" t="inlineStr">
        <is>
          <t>INSERT INTO CNF_PRF_TBL VALUES(4 , 566);</t>
        </is>
      </c>
      <c r="B195" s="16" t="n"/>
      <c r="C195" s="15" t="inlineStr">
        <is>
          <t xml:space="preserve">4 </t>
        </is>
      </c>
      <c r="D195" s="15" t="inlineStr">
        <is>
          <t xml:space="preserve"> 566</t>
        </is>
      </c>
      <c r="F195" s="17" t="inlineStr">
        <is>
          <t>4</t>
        </is>
      </c>
      <c r="G195" s="17" t="inlineStr">
        <is>
          <t>566</t>
        </is>
      </c>
      <c r="I195" s="15" t="inlineStr">
        <is>
          <t>INSERT INTO</t>
        </is>
      </c>
      <c r="J195" s="15" t="inlineStr">
        <is>
          <t>CNF_PRF_TBL</t>
        </is>
      </c>
      <c r="K195" s="15" t="inlineStr">
        <is>
          <t>VALUES(</t>
        </is>
      </c>
      <c r="L195" s="15" t="inlineStr">
        <is>
          <t>4 , 566</t>
        </is>
      </c>
      <c r="M195" s="15" t="inlineStr">
        <is>
          <t>);</t>
        </is>
      </c>
      <c r="O195" s="18">
        <f>EXACT(TRIM(C195),F195&amp;"")</f>
        <v/>
      </c>
      <c r="P195" s="18">
        <f>EXACT(TRIM(D195),G195&amp;"")</f>
        <v/>
      </c>
      <c r="Q195" s="18">
        <f>AND(O195:P195)</f>
        <v/>
      </c>
      <c r="R195" s="19">
        <f>TRIM(IF(O195,"",$O$3&amp;" ")&amp;IF(P195,"",$P$3&amp;" "))</f>
        <v/>
      </c>
      <c r="S195" s="18">
        <f>EXACT(SUBSTITUTE(A195," ",""),SUBSTITUTE(I195&amp;J195&amp;K195&amp;L195&amp;M195," ",""))</f>
        <v/>
      </c>
    </row>
    <row r="196">
      <c r="A196" s="15" t="inlineStr">
        <is>
          <t>INSERT INTO CNF_PRF_TBL VALUES(4 , 567);</t>
        </is>
      </c>
      <c r="B196" s="16" t="n"/>
      <c r="C196" s="15" t="inlineStr">
        <is>
          <t xml:space="preserve">4 </t>
        </is>
      </c>
      <c r="D196" s="15" t="inlineStr">
        <is>
          <t xml:space="preserve"> 567</t>
        </is>
      </c>
      <c r="F196" s="17" t="inlineStr">
        <is>
          <t>4</t>
        </is>
      </c>
      <c r="G196" s="17" t="inlineStr">
        <is>
          <t>567</t>
        </is>
      </c>
      <c r="I196" s="15" t="inlineStr">
        <is>
          <t>INSERT INTO</t>
        </is>
      </c>
      <c r="J196" s="15" t="inlineStr">
        <is>
          <t>CNF_PRF_TBL</t>
        </is>
      </c>
      <c r="K196" s="15" t="inlineStr">
        <is>
          <t>VALUES(</t>
        </is>
      </c>
      <c r="L196" s="15" t="inlineStr">
        <is>
          <t>4 , 567</t>
        </is>
      </c>
      <c r="M196" s="15" t="inlineStr">
        <is>
          <t>);</t>
        </is>
      </c>
      <c r="O196" s="18">
        <f>EXACT(TRIM(C196),F196&amp;"")</f>
        <v/>
      </c>
      <c r="P196" s="18">
        <f>EXACT(TRIM(D196),G196&amp;"")</f>
        <v/>
      </c>
      <c r="Q196" s="18">
        <f>AND(O196:P196)</f>
        <v/>
      </c>
      <c r="R196" s="19">
        <f>TRIM(IF(O196,"",$O$3&amp;" ")&amp;IF(P196,"",$P$3&amp;" "))</f>
        <v/>
      </c>
      <c r="S196" s="18">
        <f>EXACT(SUBSTITUTE(A196," ",""),SUBSTITUTE(I196&amp;J196&amp;K196&amp;L196&amp;M196," ",""))</f>
        <v/>
      </c>
    </row>
    <row r="197">
      <c r="A197" s="15" t="inlineStr">
        <is>
          <t>INSERT INTO CNF_PRF_TBL VALUES(5 , 551);</t>
        </is>
      </c>
      <c r="B197" s="16" t="n"/>
      <c r="C197" s="15" t="inlineStr">
        <is>
          <t xml:space="preserve">5 </t>
        </is>
      </c>
      <c r="D197" s="15" t="inlineStr">
        <is>
          <t xml:space="preserve"> 551</t>
        </is>
      </c>
      <c r="F197" s="17" t="inlineStr">
        <is>
          <t>5</t>
        </is>
      </c>
      <c r="G197" s="17" t="inlineStr">
        <is>
          <t>551</t>
        </is>
      </c>
      <c r="I197" s="15" t="inlineStr">
        <is>
          <t>INSERT INTO</t>
        </is>
      </c>
      <c r="J197" s="15" t="inlineStr">
        <is>
          <t>CNF_PRF_TBL</t>
        </is>
      </c>
      <c r="K197" s="15" t="inlineStr">
        <is>
          <t>VALUES(</t>
        </is>
      </c>
      <c r="L197" s="15" t="inlineStr">
        <is>
          <t>5 , 551</t>
        </is>
      </c>
      <c r="M197" s="15" t="inlineStr">
        <is>
          <t>);</t>
        </is>
      </c>
      <c r="O197" s="18">
        <f>EXACT(TRIM(C197),F197&amp;"")</f>
        <v/>
      </c>
      <c r="P197" s="18">
        <f>EXACT(TRIM(D197),G197&amp;"")</f>
        <v/>
      </c>
      <c r="Q197" s="18">
        <f>AND(O197:P197)</f>
        <v/>
      </c>
      <c r="R197" s="19">
        <f>TRIM(IF(O197,"",$O$3&amp;" ")&amp;IF(P197,"",$P$3&amp;" "))</f>
        <v/>
      </c>
      <c r="S197" s="18">
        <f>EXACT(SUBSTITUTE(A197," ",""),SUBSTITUTE(I197&amp;J197&amp;K197&amp;L197&amp;M197," ",""))</f>
        <v/>
      </c>
    </row>
    <row r="198">
      <c r="A198" s="15" t="inlineStr">
        <is>
          <t>INSERT INTO CNF_PRF_TBL VALUES(5 , 552);</t>
        </is>
      </c>
      <c r="B198" s="16" t="n"/>
      <c r="C198" s="15" t="inlineStr">
        <is>
          <t xml:space="preserve">5 </t>
        </is>
      </c>
      <c r="D198" s="15" t="inlineStr">
        <is>
          <t xml:space="preserve"> 552</t>
        </is>
      </c>
      <c r="F198" s="17" t="inlineStr">
        <is>
          <t>5</t>
        </is>
      </c>
      <c r="G198" s="17" t="inlineStr">
        <is>
          <t>552</t>
        </is>
      </c>
      <c r="I198" s="15" t="inlineStr">
        <is>
          <t>INSERT INTO</t>
        </is>
      </c>
      <c r="J198" s="15" t="inlineStr">
        <is>
          <t>CNF_PRF_TBL</t>
        </is>
      </c>
      <c r="K198" s="15" t="inlineStr">
        <is>
          <t>VALUES(</t>
        </is>
      </c>
      <c r="L198" s="15" t="inlineStr">
        <is>
          <t>5 , 552</t>
        </is>
      </c>
      <c r="M198" s="15" t="inlineStr">
        <is>
          <t>);</t>
        </is>
      </c>
      <c r="O198" s="18">
        <f>EXACT(TRIM(C198),F198&amp;"")</f>
        <v/>
      </c>
      <c r="P198" s="18">
        <f>EXACT(TRIM(D198),G198&amp;"")</f>
        <v/>
      </c>
      <c r="Q198" s="18">
        <f>AND(O198:P198)</f>
        <v/>
      </c>
      <c r="R198" s="19">
        <f>TRIM(IF(O198,"",$O$3&amp;" ")&amp;IF(P198,"",$P$3&amp;" "))</f>
        <v/>
      </c>
      <c r="S198" s="18">
        <f>EXACT(SUBSTITUTE(A198," ",""),SUBSTITUTE(I198&amp;J198&amp;K198&amp;L198&amp;M198," ",""))</f>
        <v/>
      </c>
    </row>
    <row r="199">
      <c r="A199" s="15" t="inlineStr">
        <is>
          <t>INSERT INTO CNF_PRF_TBL VALUES(5 , 554);</t>
        </is>
      </c>
      <c r="B199" s="16" t="n"/>
      <c r="C199" s="15" t="inlineStr">
        <is>
          <t xml:space="preserve">5 </t>
        </is>
      </c>
      <c r="D199" s="15" t="inlineStr">
        <is>
          <t xml:space="preserve"> 554</t>
        </is>
      </c>
      <c r="F199" s="17" t="inlineStr">
        <is>
          <t>5</t>
        </is>
      </c>
      <c r="G199" s="17" t="inlineStr">
        <is>
          <t>554</t>
        </is>
      </c>
      <c r="I199" s="15" t="inlineStr">
        <is>
          <t>INSERT INTO</t>
        </is>
      </c>
      <c r="J199" s="15" t="inlineStr">
        <is>
          <t>CNF_PRF_TBL</t>
        </is>
      </c>
      <c r="K199" s="15" t="inlineStr">
        <is>
          <t>VALUES(</t>
        </is>
      </c>
      <c r="L199" s="15" t="inlineStr">
        <is>
          <t>5 , 554</t>
        </is>
      </c>
      <c r="M199" s="15" t="inlineStr">
        <is>
          <t>);</t>
        </is>
      </c>
      <c r="O199" s="18">
        <f>EXACT(TRIM(C199),F199&amp;"")</f>
        <v/>
      </c>
      <c r="P199" s="18">
        <f>EXACT(TRIM(D199),G199&amp;"")</f>
        <v/>
      </c>
      <c r="Q199" s="18">
        <f>AND(O199:P199)</f>
        <v/>
      </c>
      <c r="R199" s="19">
        <f>TRIM(IF(O199,"",$O$3&amp;" ")&amp;IF(P199,"",$P$3&amp;" "))</f>
        <v/>
      </c>
      <c r="S199" s="18">
        <f>EXACT(SUBSTITUTE(A199," ",""),SUBSTITUTE(I199&amp;J199&amp;K199&amp;L199&amp;M199," ",""))</f>
        <v/>
      </c>
    </row>
    <row r="200">
      <c r="A200" s="15" t="inlineStr">
        <is>
          <t>INSERT INTO CNF_PRF_TBL VALUES(5 , 555);</t>
        </is>
      </c>
      <c r="B200" s="16" t="n"/>
      <c r="C200" s="15" t="inlineStr">
        <is>
          <t xml:space="preserve">5 </t>
        </is>
      </c>
      <c r="D200" s="15" t="inlineStr">
        <is>
          <t xml:space="preserve"> 555</t>
        </is>
      </c>
      <c r="F200" s="17" t="inlineStr">
        <is>
          <t>5</t>
        </is>
      </c>
      <c r="G200" s="17" t="inlineStr">
        <is>
          <t>555</t>
        </is>
      </c>
      <c r="I200" s="15" t="inlineStr">
        <is>
          <t>INSERT INTO</t>
        </is>
      </c>
      <c r="J200" s="15" t="inlineStr">
        <is>
          <t>CNF_PRF_TBL</t>
        </is>
      </c>
      <c r="K200" s="15" t="inlineStr">
        <is>
          <t>VALUES(</t>
        </is>
      </c>
      <c r="L200" s="15" t="inlineStr">
        <is>
          <t>5 , 555</t>
        </is>
      </c>
      <c r="M200" s="15" t="inlineStr">
        <is>
          <t>);</t>
        </is>
      </c>
      <c r="O200" s="18">
        <f>EXACT(TRIM(C200),F200&amp;"")</f>
        <v/>
      </c>
      <c r="P200" s="18">
        <f>EXACT(TRIM(D200),G200&amp;"")</f>
        <v/>
      </c>
      <c r="Q200" s="18">
        <f>AND(O200:P200)</f>
        <v/>
      </c>
      <c r="R200" s="19">
        <f>TRIM(IF(O200,"",$O$3&amp;" ")&amp;IF(P200,"",$P$3&amp;" "))</f>
        <v/>
      </c>
      <c r="S200" s="18">
        <f>EXACT(SUBSTITUTE(A200," ",""),SUBSTITUTE(I200&amp;J200&amp;K200&amp;L200&amp;M200," ",""))</f>
        <v/>
      </c>
    </row>
    <row r="201">
      <c r="A201" s="15" t="inlineStr">
        <is>
          <t>INSERT INTO CNF_PRF_TBL VALUES(5 , 557);</t>
        </is>
      </c>
      <c r="B201" s="16" t="n"/>
      <c r="C201" s="15" t="inlineStr">
        <is>
          <t xml:space="preserve">5 </t>
        </is>
      </c>
      <c r="D201" s="15" t="inlineStr">
        <is>
          <t xml:space="preserve"> 557</t>
        </is>
      </c>
      <c r="F201" s="17" t="inlineStr">
        <is>
          <t>5</t>
        </is>
      </c>
      <c r="G201" s="17" t="inlineStr">
        <is>
          <t>557</t>
        </is>
      </c>
      <c r="I201" s="15" t="inlineStr">
        <is>
          <t>INSERT INTO</t>
        </is>
      </c>
      <c r="J201" s="15" t="inlineStr">
        <is>
          <t>CNF_PRF_TBL</t>
        </is>
      </c>
      <c r="K201" s="15" t="inlineStr">
        <is>
          <t>VALUES(</t>
        </is>
      </c>
      <c r="L201" s="15" t="inlineStr">
        <is>
          <t>5 , 557</t>
        </is>
      </c>
      <c r="M201" s="15" t="inlineStr">
        <is>
          <t>);</t>
        </is>
      </c>
      <c r="O201" s="18">
        <f>EXACT(TRIM(C201),F201&amp;"")</f>
        <v/>
      </c>
      <c r="P201" s="18">
        <f>EXACT(TRIM(D201),G201&amp;"")</f>
        <v/>
      </c>
      <c r="Q201" s="18">
        <f>AND(O201:P201)</f>
        <v/>
      </c>
      <c r="R201" s="19">
        <f>TRIM(IF(O201,"",$O$3&amp;" ")&amp;IF(P201,"",$P$3&amp;" "))</f>
        <v/>
      </c>
      <c r="S201" s="18">
        <f>EXACT(SUBSTITUTE(A201," ",""),SUBSTITUTE(I201&amp;J201&amp;K201&amp;L201&amp;M201," ",""))</f>
        <v/>
      </c>
    </row>
    <row r="202">
      <c r="A202" s="15" t="inlineStr">
        <is>
          <t>INSERT INTO CNF_PRF_TBL VALUES(5 , 558);</t>
        </is>
      </c>
      <c r="B202" s="16" t="n"/>
      <c r="C202" s="15" t="inlineStr">
        <is>
          <t xml:space="preserve">5 </t>
        </is>
      </c>
      <c r="D202" s="15" t="inlineStr">
        <is>
          <t xml:space="preserve"> 558</t>
        </is>
      </c>
      <c r="F202" s="17" t="inlineStr">
        <is>
          <t>5</t>
        </is>
      </c>
      <c r="G202" s="17" t="inlineStr">
        <is>
          <t>558</t>
        </is>
      </c>
      <c r="I202" s="15" t="inlineStr">
        <is>
          <t>INSERT INTO</t>
        </is>
      </c>
      <c r="J202" s="15" t="inlineStr">
        <is>
          <t>CNF_PRF_TBL</t>
        </is>
      </c>
      <c r="K202" s="15" t="inlineStr">
        <is>
          <t>VALUES(</t>
        </is>
      </c>
      <c r="L202" s="15" t="inlineStr">
        <is>
          <t>5 , 558</t>
        </is>
      </c>
      <c r="M202" s="15" t="inlineStr">
        <is>
          <t>);</t>
        </is>
      </c>
      <c r="O202" s="18">
        <f>EXACT(TRIM(C202),F202&amp;"")</f>
        <v/>
      </c>
      <c r="P202" s="18">
        <f>EXACT(TRIM(D202),G202&amp;"")</f>
        <v/>
      </c>
      <c r="Q202" s="18">
        <f>AND(O202:P202)</f>
        <v/>
      </c>
      <c r="R202" s="19">
        <f>TRIM(IF(O202,"",$O$3&amp;" ")&amp;IF(P202,"",$P$3&amp;" "))</f>
        <v/>
      </c>
      <c r="S202" s="18">
        <f>EXACT(SUBSTITUTE(A202," ",""),SUBSTITUTE(I202&amp;J202&amp;K202&amp;L202&amp;M202," ",""))</f>
        <v/>
      </c>
    </row>
    <row r="203">
      <c r="A203" s="15" t="inlineStr">
        <is>
          <t>INSERT INTO CNF_PRF_TBL VALUES(5 , 560);</t>
        </is>
      </c>
      <c r="B203" s="16" t="n"/>
      <c r="C203" s="15" t="inlineStr">
        <is>
          <t xml:space="preserve">5 </t>
        </is>
      </c>
      <c r="D203" s="15" t="inlineStr">
        <is>
          <t xml:space="preserve"> 560</t>
        </is>
      </c>
      <c r="F203" s="17" t="inlineStr">
        <is>
          <t>5</t>
        </is>
      </c>
      <c r="G203" s="17" t="inlineStr">
        <is>
          <t>560</t>
        </is>
      </c>
      <c r="I203" s="15" t="inlineStr">
        <is>
          <t>INSERT INTO</t>
        </is>
      </c>
      <c r="J203" s="15" t="inlineStr">
        <is>
          <t>CNF_PRF_TBL</t>
        </is>
      </c>
      <c r="K203" s="15" t="inlineStr">
        <is>
          <t>VALUES(</t>
        </is>
      </c>
      <c r="L203" s="15" t="inlineStr">
        <is>
          <t>5 , 560</t>
        </is>
      </c>
      <c r="M203" s="15" t="inlineStr">
        <is>
          <t>);</t>
        </is>
      </c>
      <c r="O203" s="18">
        <f>EXACT(TRIM(C203),F203&amp;"")</f>
        <v/>
      </c>
      <c r="P203" s="18">
        <f>EXACT(TRIM(D203),G203&amp;"")</f>
        <v/>
      </c>
      <c r="Q203" s="18">
        <f>AND(O203:P203)</f>
        <v/>
      </c>
      <c r="R203" s="19">
        <f>TRIM(IF(O203,"",$O$3&amp;" ")&amp;IF(P203,"",$P$3&amp;" "))</f>
        <v/>
      </c>
      <c r="S203" s="18">
        <f>EXACT(SUBSTITUTE(A203," ",""),SUBSTITUTE(I203&amp;J203&amp;K203&amp;L203&amp;M203," ",""))</f>
        <v/>
      </c>
    </row>
    <row r="204">
      <c r="A204" s="15" t="inlineStr">
        <is>
          <t>INSERT INTO CNF_PRF_TBL VALUES(5 , 561);</t>
        </is>
      </c>
      <c r="B204" s="16" t="n"/>
      <c r="C204" s="15" t="inlineStr">
        <is>
          <t xml:space="preserve">5 </t>
        </is>
      </c>
      <c r="D204" s="15" t="inlineStr">
        <is>
          <t xml:space="preserve"> 561</t>
        </is>
      </c>
      <c r="F204" s="17" t="inlineStr">
        <is>
          <t>5</t>
        </is>
      </c>
      <c r="G204" s="17" t="inlineStr">
        <is>
          <t>561</t>
        </is>
      </c>
      <c r="I204" s="15" t="inlineStr">
        <is>
          <t>INSERT INTO</t>
        </is>
      </c>
      <c r="J204" s="15" t="inlineStr">
        <is>
          <t>CNF_PRF_TBL</t>
        </is>
      </c>
      <c r="K204" s="15" t="inlineStr">
        <is>
          <t>VALUES(</t>
        </is>
      </c>
      <c r="L204" s="15" t="inlineStr">
        <is>
          <t>5 , 561</t>
        </is>
      </c>
      <c r="M204" s="15" t="inlineStr">
        <is>
          <t>);</t>
        </is>
      </c>
      <c r="O204" s="18">
        <f>EXACT(TRIM(C204),F204&amp;"")</f>
        <v/>
      </c>
      <c r="P204" s="18">
        <f>EXACT(TRIM(D204),G204&amp;"")</f>
        <v/>
      </c>
      <c r="Q204" s="18">
        <f>AND(O204:P204)</f>
        <v/>
      </c>
      <c r="R204" s="19">
        <f>TRIM(IF(O204,"",$O$3&amp;" ")&amp;IF(P204,"",$P$3&amp;" "))</f>
        <v/>
      </c>
      <c r="S204" s="18">
        <f>EXACT(SUBSTITUTE(A204," ",""),SUBSTITUTE(I204&amp;J204&amp;K204&amp;L204&amp;M204," ",""))</f>
        <v/>
      </c>
    </row>
    <row r="205">
      <c r="A205" s="15" t="inlineStr">
        <is>
          <t>INSERT INTO CNF_PRF_TBL VALUES(5 , 563);</t>
        </is>
      </c>
      <c r="B205" s="16" t="n"/>
      <c r="C205" s="15" t="inlineStr">
        <is>
          <t xml:space="preserve">5 </t>
        </is>
      </c>
      <c r="D205" s="15" t="inlineStr">
        <is>
          <t xml:space="preserve"> 563</t>
        </is>
      </c>
      <c r="F205" s="17" t="inlineStr">
        <is>
          <t>5</t>
        </is>
      </c>
      <c r="G205" s="17" t="inlineStr">
        <is>
          <t>563</t>
        </is>
      </c>
      <c r="I205" s="15" t="inlineStr">
        <is>
          <t>INSERT INTO</t>
        </is>
      </c>
      <c r="J205" s="15" t="inlineStr">
        <is>
          <t>CNF_PRF_TBL</t>
        </is>
      </c>
      <c r="K205" s="15" t="inlineStr">
        <is>
          <t>VALUES(</t>
        </is>
      </c>
      <c r="L205" s="15" t="inlineStr">
        <is>
          <t>5 , 563</t>
        </is>
      </c>
      <c r="M205" s="15" t="inlineStr">
        <is>
          <t>);</t>
        </is>
      </c>
      <c r="O205" s="18">
        <f>EXACT(TRIM(C205),F205&amp;"")</f>
        <v/>
      </c>
      <c r="P205" s="18">
        <f>EXACT(TRIM(D205),G205&amp;"")</f>
        <v/>
      </c>
      <c r="Q205" s="18">
        <f>AND(O205:P205)</f>
        <v/>
      </c>
      <c r="R205" s="19">
        <f>TRIM(IF(O205,"",$O$3&amp;" ")&amp;IF(P205,"",$P$3&amp;" "))</f>
        <v/>
      </c>
      <c r="S205" s="18">
        <f>EXACT(SUBSTITUTE(A205," ",""),SUBSTITUTE(I205&amp;J205&amp;K205&amp;L205&amp;M205," ",""))</f>
        <v/>
      </c>
    </row>
    <row r="206">
      <c r="A206" s="15" t="inlineStr">
        <is>
          <t>INSERT INTO CNF_PRF_TBL VALUES(5 , 564);</t>
        </is>
      </c>
      <c r="B206" s="16" t="n"/>
      <c r="C206" s="15" t="inlineStr">
        <is>
          <t xml:space="preserve">5 </t>
        </is>
      </c>
      <c r="D206" s="15" t="inlineStr">
        <is>
          <t xml:space="preserve"> 564</t>
        </is>
      </c>
      <c r="F206" s="17" t="inlineStr">
        <is>
          <t>5</t>
        </is>
      </c>
      <c r="G206" s="17" t="inlineStr">
        <is>
          <t>564</t>
        </is>
      </c>
      <c r="I206" s="15" t="inlineStr">
        <is>
          <t>INSERT INTO</t>
        </is>
      </c>
      <c r="J206" s="15" t="inlineStr">
        <is>
          <t>CNF_PRF_TBL</t>
        </is>
      </c>
      <c r="K206" s="15" t="inlineStr">
        <is>
          <t>VALUES(</t>
        </is>
      </c>
      <c r="L206" s="15" t="inlineStr">
        <is>
          <t>5 , 564</t>
        </is>
      </c>
      <c r="M206" s="15" t="inlineStr">
        <is>
          <t>);</t>
        </is>
      </c>
      <c r="O206" s="18">
        <f>EXACT(TRIM(C206),F206&amp;"")</f>
        <v/>
      </c>
      <c r="P206" s="18">
        <f>EXACT(TRIM(D206),G206&amp;"")</f>
        <v/>
      </c>
      <c r="Q206" s="18">
        <f>AND(O206:P206)</f>
        <v/>
      </c>
      <c r="R206" s="19">
        <f>TRIM(IF(O206,"",$O$3&amp;" ")&amp;IF(P206,"",$P$3&amp;" "))</f>
        <v/>
      </c>
      <c r="S206" s="18">
        <f>EXACT(SUBSTITUTE(A206," ",""),SUBSTITUTE(I206&amp;J206&amp;K206&amp;L206&amp;M206," ",""))</f>
        <v/>
      </c>
    </row>
    <row r="207">
      <c r="A207" s="15" t="inlineStr">
        <is>
          <t>INSERT INTO CNF_PRF_TBL VALUES(5 , 566);</t>
        </is>
      </c>
      <c r="B207" s="16" t="n"/>
      <c r="C207" s="15" t="inlineStr">
        <is>
          <t xml:space="preserve">5 </t>
        </is>
      </c>
      <c r="D207" s="15" t="inlineStr">
        <is>
          <t xml:space="preserve"> 566</t>
        </is>
      </c>
      <c r="F207" s="17" t="inlineStr">
        <is>
          <t>5</t>
        </is>
      </c>
      <c r="G207" s="17" t="inlineStr">
        <is>
          <t>566</t>
        </is>
      </c>
      <c r="I207" s="15" t="inlineStr">
        <is>
          <t>INSERT INTO</t>
        </is>
      </c>
      <c r="J207" s="15" t="inlineStr">
        <is>
          <t>CNF_PRF_TBL</t>
        </is>
      </c>
      <c r="K207" s="15" t="inlineStr">
        <is>
          <t>VALUES(</t>
        </is>
      </c>
      <c r="L207" s="15" t="inlineStr">
        <is>
          <t>5 , 566</t>
        </is>
      </c>
      <c r="M207" s="15" t="inlineStr">
        <is>
          <t>);</t>
        </is>
      </c>
      <c r="O207" s="18">
        <f>EXACT(TRIM(C207),F207&amp;"")</f>
        <v/>
      </c>
      <c r="P207" s="18">
        <f>EXACT(TRIM(D207),G207&amp;"")</f>
        <v/>
      </c>
      <c r="Q207" s="18">
        <f>AND(O207:P207)</f>
        <v/>
      </c>
      <c r="R207" s="19">
        <f>TRIM(IF(O207,"",$O$3&amp;" ")&amp;IF(P207,"",$P$3&amp;" "))</f>
        <v/>
      </c>
      <c r="S207" s="18">
        <f>EXACT(SUBSTITUTE(A207," ",""),SUBSTITUTE(I207&amp;J207&amp;K207&amp;L207&amp;M207," ",""))</f>
        <v/>
      </c>
    </row>
    <row r="208">
      <c r="A208" s="15" t="inlineStr">
        <is>
          <t>INSERT INTO CNF_PRF_TBL VALUES(5 , 567);</t>
        </is>
      </c>
      <c r="B208" s="16" t="n"/>
      <c r="C208" s="15" t="inlineStr">
        <is>
          <t xml:space="preserve">5 </t>
        </is>
      </c>
      <c r="D208" s="15" t="inlineStr">
        <is>
          <t xml:space="preserve"> 567</t>
        </is>
      </c>
      <c r="F208" s="17" t="inlineStr">
        <is>
          <t>5</t>
        </is>
      </c>
      <c r="G208" s="17" t="inlineStr">
        <is>
          <t>567</t>
        </is>
      </c>
      <c r="I208" s="15" t="inlineStr">
        <is>
          <t>INSERT INTO</t>
        </is>
      </c>
      <c r="J208" s="15" t="inlineStr">
        <is>
          <t>CNF_PRF_TBL</t>
        </is>
      </c>
      <c r="K208" s="15" t="inlineStr">
        <is>
          <t>VALUES(</t>
        </is>
      </c>
      <c r="L208" s="15" t="inlineStr">
        <is>
          <t>5 , 567</t>
        </is>
      </c>
      <c r="M208" s="15" t="inlineStr">
        <is>
          <t>);</t>
        </is>
      </c>
      <c r="O208" s="18">
        <f>EXACT(TRIM(C208),F208&amp;"")</f>
        <v/>
      </c>
      <c r="P208" s="18">
        <f>EXACT(TRIM(D208),G208&amp;"")</f>
        <v/>
      </c>
      <c r="Q208" s="18">
        <f>AND(O208:P208)</f>
        <v/>
      </c>
      <c r="R208" s="19">
        <f>TRIM(IF(O208,"",$O$3&amp;" ")&amp;IF(P208,"",$P$3&amp;" "))</f>
        <v/>
      </c>
      <c r="S208" s="18">
        <f>EXACT(SUBSTITUTE(A208," ",""),SUBSTITUTE(I208&amp;J208&amp;K208&amp;L208&amp;M208," ",""))</f>
        <v/>
      </c>
    </row>
  </sheetData>
  <autoFilter ref="A3:V208"/>
  <mergeCells count="9">
    <mergeCell ref="A1:D1"/>
    <mergeCell ref="F2:G2"/>
    <mergeCell ref="U2:V2"/>
    <mergeCell ref="C2:D2"/>
    <mergeCell ref="O1:S1"/>
    <mergeCell ref="I2:M2"/>
    <mergeCell ref="U1:V1"/>
    <mergeCell ref="O2:R2"/>
    <mergeCell ref="F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" customWidth="1" min="16" max="16"/>
    <col width="11" customWidth="1" min="17" max="17"/>
    <col width="11" customWidth="1" min="18" max="18"/>
    <col width="11" customWidth="1" min="19" max="19"/>
    <col width="62" customWidth="1" min="20" max="20"/>
    <col width="11" customWidth="1" min="21" max="21"/>
    <col width="2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4" customWidth="1" min="30" max="30"/>
    <col width="11" customWidth="1" min="31" max="31"/>
    <col width="2" customWidth="1" min="32" max="32"/>
    <col width="8" customWidth="1" min="33" max="33"/>
    <col width="30" customWidth="1" min="34" max="34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3" t="n"/>
      <c r="J1" s="4" t="inlineStr">
        <is>
          <t>②③ マスタ定義書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5" t="inlineStr">
        <is>
          <t>突合</t>
        </is>
      </c>
      <c r="X1" s="2" t="n"/>
      <c r="Y1" s="2" t="n"/>
      <c r="Z1" s="2" t="n"/>
      <c r="AA1" s="2" t="n"/>
      <c r="AB1" s="2" t="n"/>
      <c r="AC1" s="2" t="n"/>
      <c r="AD1" s="2" t="n"/>
      <c r="AE1" s="3" t="n"/>
      <c r="AG1" s="6" t="inlineStr">
        <is>
          <t>確認結果（記入欄）</t>
        </is>
      </c>
      <c r="AH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3" t="n"/>
      <c r="J2" s="4" t="inlineStr">
        <is>
          <t>横浜銀行様用出荷設定</t>
        </is>
      </c>
      <c r="K2" s="2" t="n"/>
      <c r="L2" s="2" t="n"/>
      <c r="M2" s="2" t="n"/>
      <c r="N2" s="2" t="n"/>
      <c r="O2" s="3" t="n"/>
      <c r="Q2" s="8" t="inlineStr">
        <is>
          <t>SQL</t>
        </is>
      </c>
      <c r="R2" s="2" t="n"/>
      <c r="S2" s="2" t="n"/>
      <c r="T2" s="2" t="n"/>
      <c r="U2" s="3" t="n"/>
      <c r="W2" s="5" t="inlineStr">
        <is>
          <t>①②の突合（項目ごと）</t>
        </is>
      </c>
      <c r="X2" s="2" t="n"/>
      <c r="Y2" s="2" t="n"/>
      <c r="Z2" s="2" t="n"/>
      <c r="AA2" s="2" t="n"/>
      <c r="AB2" s="2" t="n"/>
      <c r="AC2" s="2" t="n"/>
      <c r="AD2" s="3" t="n"/>
      <c r="AE2" s="5" t="inlineStr">
        <is>
          <t>①③の突合</t>
        </is>
      </c>
      <c r="AG2" s="6" t="inlineStr">
        <is>
          <t>確認結果</t>
        </is>
      </c>
      <c r="AH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J3" s="11" t="inlineStr">
        <is>
          <t>FILE_ATTR</t>
        </is>
      </c>
      <c r="K3" s="11" t="inlineStr">
        <is>
          <t>PAST_APPLY_TYPE</t>
        </is>
      </c>
      <c r="L3" s="11" t="inlineStr">
        <is>
          <t>DISP_NAME</t>
        </is>
      </c>
      <c r="M3" s="11" t="inlineStr">
        <is>
          <t>FORCE_PAST_FLAG</t>
        </is>
      </c>
      <c r="N3" s="11" t="inlineStr">
        <is>
          <t>CIF_SPLIT_FLG</t>
        </is>
      </c>
      <c r="O3" s="11" t="inlineStr">
        <is>
          <t>CIF_PREFIX</t>
        </is>
      </c>
      <c r="Q3" s="12" t="inlineStr">
        <is>
          <t>固定</t>
        </is>
      </c>
      <c r="R3" s="12" t="inlineStr">
        <is>
          <t>固定</t>
        </is>
      </c>
      <c r="S3" s="12" t="inlineStr">
        <is>
          <t>固定</t>
        </is>
      </c>
      <c r="T3" s="12" t="inlineStr">
        <is>
          <t>数式</t>
        </is>
      </c>
      <c r="U3" s="12" t="inlineStr">
        <is>
          <t>固定</t>
        </is>
      </c>
      <c r="W3" s="13" t="inlineStr">
        <is>
          <t>FILE_ATTR</t>
        </is>
      </c>
      <c r="X3" s="13" t="inlineStr">
        <is>
          <t>PAST_APPLY_TYPE</t>
        </is>
      </c>
      <c r="Y3" s="13" t="inlineStr">
        <is>
          <t>DISP_NAME</t>
        </is>
      </c>
      <c r="Z3" s="13" t="inlineStr">
        <is>
          <t>FORCE_PAST_FLAG</t>
        </is>
      </c>
      <c r="AA3" s="13" t="inlineStr">
        <is>
          <t>CIF_SPLIT_FLG</t>
        </is>
      </c>
      <c r="AB3" s="13" t="inlineStr">
        <is>
          <t>CIF_PREFIX</t>
        </is>
      </c>
      <c r="AC3" s="13" t="inlineStr">
        <is>
          <t>全項目一致</t>
        </is>
      </c>
      <c r="AD3" s="13" t="inlineStr">
        <is>
          <t>相違した項目</t>
        </is>
      </c>
      <c r="AE3" s="13" t="inlineStr">
        <is>
          <t>SQL文一致</t>
        </is>
      </c>
      <c r="AG3" s="14" t="inlineStr">
        <is>
          <t>判定</t>
        </is>
      </c>
      <c r="AH3" s="14" t="inlineStr">
        <is>
          <t>備考</t>
        </is>
      </c>
    </row>
    <row r="4">
      <c r="A4" s="15" t="inlineStr">
        <is>
          <t>INSERT INTO FILE_ATTR_TBL VALUES('O' , 'N' , 'LF・LOANS＋' , 'N', 'N','CIFUP');</t>
        </is>
      </c>
      <c r="B4" s="16" t="n"/>
      <c r="C4" s="15" t="inlineStr">
        <is>
          <t xml:space="preserve">'O' </t>
        </is>
      </c>
      <c r="D4" s="15" t="inlineStr">
        <is>
          <t xml:space="preserve"> 'N' </t>
        </is>
      </c>
      <c r="E4" s="15" t="inlineStr">
        <is>
          <t xml:space="preserve"> 'LF・LOANS＋' </t>
        </is>
      </c>
      <c r="F4" s="15" t="inlineStr">
        <is>
          <t xml:space="preserve"> 'N'</t>
        </is>
      </c>
      <c r="G4" s="15" t="inlineStr">
        <is>
          <t xml:space="preserve"> 'N'</t>
        </is>
      </c>
      <c r="H4" s="15" t="inlineStr">
        <is>
          <t>'CIFUP'</t>
        </is>
      </c>
      <c r="J4" s="17" t="inlineStr">
        <is>
          <t>O</t>
        </is>
      </c>
      <c r="K4" s="17" t="inlineStr">
        <is>
          <t>N</t>
        </is>
      </c>
      <c r="L4" s="17" t="inlineStr">
        <is>
          <t>LF・LOANS＋</t>
        </is>
      </c>
      <c r="M4" s="17" t="inlineStr">
        <is>
          <t>N</t>
        </is>
      </c>
      <c r="N4" s="17" t="inlineStr">
        <is>
          <t>N</t>
        </is>
      </c>
      <c r="O4" s="17" t="inlineStr">
        <is>
          <t>CIFUP</t>
        </is>
      </c>
      <c r="Q4" s="15" t="inlineStr">
        <is>
          <t>INSERT INTO</t>
        </is>
      </c>
      <c r="R4" s="15" t="inlineStr">
        <is>
          <t>FILE_ATTR_TBL</t>
        </is>
      </c>
      <c r="S4" s="15" t="inlineStr">
        <is>
          <t>VALUES(</t>
        </is>
      </c>
      <c r="T4" s="15" t="inlineStr">
        <is>
          <t>'O' , 'N' , 'LF・LOANS＋' , 'N', 'N','CIFUP'</t>
        </is>
      </c>
      <c r="U4" s="15" t="inlineStr">
        <is>
          <t>);</t>
        </is>
      </c>
      <c r="W4" s="18">
        <f>EXACT(TRIM(C4),"'"&amp;J4&amp;"'")</f>
        <v/>
      </c>
      <c r="X4" s="18">
        <f>EXACT(TRIM(D4),"'"&amp;K4&amp;"'")</f>
        <v/>
      </c>
      <c r="Y4" s="18">
        <f>EXACT(TRIM(E4),"'"&amp;L4&amp;"'")</f>
        <v/>
      </c>
      <c r="Z4" s="18">
        <f>EXACT(TRIM(F4),"'"&amp;M4&amp;"'")</f>
        <v/>
      </c>
      <c r="AA4" s="18">
        <f>EXACT(TRIM(G4),"'"&amp;N4&amp;"'")</f>
        <v/>
      </c>
      <c r="AB4" s="18">
        <f>EXACT(TRIM(H4),"'"&amp;O4&amp;"'")</f>
        <v/>
      </c>
      <c r="AC4" s="18">
        <f>AND(W4:AB4)</f>
        <v/>
      </c>
      <c r="AD4" s="19">
        <f>TRIM(IF(W4,"",$W$3&amp;" ")&amp;IF(X4,"",$X$3&amp;" ")&amp;IF(Y4,"",$Y$3&amp;" ")&amp;IF(Z4,"",$Z$3&amp;" ")&amp;IF(AA4,"",$AA$3&amp;" ")&amp;IF(AB4,"",$AB$3&amp;" "))</f>
        <v/>
      </c>
      <c r="AE4" s="18">
        <f>EXACT(SUBSTITUTE(A4," ",""),SUBSTITUTE(Q4&amp;R4&amp;S4&amp;T4&amp;U4," ",""))</f>
        <v/>
      </c>
    </row>
    <row r="5">
      <c r="A5" s="15" t="inlineStr">
        <is>
          <t>INSERT INTO FILE_ATTR_TBL VALUES('P' , 'N' , 'LF・OLION' , 'N', 'N','CIFUP');</t>
        </is>
      </c>
      <c r="B5" s="16" t="n"/>
      <c r="C5" s="15" t="inlineStr">
        <is>
          <t xml:space="preserve">'P' </t>
        </is>
      </c>
      <c r="D5" s="15" t="inlineStr">
        <is>
          <t xml:space="preserve"> 'N' </t>
        </is>
      </c>
      <c r="E5" s="15" t="inlineStr">
        <is>
          <t xml:space="preserve"> 'LF・OLION' </t>
        </is>
      </c>
      <c r="F5" s="15" t="inlineStr">
        <is>
          <t xml:space="preserve"> 'N'</t>
        </is>
      </c>
      <c r="G5" s="15" t="inlineStr">
        <is>
          <t xml:space="preserve"> 'N'</t>
        </is>
      </c>
      <c r="H5" s="15" t="inlineStr">
        <is>
          <t>'CIFUP'</t>
        </is>
      </c>
      <c r="J5" s="17" t="inlineStr">
        <is>
          <t>P</t>
        </is>
      </c>
      <c r="K5" s="17" t="inlineStr">
        <is>
          <t>N</t>
        </is>
      </c>
      <c r="L5" s="17" t="inlineStr">
        <is>
          <t>LF・OLION</t>
        </is>
      </c>
      <c r="M5" s="17" t="inlineStr">
        <is>
          <t>N</t>
        </is>
      </c>
      <c r="N5" s="17" t="inlineStr">
        <is>
          <t>N</t>
        </is>
      </c>
      <c r="O5" s="17" t="inlineStr">
        <is>
          <t>CIFUP</t>
        </is>
      </c>
      <c r="Q5" s="15" t="inlineStr">
        <is>
          <t>INSERT INTO</t>
        </is>
      </c>
      <c r="R5" s="15" t="inlineStr">
        <is>
          <t>FILE_ATTR_TBL</t>
        </is>
      </c>
      <c r="S5" s="15" t="inlineStr">
        <is>
          <t>VALUES(</t>
        </is>
      </c>
      <c r="T5" s="15" t="inlineStr">
        <is>
          <t>'P' , 'N' , 'LF・OLION' , 'N', 'N','CIFUP'</t>
        </is>
      </c>
      <c r="U5" s="15" t="inlineStr">
        <is>
          <t>);</t>
        </is>
      </c>
      <c r="W5" s="18">
        <f>EXACT(TRIM(C5),"'"&amp;J5&amp;"'")</f>
        <v/>
      </c>
      <c r="X5" s="18">
        <f>EXACT(TRIM(D5),"'"&amp;K5&amp;"'")</f>
        <v/>
      </c>
      <c r="Y5" s="18">
        <f>EXACT(TRIM(E5),"'"&amp;L5&amp;"'")</f>
        <v/>
      </c>
      <c r="Z5" s="18">
        <f>EXACT(TRIM(F5),"'"&amp;M5&amp;"'")</f>
        <v/>
      </c>
      <c r="AA5" s="18">
        <f>EXACT(TRIM(G5),"'"&amp;N5&amp;"'")</f>
        <v/>
      </c>
      <c r="AB5" s="18">
        <f>EXACT(TRIM(H5),"'"&amp;O5&amp;"'")</f>
        <v/>
      </c>
      <c r="AC5" s="18">
        <f>AND(W5:AB5)</f>
        <v/>
      </c>
      <c r="AD5" s="19">
        <f>TRIM(IF(W5,"",$W$3&amp;" ")&amp;IF(X5,"",$X$3&amp;" ")&amp;IF(Y5,"",$Y$3&amp;" ")&amp;IF(Z5,"",$Z$3&amp;" ")&amp;IF(AA5,"",$AA$3&amp;" ")&amp;IF(AB5,"",$AB$3&amp;" "))</f>
        <v/>
      </c>
      <c r="AE5" s="18">
        <f>EXACT(SUBSTITUTE(A5," ",""),SUBSTITUTE(Q5&amp;R5&amp;S5&amp;T5&amp;U5," ",""))</f>
        <v/>
      </c>
    </row>
    <row r="6">
      <c r="A6" s="15" t="inlineStr">
        <is>
          <t>INSERT INTO FILE_ATTR_TBL VALUES('Q' , 'N' , 'LF・NEON' , 'N', 'N','CIFUP');</t>
        </is>
      </c>
      <c r="B6" s="16" t="n"/>
      <c r="C6" s="15" t="inlineStr">
        <is>
          <t xml:space="preserve">'Q' </t>
        </is>
      </c>
      <c r="D6" s="15" t="inlineStr">
        <is>
          <t xml:space="preserve"> 'N' </t>
        </is>
      </c>
      <c r="E6" s="15" t="inlineStr">
        <is>
          <t xml:space="preserve"> 'LF・NEON' </t>
        </is>
      </c>
      <c r="F6" s="15" t="inlineStr">
        <is>
          <t xml:space="preserve"> 'N'</t>
        </is>
      </c>
      <c r="G6" s="15" t="inlineStr">
        <is>
          <t xml:space="preserve"> 'N'</t>
        </is>
      </c>
      <c r="H6" s="15" t="inlineStr">
        <is>
          <t>'CIFUP'</t>
        </is>
      </c>
      <c r="J6" s="17" t="inlineStr">
        <is>
          <t>Q</t>
        </is>
      </c>
      <c r="K6" s="17" t="inlineStr">
        <is>
          <t>N</t>
        </is>
      </c>
      <c r="L6" s="17" t="inlineStr">
        <is>
          <t>LF・NEON</t>
        </is>
      </c>
      <c r="M6" s="17" t="inlineStr">
        <is>
          <t>N</t>
        </is>
      </c>
      <c r="N6" s="17" t="inlineStr">
        <is>
          <t>N</t>
        </is>
      </c>
      <c r="O6" s="17" t="inlineStr">
        <is>
          <t>CIFUP</t>
        </is>
      </c>
      <c r="Q6" s="15" t="inlineStr">
        <is>
          <t>INSERT INTO</t>
        </is>
      </c>
      <c r="R6" s="15" t="inlineStr">
        <is>
          <t>FILE_ATTR_TBL</t>
        </is>
      </c>
      <c r="S6" s="15" t="inlineStr">
        <is>
          <t>VALUES(</t>
        </is>
      </c>
      <c r="T6" s="15" t="inlineStr">
        <is>
          <t>'Q' , 'N' , 'LF・NEON' , 'N', 'N','CIFUP'</t>
        </is>
      </c>
      <c r="U6" s="15" t="inlineStr">
        <is>
          <t>);</t>
        </is>
      </c>
      <c r="W6" s="18">
        <f>EXACT(TRIM(C6),"'"&amp;J6&amp;"'")</f>
        <v/>
      </c>
      <c r="X6" s="18">
        <f>EXACT(TRIM(D6),"'"&amp;K6&amp;"'")</f>
        <v/>
      </c>
      <c r="Y6" s="18">
        <f>EXACT(TRIM(E6),"'"&amp;L6&amp;"'")</f>
        <v/>
      </c>
      <c r="Z6" s="18">
        <f>EXACT(TRIM(F6),"'"&amp;M6&amp;"'")</f>
        <v/>
      </c>
      <c r="AA6" s="18">
        <f>EXACT(TRIM(G6),"'"&amp;N6&amp;"'")</f>
        <v/>
      </c>
      <c r="AB6" s="18">
        <f>EXACT(TRIM(H6),"'"&amp;O6&amp;"'")</f>
        <v/>
      </c>
      <c r="AC6" s="18">
        <f>AND(W6:AB6)</f>
        <v/>
      </c>
      <c r="AD6" s="19">
        <f>TRIM(IF(W6,"",$W$3&amp;" ")&amp;IF(X6,"",$X$3&amp;" ")&amp;IF(Y6,"",$Y$3&amp;" ")&amp;IF(Z6,"",$Z$3&amp;" ")&amp;IF(AA6,"",$AA$3&amp;" ")&amp;IF(AB6,"",$AB$3&amp;" "))</f>
        <v/>
      </c>
      <c r="AE6" s="18">
        <f>EXACT(SUBSTITUTE(A6," ",""),SUBSTITUTE(Q6&amp;R6&amp;S6&amp;T6&amp;U6," ",""))</f>
        <v/>
      </c>
    </row>
    <row r="7">
      <c r="A7" s="15" t="inlineStr">
        <is>
          <t>INSERT INTO FILE_ATTR_TBL VALUES('R' , 'N' , 'LF・融資先以外' , 'N', 'N','CIFUP');</t>
        </is>
      </c>
      <c r="B7" s="16" t="n"/>
      <c r="C7" s="15" t="inlineStr">
        <is>
          <t xml:space="preserve">'R' </t>
        </is>
      </c>
      <c r="D7" s="15" t="inlineStr">
        <is>
          <t xml:space="preserve"> 'N' </t>
        </is>
      </c>
      <c r="E7" s="15" t="inlineStr">
        <is>
          <t xml:space="preserve"> 'LF・融資先以外' </t>
        </is>
      </c>
      <c r="F7" s="15" t="inlineStr">
        <is>
          <t xml:space="preserve"> 'N'</t>
        </is>
      </c>
      <c r="G7" s="15" t="inlineStr">
        <is>
          <t xml:space="preserve"> 'N'</t>
        </is>
      </c>
      <c r="H7" s="15" t="inlineStr">
        <is>
          <t>'CIFUP'</t>
        </is>
      </c>
      <c r="J7" s="17" t="inlineStr">
        <is>
          <t>R</t>
        </is>
      </c>
      <c r="K7" s="17" t="inlineStr">
        <is>
          <t>N</t>
        </is>
      </c>
      <c r="L7" s="17" t="inlineStr">
        <is>
          <t>LF・融資先以外</t>
        </is>
      </c>
      <c r="M7" s="17" t="inlineStr">
        <is>
          <t>N</t>
        </is>
      </c>
      <c r="N7" s="17" t="inlineStr">
        <is>
          <t>N</t>
        </is>
      </c>
      <c r="O7" s="17" t="inlineStr">
        <is>
          <t>CIFUP</t>
        </is>
      </c>
      <c r="Q7" s="15" t="inlineStr">
        <is>
          <t>INSERT INTO</t>
        </is>
      </c>
      <c r="R7" s="15" t="inlineStr">
        <is>
          <t>FILE_ATTR_TBL</t>
        </is>
      </c>
      <c r="S7" s="15" t="inlineStr">
        <is>
          <t>VALUES(</t>
        </is>
      </c>
      <c r="T7" s="15" t="inlineStr">
        <is>
          <t>'R' , 'N' , 'LF・融資先以外' , 'N', 'N','CIFUP'</t>
        </is>
      </c>
      <c r="U7" s="15" t="inlineStr">
        <is>
          <t>);</t>
        </is>
      </c>
      <c r="W7" s="18">
        <f>EXACT(TRIM(C7),"'"&amp;J7&amp;"'")</f>
        <v/>
      </c>
      <c r="X7" s="18">
        <f>EXACT(TRIM(D7),"'"&amp;K7&amp;"'")</f>
        <v/>
      </c>
      <c r="Y7" s="18">
        <f>EXACT(TRIM(E7),"'"&amp;L7&amp;"'")</f>
        <v/>
      </c>
      <c r="Z7" s="18">
        <f>EXACT(TRIM(F7),"'"&amp;M7&amp;"'")</f>
        <v/>
      </c>
      <c r="AA7" s="18">
        <f>EXACT(TRIM(G7),"'"&amp;N7&amp;"'")</f>
        <v/>
      </c>
      <c r="AB7" s="18">
        <f>EXACT(TRIM(H7),"'"&amp;O7&amp;"'")</f>
        <v/>
      </c>
      <c r="AC7" s="18">
        <f>AND(W7:AB7)</f>
        <v/>
      </c>
      <c r="AD7" s="19">
        <f>TRIM(IF(W7,"",$W$3&amp;" ")&amp;IF(X7,"",$X$3&amp;" ")&amp;IF(Y7,"",$Y$3&amp;" ")&amp;IF(Z7,"",$Z$3&amp;" ")&amp;IF(AA7,"",$AA$3&amp;" ")&amp;IF(AB7,"",$AB$3&amp;" "))</f>
        <v/>
      </c>
      <c r="AE7" s="18">
        <f>EXACT(SUBSTITUTE(A7," ",""),SUBSTITUTE(Q7&amp;R7&amp;S7&amp;T7&amp;U7," ",""))</f>
        <v/>
      </c>
    </row>
    <row r="8">
      <c r="A8" s="15" t="inlineStr">
        <is>
          <t>INSERT INTO FILE_ATTR_TBL VALUES('S' , 'N' , 'LF・損害金' , 'N', 'N','CIFUP');</t>
        </is>
      </c>
      <c r="B8" s="16" t="n"/>
      <c r="C8" s="15" t="inlineStr">
        <is>
          <t xml:space="preserve">'S' </t>
        </is>
      </c>
      <c r="D8" s="15" t="inlineStr">
        <is>
          <t xml:space="preserve"> 'N' </t>
        </is>
      </c>
      <c r="E8" s="15" t="inlineStr">
        <is>
          <t xml:space="preserve"> 'LF・損害金' </t>
        </is>
      </c>
      <c r="F8" s="15" t="inlineStr">
        <is>
          <t xml:space="preserve"> 'N'</t>
        </is>
      </c>
      <c r="G8" s="15" t="inlineStr">
        <is>
          <t xml:space="preserve"> 'N'</t>
        </is>
      </c>
      <c r="H8" s="15" t="inlineStr">
        <is>
          <t>'CIFUP'</t>
        </is>
      </c>
      <c r="J8" s="17" t="inlineStr">
        <is>
          <t>S</t>
        </is>
      </c>
      <c r="K8" s="17" t="inlineStr">
        <is>
          <t>N</t>
        </is>
      </c>
      <c r="L8" s="17" t="inlineStr">
        <is>
          <t>LF・損害金</t>
        </is>
      </c>
      <c r="M8" s="17" t="inlineStr">
        <is>
          <t>N</t>
        </is>
      </c>
      <c r="N8" s="17" t="inlineStr">
        <is>
          <t>N</t>
        </is>
      </c>
      <c r="O8" s="17" t="inlineStr">
        <is>
          <t>CIFUP</t>
        </is>
      </c>
      <c r="Q8" s="15" t="inlineStr">
        <is>
          <t>INSERT INTO</t>
        </is>
      </c>
      <c r="R8" s="15" t="inlineStr">
        <is>
          <t>FILE_ATTR_TBL</t>
        </is>
      </c>
      <c r="S8" s="15" t="inlineStr">
        <is>
          <t>VALUES(</t>
        </is>
      </c>
      <c r="T8" s="15" t="inlineStr">
        <is>
          <t>'S' , 'N' , 'LF・損害金' , 'N', 'N','CIFUP'</t>
        </is>
      </c>
      <c r="U8" s="15" t="inlineStr">
        <is>
          <t>);</t>
        </is>
      </c>
      <c r="W8" s="18">
        <f>EXACT(TRIM(C8),"'"&amp;J8&amp;"'")</f>
        <v/>
      </c>
      <c r="X8" s="18">
        <f>EXACT(TRIM(D8),"'"&amp;K8&amp;"'")</f>
        <v/>
      </c>
      <c r="Y8" s="18">
        <f>EXACT(TRIM(E8),"'"&amp;L8&amp;"'")</f>
        <v/>
      </c>
      <c r="Z8" s="18">
        <f>EXACT(TRIM(F8),"'"&amp;M8&amp;"'")</f>
        <v/>
      </c>
      <c r="AA8" s="18">
        <f>EXACT(TRIM(G8),"'"&amp;N8&amp;"'")</f>
        <v/>
      </c>
      <c r="AB8" s="18">
        <f>EXACT(TRIM(H8),"'"&amp;O8&amp;"'")</f>
        <v/>
      </c>
      <c r="AC8" s="18">
        <f>AND(W8:AB8)</f>
        <v/>
      </c>
      <c r="AD8" s="19">
        <f>TRIM(IF(W8,"",$W$3&amp;" ")&amp;IF(X8,"",$X$3&amp;" ")&amp;IF(Y8,"",$Y$3&amp;" ")&amp;IF(Z8,"",$Z$3&amp;" ")&amp;IF(AA8,"",$AA$3&amp;" ")&amp;IF(AB8,"",$AB$3&amp;" "))</f>
        <v/>
      </c>
      <c r="AE8" s="18">
        <f>EXACT(SUBSTITUTE(A8," ",""),SUBSTITUTE(Q8&amp;R8&amp;S8&amp;T8&amp;U8," ",""))</f>
        <v/>
      </c>
    </row>
    <row r="9">
      <c r="A9" s="15" t="inlineStr">
        <is>
          <t>INSERT INTO FILE_ATTR_TBL VALUES('T' , 'N' , 'LF・DM送付先一覧' , 'N', 'N','CIFUP');</t>
        </is>
      </c>
      <c r="B9" s="16" t="n"/>
      <c r="C9" s="15" t="inlineStr">
        <is>
          <t xml:space="preserve">'T' </t>
        </is>
      </c>
      <c r="D9" s="15" t="inlineStr">
        <is>
          <t xml:space="preserve"> 'N' </t>
        </is>
      </c>
      <c r="E9" s="15" t="inlineStr">
        <is>
          <t xml:space="preserve"> 'LF・DM送付先一覧' </t>
        </is>
      </c>
      <c r="F9" s="15" t="inlineStr">
        <is>
          <t xml:space="preserve"> 'N'</t>
        </is>
      </c>
      <c r="G9" s="15" t="inlineStr">
        <is>
          <t xml:space="preserve"> 'N'</t>
        </is>
      </c>
      <c r="H9" s="15" t="inlineStr">
        <is>
          <t>'CIFUP'</t>
        </is>
      </c>
      <c r="J9" s="17" t="inlineStr">
        <is>
          <t>T</t>
        </is>
      </c>
      <c r="K9" s="17" t="inlineStr">
        <is>
          <t>N</t>
        </is>
      </c>
      <c r="L9" s="17" t="inlineStr">
        <is>
          <t>LF・DM送付先一覧</t>
        </is>
      </c>
      <c r="M9" s="17" t="inlineStr">
        <is>
          <t>N</t>
        </is>
      </c>
      <c r="N9" s="17" t="inlineStr">
        <is>
          <t>N</t>
        </is>
      </c>
      <c r="O9" s="17" t="inlineStr">
        <is>
          <t>CIFUP</t>
        </is>
      </c>
      <c r="Q9" s="15" t="inlineStr">
        <is>
          <t>INSERT INTO</t>
        </is>
      </c>
      <c r="R9" s="15" t="inlineStr">
        <is>
          <t>FILE_ATTR_TBL</t>
        </is>
      </c>
      <c r="S9" s="15" t="inlineStr">
        <is>
          <t>VALUES(</t>
        </is>
      </c>
      <c r="T9" s="15" t="inlineStr">
        <is>
          <t>'T' , 'N' , 'LF・DM送付先一覧' , 'N', 'N','CIFUP'</t>
        </is>
      </c>
      <c r="U9" s="15" t="inlineStr">
        <is>
          <t>);</t>
        </is>
      </c>
      <c r="W9" s="18">
        <f>EXACT(TRIM(C9),"'"&amp;J9&amp;"'")</f>
        <v/>
      </c>
      <c r="X9" s="18">
        <f>EXACT(TRIM(D9),"'"&amp;K9&amp;"'")</f>
        <v/>
      </c>
      <c r="Y9" s="18">
        <f>EXACT(TRIM(E9),"'"&amp;L9&amp;"'")</f>
        <v/>
      </c>
      <c r="Z9" s="18">
        <f>EXACT(TRIM(F9),"'"&amp;M9&amp;"'")</f>
        <v/>
      </c>
      <c r="AA9" s="18">
        <f>EXACT(TRIM(G9),"'"&amp;N9&amp;"'")</f>
        <v/>
      </c>
      <c r="AB9" s="18">
        <f>EXACT(TRIM(H9),"'"&amp;O9&amp;"'")</f>
        <v/>
      </c>
      <c r="AC9" s="18">
        <f>AND(W9:AB9)</f>
        <v/>
      </c>
      <c r="AD9" s="19">
        <f>TRIM(IF(W9,"",$W$3&amp;" ")&amp;IF(X9,"",$X$3&amp;" ")&amp;IF(Y9,"",$Y$3&amp;" ")&amp;IF(Z9,"",$Z$3&amp;" ")&amp;IF(AA9,"",$AA$3&amp;" ")&amp;IF(AB9,"",$AB$3&amp;" "))</f>
        <v/>
      </c>
      <c r="AE9" s="18">
        <f>EXACT(SUBSTITUTE(A9," ",""),SUBSTITUTE(Q9&amp;R9&amp;S9&amp;T9&amp;U9," ",""))</f>
        <v/>
      </c>
    </row>
  </sheetData>
  <autoFilter ref="A3:AH9"/>
  <mergeCells count="9">
    <mergeCell ref="C2:H2"/>
    <mergeCell ref="J2:O2"/>
    <mergeCell ref="Q2:U2"/>
    <mergeCell ref="W1:AE1"/>
    <mergeCell ref="AG1:AH1"/>
    <mergeCell ref="W2:AD2"/>
    <mergeCell ref="J1:U1"/>
    <mergeCell ref="AG2:A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" customWidth="1" min="5" max="5"/>
    <col width="15" customWidth="1" min="6" max="6"/>
    <col width="15" customWidth="1" min="7" max="7"/>
    <col width="2" customWidth="1" min="8" max="8"/>
    <col width="11" customWidth="1" min="9" max="9"/>
    <col width="11" customWidth="1" min="10" max="10"/>
    <col width="11" customWidth="1" min="11" max="11"/>
    <col width="62" customWidth="1" min="12" max="12"/>
    <col width="11" customWidth="1" min="13" max="13"/>
    <col width="2" customWidth="1" min="14" max="14"/>
    <col width="11" customWidth="1" min="15" max="15"/>
    <col width="11" customWidth="1" min="16" max="16"/>
    <col width="11" customWidth="1" min="17" max="17"/>
    <col width="24" customWidth="1" min="18" max="18"/>
    <col width="11" customWidth="1" min="19" max="19"/>
    <col width="2" customWidth="1" min="20" max="20"/>
    <col width="8" customWidth="1" min="21" max="21"/>
    <col width="30" customWidth="1" min="22" max="22"/>
  </cols>
  <sheetData>
    <row r="1" ht="20" customHeight="1">
      <c r="A1" s="1" t="inlineStr">
        <is>
          <t>① 資材（insert.sql）</t>
        </is>
      </c>
      <c r="B1" s="2" t="n"/>
      <c r="C1" s="2" t="n"/>
      <c r="D1" s="3" t="n"/>
      <c r="F1" s="4" t="inlineStr">
        <is>
          <t>②③ マスタ定義書</t>
        </is>
      </c>
      <c r="G1" s="2" t="n"/>
      <c r="H1" s="2" t="n"/>
      <c r="I1" s="2" t="n"/>
      <c r="J1" s="2" t="n"/>
      <c r="K1" s="2" t="n"/>
      <c r="L1" s="2" t="n"/>
      <c r="M1" s="3" t="n"/>
      <c r="O1" s="5" t="inlineStr">
        <is>
          <t>突合</t>
        </is>
      </c>
      <c r="P1" s="2" t="n"/>
      <c r="Q1" s="2" t="n"/>
      <c r="R1" s="2" t="n"/>
      <c r="S1" s="3" t="n"/>
      <c r="U1" s="6" t="inlineStr">
        <is>
          <t>確認結果（記入欄）</t>
        </is>
      </c>
      <c r="V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3" t="n"/>
      <c r="F2" s="4" t="inlineStr">
        <is>
          <t>横浜銀行様用出荷設定</t>
        </is>
      </c>
      <c r="G2" s="3" t="n"/>
      <c r="I2" s="8" t="inlineStr">
        <is>
          <t>SQL</t>
        </is>
      </c>
      <c r="J2" s="2" t="n"/>
      <c r="K2" s="2" t="n"/>
      <c r="L2" s="2" t="n"/>
      <c r="M2" s="3" t="n"/>
      <c r="O2" s="5" t="inlineStr">
        <is>
          <t>①②の突合（項目ごと）</t>
        </is>
      </c>
      <c r="P2" s="2" t="n"/>
      <c r="Q2" s="2" t="n"/>
      <c r="R2" s="3" t="n"/>
      <c r="S2" s="5" t="inlineStr">
        <is>
          <t>①③の突合</t>
        </is>
      </c>
      <c r="U2" s="6" t="inlineStr">
        <is>
          <t>確認結果</t>
        </is>
      </c>
      <c r="V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F3" s="11" t="inlineStr">
        <is>
          <t>EXEC_AUTH_ID</t>
        </is>
      </c>
      <c r="G3" s="11" t="inlineStr">
        <is>
          <t>FILE_ATTR</t>
        </is>
      </c>
      <c r="I3" s="12" t="inlineStr">
        <is>
          <t>固定</t>
        </is>
      </c>
      <c r="J3" s="12" t="inlineStr">
        <is>
          <t>固定</t>
        </is>
      </c>
      <c r="K3" s="12" t="inlineStr">
        <is>
          <t>固定</t>
        </is>
      </c>
      <c r="L3" s="12" t="inlineStr">
        <is>
          <t>数式</t>
        </is>
      </c>
      <c r="M3" s="12" t="inlineStr">
        <is>
          <t>固定</t>
        </is>
      </c>
      <c r="O3" s="13" t="inlineStr">
        <is>
          <t>EXEC_AUTH_ID</t>
        </is>
      </c>
      <c r="P3" s="13" t="inlineStr">
        <is>
          <t>FILE_ATTR</t>
        </is>
      </c>
      <c r="Q3" s="13" t="inlineStr">
        <is>
          <t>全項目一致</t>
        </is>
      </c>
      <c r="R3" s="13" t="inlineStr">
        <is>
          <t>相違した項目</t>
        </is>
      </c>
      <c r="S3" s="13" t="inlineStr">
        <is>
          <t>SQL文一致</t>
        </is>
      </c>
      <c r="U3" s="14" t="inlineStr">
        <is>
          <t>判定</t>
        </is>
      </c>
      <c r="V3" s="14" t="inlineStr">
        <is>
          <t>備考</t>
        </is>
      </c>
    </row>
    <row r="4">
      <c r="A4" s="15" t="inlineStr">
        <is>
          <t>INSERT INTO FILE_ATTR_PRF_TBL VALUES(551 , 'O');</t>
        </is>
      </c>
      <c r="B4" s="16" t="n"/>
      <c r="C4" s="15" t="inlineStr">
        <is>
          <t xml:space="preserve">551 </t>
        </is>
      </c>
      <c r="D4" s="15" t="inlineStr">
        <is>
          <t xml:space="preserve"> 'O'</t>
        </is>
      </c>
      <c r="F4" s="17" t="inlineStr">
        <is>
          <t>551</t>
        </is>
      </c>
      <c r="G4" s="17" t="inlineStr">
        <is>
          <t>O</t>
        </is>
      </c>
      <c r="I4" s="15" t="inlineStr">
        <is>
          <t>INSERT INTO</t>
        </is>
      </c>
      <c r="J4" s="15" t="inlineStr">
        <is>
          <t>FILE_ATTR_PRF_TBL</t>
        </is>
      </c>
      <c r="K4" s="15" t="inlineStr">
        <is>
          <t>VALUES(</t>
        </is>
      </c>
      <c r="L4" s="15" t="inlineStr">
        <is>
          <t>551 , 'O'</t>
        </is>
      </c>
      <c r="M4" s="15" t="inlineStr">
        <is>
          <t>);</t>
        </is>
      </c>
      <c r="O4" s="18">
        <f>EXACT(TRIM(C4),F4&amp;"")</f>
        <v/>
      </c>
      <c r="P4" s="18">
        <f>EXACT(TRIM(D4),"'"&amp;G4&amp;"'")</f>
        <v/>
      </c>
      <c r="Q4" s="18">
        <f>AND(O4:P4)</f>
        <v/>
      </c>
      <c r="R4" s="19">
        <f>TRIM(IF(O4,"",$O$3&amp;" ")&amp;IF(P4,"",$P$3&amp;" "))</f>
        <v/>
      </c>
      <c r="S4" s="18">
        <f>EXACT(SUBSTITUTE(A4," ",""),SUBSTITUTE(I4&amp;J4&amp;K4&amp;L4&amp;M4," ",""))</f>
        <v/>
      </c>
    </row>
    <row r="5">
      <c r="A5" s="15" t="inlineStr">
        <is>
          <t>INSERT INTO FILE_ATTR_PRF_TBL VALUES(552 , 'O');</t>
        </is>
      </c>
      <c r="B5" s="16" t="n"/>
      <c r="C5" s="15" t="inlineStr">
        <is>
          <t xml:space="preserve">552 </t>
        </is>
      </c>
      <c r="D5" s="15" t="inlineStr">
        <is>
          <t xml:space="preserve"> 'O'</t>
        </is>
      </c>
      <c r="F5" s="17" t="inlineStr">
        <is>
          <t>552</t>
        </is>
      </c>
      <c r="G5" s="17" t="inlineStr">
        <is>
          <t>O</t>
        </is>
      </c>
      <c r="I5" s="15" t="inlineStr">
        <is>
          <t>INSERT INTO</t>
        </is>
      </c>
      <c r="J5" s="15" t="inlineStr">
        <is>
          <t>FILE_ATTR_PRF_TBL</t>
        </is>
      </c>
      <c r="K5" s="15" t="inlineStr">
        <is>
          <t>VALUES(</t>
        </is>
      </c>
      <c r="L5" s="15" t="inlineStr">
        <is>
          <t>552 , 'O'</t>
        </is>
      </c>
      <c r="M5" s="15" t="inlineStr">
        <is>
          <t>);</t>
        </is>
      </c>
      <c r="O5" s="18">
        <f>EXACT(TRIM(C5),F5&amp;"")</f>
        <v/>
      </c>
      <c r="P5" s="18">
        <f>EXACT(TRIM(D5),"'"&amp;G5&amp;"'")</f>
        <v/>
      </c>
      <c r="Q5" s="18">
        <f>AND(O5:P5)</f>
        <v/>
      </c>
      <c r="R5" s="19">
        <f>TRIM(IF(O5,"",$O$3&amp;" ")&amp;IF(P5,"",$P$3&amp;" "))</f>
        <v/>
      </c>
      <c r="S5" s="18">
        <f>EXACT(SUBSTITUTE(A5," ",""),SUBSTITUTE(I5&amp;J5&amp;K5&amp;L5&amp;M5," ",""))</f>
        <v/>
      </c>
    </row>
    <row r="6">
      <c r="A6" s="15" t="inlineStr">
        <is>
          <t>INSERT INTO FILE_ATTR_PRF_TBL VALUES(553 , 'O');</t>
        </is>
      </c>
      <c r="B6" s="16" t="n"/>
      <c r="C6" s="15" t="inlineStr">
        <is>
          <t xml:space="preserve">553 </t>
        </is>
      </c>
      <c r="D6" s="15" t="inlineStr">
        <is>
          <t xml:space="preserve"> 'O'</t>
        </is>
      </c>
      <c r="F6" s="17" t="inlineStr">
        <is>
          <t>553</t>
        </is>
      </c>
      <c r="G6" s="17" t="inlineStr">
        <is>
          <t>O</t>
        </is>
      </c>
      <c r="I6" s="15" t="inlineStr">
        <is>
          <t>INSERT INTO</t>
        </is>
      </c>
      <c r="J6" s="15" t="inlineStr">
        <is>
          <t>FILE_ATTR_PRF_TBL</t>
        </is>
      </c>
      <c r="K6" s="15" t="inlineStr">
        <is>
          <t>VALUES(</t>
        </is>
      </c>
      <c r="L6" s="15" t="inlineStr">
        <is>
          <t>553 , 'O'</t>
        </is>
      </c>
      <c r="M6" s="15" t="inlineStr">
        <is>
          <t>);</t>
        </is>
      </c>
      <c r="O6" s="18">
        <f>EXACT(TRIM(C6),F6&amp;"")</f>
        <v/>
      </c>
      <c r="P6" s="18">
        <f>EXACT(TRIM(D6),"'"&amp;G6&amp;"'")</f>
        <v/>
      </c>
      <c r="Q6" s="18">
        <f>AND(O6:P6)</f>
        <v/>
      </c>
      <c r="R6" s="19">
        <f>TRIM(IF(O6,"",$O$3&amp;" ")&amp;IF(P6,"",$P$3&amp;" "))</f>
        <v/>
      </c>
      <c r="S6" s="18">
        <f>EXACT(SUBSTITUTE(A6," ",""),SUBSTITUTE(I6&amp;J6&amp;K6&amp;L6&amp;M6," ",""))</f>
        <v/>
      </c>
    </row>
    <row r="7">
      <c r="A7" s="15" t="inlineStr">
        <is>
          <t>INSERT INTO FILE_ATTR_PRF_TBL VALUES(554 , 'P');</t>
        </is>
      </c>
      <c r="B7" s="16" t="n"/>
      <c r="C7" s="15" t="inlineStr">
        <is>
          <t xml:space="preserve">554 </t>
        </is>
      </c>
      <c r="D7" s="15" t="inlineStr">
        <is>
          <t xml:space="preserve"> 'P'</t>
        </is>
      </c>
      <c r="F7" s="17" t="inlineStr">
        <is>
          <t>554</t>
        </is>
      </c>
      <c r="G7" s="17" t="inlineStr">
        <is>
          <t>P</t>
        </is>
      </c>
      <c r="I7" s="15" t="inlineStr">
        <is>
          <t>INSERT INTO</t>
        </is>
      </c>
      <c r="J7" s="15" t="inlineStr">
        <is>
          <t>FILE_ATTR_PRF_TBL</t>
        </is>
      </c>
      <c r="K7" s="15" t="inlineStr">
        <is>
          <t>VALUES(</t>
        </is>
      </c>
      <c r="L7" s="15" t="inlineStr">
        <is>
          <t>554 , 'P'</t>
        </is>
      </c>
      <c r="M7" s="15" t="inlineStr">
        <is>
          <t>);</t>
        </is>
      </c>
      <c r="O7" s="18">
        <f>EXACT(TRIM(C7),F7&amp;"")</f>
        <v/>
      </c>
      <c r="P7" s="18">
        <f>EXACT(TRIM(D7),"'"&amp;G7&amp;"'")</f>
        <v/>
      </c>
      <c r="Q7" s="18">
        <f>AND(O7:P7)</f>
        <v/>
      </c>
      <c r="R7" s="19">
        <f>TRIM(IF(O7,"",$O$3&amp;" ")&amp;IF(P7,"",$P$3&amp;" "))</f>
        <v/>
      </c>
      <c r="S7" s="18">
        <f>EXACT(SUBSTITUTE(A7," ",""),SUBSTITUTE(I7&amp;J7&amp;K7&amp;L7&amp;M7," ",""))</f>
        <v/>
      </c>
    </row>
    <row r="8">
      <c r="A8" s="15" t="inlineStr">
        <is>
          <t>INSERT INTO FILE_ATTR_PRF_TBL VALUES(555 , 'P');</t>
        </is>
      </c>
      <c r="B8" s="16" t="n"/>
      <c r="C8" s="15" t="inlineStr">
        <is>
          <t xml:space="preserve">555 </t>
        </is>
      </c>
      <c r="D8" s="15" t="inlineStr">
        <is>
          <t xml:space="preserve"> 'P'</t>
        </is>
      </c>
      <c r="F8" s="17" t="inlineStr">
        <is>
          <t>555</t>
        </is>
      </c>
      <c r="G8" s="17" t="inlineStr">
        <is>
          <t>P</t>
        </is>
      </c>
      <c r="I8" s="15" t="inlineStr">
        <is>
          <t>INSERT INTO</t>
        </is>
      </c>
      <c r="J8" s="15" t="inlineStr">
        <is>
          <t>FILE_ATTR_PRF_TBL</t>
        </is>
      </c>
      <c r="K8" s="15" t="inlineStr">
        <is>
          <t>VALUES(</t>
        </is>
      </c>
      <c r="L8" s="15" t="inlineStr">
        <is>
          <t>555 , 'P'</t>
        </is>
      </c>
      <c r="M8" s="15" t="inlineStr">
        <is>
          <t>);</t>
        </is>
      </c>
      <c r="O8" s="18">
        <f>EXACT(TRIM(C8),F8&amp;"")</f>
        <v/>
      </c>
      <c r="P8" s="18">
        <f>EXACT(TRIM(D8),"'"&amp;G8&amp;"'")</f>
        <v/>
      </c>
      <c r="Q8" s="18">
        <f>AND(O8:P8)</f>
        <v/>
      </c>
      <c r="R8" s="19">
        <f>TRIM(IF(O8,"",$O$3&amp;" ")&amp;IF(P8,"",$P$3&amp;" "))</f>
        <v/>
      </c>
      <c r="S8" s="18">
        <f>EXACT(SUBSTITUTE(A8," ",""),SUBSTITUTE(I8&amp;J8&amp;K8&amp;L8&amp;M8," ",""))</f>
        <v/>
      </c>
    </row>
    <row r="9">
      <c r="A9" s="15" t="inlineStr">
        <is>
          <t>INSERT INTO FILE_ATTR_PRF_TBL VALUES(556 , 'P');</t>
        </is>
      </c>
      <c r="B9" s="16" t="n"/>
      <c r="C9" s="15" t="inlineStr">
        <is>
          <t xml:space="preserve">556 </t>
        </is>
      </c>
      <c r="D9" s="15" t="inlineStr">
        <is>
          <t xml:space="preserve"> 'P'</t>
        </is>
      </c>
      <c r="F9" s="17" t="inlineStr">
        <is>
          <t>556</t>
        </is>
      </c>
      <c r="G9" s="17" t="inlineStr">
        <is>
          <t>P</t>
        </is>
      </c>
      <c r="I9" s="15" t="inlineStr">
        <is>
          <t>INSERT INTO</t>
        </is>
      </c>
      <c r="J9" s="15" t="inlineStr">
        <is>
          <t>FILE_ATTR_PRF_TBL</t>
        </is>
      </c>
      <c r="K9" s="15" t="inlineStr">
        <is>
          <t>VALUES(</t>
        </is>
      </c>
      <c r="L9" s="15" t="inlineStr">
        <is>
          <t>556 , 'P'</t>
        </is>
      </c>
      <c r="M9" s="15" t="inlineStr">
        <is>
          <t>);</t>
        </is>
      </c>
      <c r="O9" s="18">
        <f>EXACT(TRIM(C9),F9&amp;"")</f>
        <v/>
      </c>
      <c r="P9" s="18">
        <f>EXACT(TRIM(D9),"'"&amp;G9&amp;"'")</f>
        <v/>
      </c>
      <c r="Q9" s="18">
        <f>AND(O9:P9)</f>
        <v/>
      </c>
      <c r="R9" s="19">
        <f>TRIM(IF(O9,"",$O$3&amp;" ")&amp;IF(P9,"",$P$3&amp;" "))</f>
        <v/>
      </c>
      <c r="S9" s="18">
        <f>EXACT(SUBSTITUTE(A9," ",""),SUBSTITUTE(I9&amp;J9&amp;K9&amp;L9&amp;M9," ",""))</f>
        <v/>
      </c>
    </row>
    <row r="10">
      <c r="A10" s="15" t="inlineStr">
        <is>
          <t>INSERT INTO FILE_ATTR_PRF_TBL VALUES(557 , 'Q');</t>
        </is>
      </c>
      <c r="B10" s="16" t="n"/>
      <c r="C10" s="15" t="inlineStr">
        <is>
          <t xml:space="preserve">557 </t>
        </is>
      </c>
      <c r="D10" s="15" t="inlineStr">
        <is>
          <t xml:space="preserve"> 'Q'</t>
        </is>
      </c>
      <c r="F10" s="17" t="inlineStr">
        <is>
          <t>557</t>
        </is>
      </c>
      <c r="G10" s="17" t="inlineStr">
        <is>
          <t>Q</t>
        </is>
      </c>
      <c r="I10" s="15" t="inlineStr">
        <is>
          <t>INSERT INTO</t>
        </is>
      </c>
      <c r="J10" s="15" t="inlineStr">
        <is>
          <t>FILE_ATTR_PRF_TBL</t>
        </is>
      </c>
      <c r="K10" s="15" t="inlineStr">
        <is>
          <t>VALUES(</t>
        </is>
      </c>
      <c r="L10" s="15" t="inlineStr">
        <is>
          <t>557 , 'Q'</t>
        </is>
      </c>
      <c r="M10" s="15" t="inlineStr">
        <is>
          <t>);</t>
        </is>
      </c>
      <c r="O10" s="18">
        <f>EXACT(TRIM(C10),F10&amp;"")</f>
        <v/>
      </c>
      <c r="P10" s="18">
        <f>EXACT(TRIM(D10),"'"&amp;G10&amp;"'")</f>
        <v/>
      </c>
      <c r="Q10" s="18">
        <f>AND(O10:P10)</f>
        <v/>
      </c>
      <c r="R10" s="19">
        <f>TRIM(IF(O10,"",$O$3&amp;" ")&amp;IF(P10,"",$P$3&amp;" "))</f>
        <v/>
      </c>
      <c r="S10" s="18">
        <f>EXACT(SUBSTITUTE(A10," ",""),SUBSTITUTE(I10&amp;J10&amp;K10&amp;L10&amp;M10," ",""))</f>
        <v/>
      </c>
    </row>
    <row r="11">
      <c r="A11" s="15" t="inlineStr">
        <is>
          <t>INSERT INTO FILE_ATTR_PRF_TBL VALUES(558 , 'Q');</t>
        </is>
      </c>
      <c r="B11" s="16" t="n"/>
      <c r="C11" s="15" t="inlineStr">
        <is>
          <t xml:space="preserve">558 </t>
        </is>
      </c>
      <c r="D11" s="15" t="inlineStr">
        <is>
          <t xml:space="preserve"> 'Q'</t>
        </is>
      </c>
      <c r="F11" s="17" t="inlineStr">
        <is>
          <t>558</t>
        </is>
      </c>
      <c r="G11" s="17" t="inlineStr">
        <is>
          <t>Q</t>
        </is>
      </c>
      <c r="I11" s="15" t="inlineStr">
        <is>
          <t>INSERT INTO</t>
        </is>
      </c>
      <c r="J11" s="15" t="inlineStr">
        <is>
          <t>FILE_ATTR_PRF_TBL</t>
        </is>
      </c>
      <c r="K11" s="15" t="inlineStr">
        <is>
          <t>VALUES(</t>
        </is>
      </c>
      <c r="L11" s="15" t="inlineStr">
        <is>
          <t>558 , 'Q'</t>
        </is>
      </c>
      <c r="M11" s="15" t="inlineStr">
        <is>
          <t>);</t>
        </is>
      </c>
      <c r="O11" s="18">
        <f>EXACT(TRIM(C11),F11&amp;"")</f>
        <v/>
      </c>
      <c r="P11" s="18">
        <f>EXACT(TRIM(D11),"'"&amp;G11&amp;"'")</f>
        <v/>
      </c>
      <c r="Q11" s="18">
        <f>AND(O11:P11)</f>
        <v/>
      </c>
      <c r="R11" s="19">
        <f>TRIM(IF(O11,"",$O$3&amp;" ")&amp;IF(P11,"",$P$3&amp;" "))</f>
        <v/>
      </c>
      <c r="S11" s="18">
        <f>EXACT(SUBSTITUTE(A11," ",""),SUBSTITUTE(I11&amp;J11&amp;K11&amp;L11&amp;M11," ",""))</f>
        <v/>
      </c>
    </row>
    <row r="12">
      <c r="A12" s="15" t="inlineStr">
        <is>
          <t>INSERT INTO FILE_ATTR_PRF_TBL VALUES(559 , 'Q');</t>
        </is>
      </c>
      <c r="B12" s="16" t="n"/>
      <c r="C12" s="15" t="inlineStr">
        <is>
          <t xml:space="preserve">559 </t>
        </is>
      </c>
      <c r="D12" s="15" t="inlineStr">
        <is>
          <t xml:space="preserve"> 'Q'</t>
        </is>
      </c>
      <c r="F12" s="17" t="inlineStr">
        <is>
          <t>559</t>
        </is>
      </c>
      <c r="G12" s="17" t="inlineStr">
        <is>
          <t>Q</t>
        </is>
      </c>
      <c r="I12" s="15" t="inlineStr">
        <is>
          <t>INSERT INTO</t>
        </is>
      </c>
      <c r="J12" s="15" t="inlineStr">
        <is>
          <t>FILE_ATTR_PRF_TBL</t>
        </is>
      </c>
      <c r="K12" s="15" t="inlineStr">
        <is>
          <t>VALUES(</t>
        </is>
      </c>
      <c r="L12" s="15" t="inlineStr">
        <is>
          <t>559 , 'Q'</t>
        </is>
      </c>
      <c r="M12" s="15" t="inlineStr">
        <is>
          <t>);</t>
        </is>
      </c>
      <c r="O12" s="18">
        <f>EXACT(TRIM(C12),F12&amp;"")</f>
        <v/>
      </c>
      <c r="P12" s="18">
        <f>EXACT(TRIM(D12),"'"&amp;G12&amp;"'")</f>
        <v/>
      </c>
      <c r="Q12" s="18">
        <f>AND(O12:P12)</f>
        <v/>
      </c>
      <c r="R12" s="19">
        <f>TRIM(IF(O12,"",$O$3&amp;" ")&amp;IF(P12,"",$P$3&amp;" "))</f>
        <v/>
      </c>
      <c r="S12" s="18">
        <f>EXACT(SUBSTITUTE(A12," ",""),SUBSTITUTE(I12&amp;J12&amp;K12&amp;L12&amp;M12," ",""))</f>
        <v/>
      </c>
    </row>
    <row r="13">
      <c r="A13" s="15" t="inlineStr">
        <is>
          <t>INSERT INTO FILE_ATTR_PRF_TBL VALUES(560 , 'R');</t>
        </is>
      </c>
      <c r="B13" s="16" t="n"/>
      <c r="C13" s="15" t="inlineStr">
        <is>
          <t xml:space="preserve">560 </t>
        </is>
      </c>
      <c r="D13" s="15" t="inlineStr">
        <is>
          <t xml:space="preserve"> 'R'</t>
        </is>
      </c>
      <c r="F13" s="17" t="inlineStr">
        <is>
          <t>560</t>
        </is>
      </c>
      <c r="G13" s="17" t="inlineStr">
        <is>
          <t>R</t>
        </is>
      </c>
      <c r="I13" s="15" t="inlineStr">
        <is>
          <t>INSERT INTO</t>
        </is>
      </c>
      <c r="J13" s="15" t="inlineStr">
        <is>
          <t>FILE_ATTR_PRF_TBL</t>
        </is>
      </c>
      <c r="K13" s="15" t="inlineStr">
        <is>
          <t>VALUES(</t>
        </is>
      </c>
      <c r="L13" s="15" t="inlineStr">
        <is>
          <t>560 , 'R'</t>
        </is>
      </c>
      <c r="M13" s="15" t="inlineStr">
        <is>
          <t>);</t>
        </is>
      </c>
      <c r="O13" s="18">
        <f>EXACT(TRIM(C13),F13&amp;"")</f>
        <v/>
      </c>
      <c r="P13" s="18">
        <f>EXACT(TRIM(D13),"'"&amp;G13&amp;"'")</f>
        <v/>
      </c>
      <c r="Q13" s="18">
        <f>AND(O13:P13)</f>
        <v/>
      </c>
      <c r="R13" s="19">
        <f>TRIM(IF(O13,"",$O$3&amp;" ")&amp;IF(P13,"",$P$3&amp;" "))</f>
        <v/>
      </c>
      <c r="S13" s="18">
        <f>EXACT(SUBSTITUTE(A13," ",""),SUBSTITUTE(I13&amp;J13&amp;K13&amp;L13&amp;M13," ",""))</f>
        <v/>
      </c>
    </row>
    <row r="14">
      <c r="A14" s="15" t="inlineStr">
        <is>
          <t>INSERT INTO FILE_ATTR_PRF_TBL VALUES(561 , 'R');</t>
        </is>
      </c>
      <c r="B14" s="16" t="n"/>
      <c r="C14" s="15" t="inlineStr">
        <is>
          <t xml:space="preserve">561 </t>
        </is>
      </c>
      <c r="D14" s="15" t="inlineStr">
        <is>
          <t xml:space="preserve"> 'R'</t>
        </is>
      </c>
      <c r="F14" s="17" t="inlineStr">
        <is>
          <t>561</t>
        </is>
      </c>
      <c r="G14" s="17" t="inlineStr">
        <is>
          <t>R</t>
        </is>
      </c>
      <c r="I14" s="15" t="inlineStr">
        <is>
          <t>INSERT INTO</t>
        </is>
      </c>
      <c r="J14" s="15" t="inlineStr">
        <is>
          <t>FILE_ATTR_PRF_TBL</t>
        </is>
      </c>
      <c r="K14" s="15" t="inlineStr">
        <is>
          <t>VALUES(</t>
        </is>
      </c>
      <c r="L14" s="15" t="inlineStr">
        <is>
          <t>561 , 'R'</t>
        </is>
      </c>
      <c r="M14" s="15" t="inlineStr">
        <is>
          <t>);</t>
        </is>
      </c>
      <c r="O14" s="18">
        <f>EXACT(TRIM(C14),F14&amp;"")</f>
        <v/>
      </c>
      <c r="P14" s="18">
        <f>EXACT(TRIM(D14),"'"&amp;G14&amp;"'")</f>
        <v/>
      </c>
      <c r="Q14" s="18">
        <f>AND(O14:P14)</f>
        <v/>
      </c>
      <c r="R14" s="19">
        <f>TRIM(IF(O14,"",$O$3&amp;" ")&amp;IF(P14,"",$P$3&amp;" "))</f>
        <v/>
      </c>
      <c r="S14" s="18">
        <f>EXACT(SUBSTITUTE(A14," ",""),SUBSTITUTE(I14&amp;J14&amp;K14&amp;L14&amp;M14," ",""))</f>
        <v/>
      </c>
    </row>
    <row r="15">
      <c r="A15" s="15" t="inlineStr">
        <is>
          <t>INSERT INTO FILE_ATTR_PRF_TBL VALUES(562 , 'R');</t>
        </is>
      </c>
      <c r="B15" s="16" t="n"/>
      <c r="C15" s="15" t="inlineStr">
        <is>
          <t xml:space="preserve">562 </t>
        </is>
      </c>
      <c r="D15" s="15" t="inlineStr">
        <is>
          <t xml:space="preserve"> 'R'</t>
        </is>
      </c>
      <c r="F15" s="17" t="inlineStr">
        <is>
          <t>562</t>
        </is>
      </c>
      <c r="G15" s="17" t="inlineStr">
        <is>
          <t>R</t>
        </is>
      </c>
      <c r="I15" s="15" t="inlineStr">
        <is>
          <t>INSERT INTO</t>
        </is>
      </c>
      <c r="J15" s="15" t="inlineStr">
        <is>
          <t>FILE_ATTR_PRF_TBL</t>
        </is>
      </c>
      <c r="K15" s="15" t="inlineStr">
        <is>
          <t>VALUES(</t>
        </is>
      </c>
      <c r="L15" s="15" t="inlineStr">
        <is>
          <t>562 , 'R'</t>
        </is>
      </c>
      <c r="M15" s="15" t="inlineStr">
        <is>
          <t>);</t>
        </is>
      </c>
      <c r="O15" s="18">
        <f>EXACT(TRIM(C15),F15&amp;"")</f>
        <v/>
      </c>
      <c r="P15" s="18">
        <f>EXACT(TRIM(D15),"'"&amp;G15&amp;"'")</f>
        <v/>
      </c>
      <c r="Q15" s="18">
        <f>AND(O15:P15)</f>
        <v/>
      </c>
      <c r="R15" s="19">
        <f>TRIM(IF(O15,"",$O$3&amp;" ")&amp;IF(P15,"",$P$3&amp;" "))</f>
        <v/>
      </c>
      <c r="S15" s="18">
        <f>EXACT(SUBSTITUTE(A15," ",""),SUBSTITUTE(I15&amp;J15&amp;K15&amp;L15&amp;M15," ",""))</f>
        <v/>
      </c>
    </row>
    <row r="16">
      <c r="A16" s="15" t="inlineStr">
        <is>
          <t>INSERT INTO FILE_ATTR_PRF_TBL VALUES(563 , 'S');</t>
        </is>
      </c>
      <c r="B16" s="16" t="n"/>
      <c r="C16" s="15" t="inlineStr">
        <is>
          <t xml:space="preserve">563 </t>
        </is>
      </c>
      <c r="D16" s="15" t="inlineStr">
        <is>
          <t xml:space="preserve"> 'S'</t>
        </is>
      </c>
      <c r="F16" s="17" t="inlineStr">
        <is>
          <t>563</t>
        </is>
      </c>
      <c r="G16" s="17" t="inlineStr">
        <is>
          <t>S</t>
        </is>
      </c>
      <c r="I16" s="15" t="inlineStr">
        <is>
          <t>INSERT INTO</t>
        </is>
      </c>
      <c r="J16" s="15" t="inlineStr">
        <is>
          <t>FILE_ATTR_PRF_TBL</t>
        </is>
      </c>
      <c r="K16" s="15" t="inlineStr">
        <is>
          <t>VALUES(</t>
        </is>
      </c>
      <c r="L16" s="15" t="inlineStr">
        <is>
          <t>563 , 'S'</t>
        </is>
      </c>
      <c r="M16" s="15" t="inlineStr">
        <is>
          <t>);</t>
        </is>
      </c>
      <c r="O16" s="18">
        <f>EXACT(TRIM(C16),F16&amp;"")</f>
        <v/>
      </c>
      <c r="P16" s="18">
        <f>EXACT(TRIM(D16),"'"&amp;G16&amp;"'")</f>
        <v/>
      </c>
      <c r="Q16" s="18">
        <f>AND(O16:P16)</f>
        <v/>
      </c>
      <c r="R16" s="19">
        <f>TRIM(IF(O16,"",$O$3&amp;" ")&amp;IF(P16,"",$P$3&amp;" "))</f>
        <v/>
      </c>
      <c r="S16" s="18">
        <f>EXACT(SUBSTITUTE(A16," ",""),SUBSTITUTE(I16&amp;J16&amp;K16&amp;L16&amp;M16," ",""))</f>
        <v/>
      </c>
    </row>
    <row r="17">
      <c r="A17" s="15" t="inlineStr">
        <is>
          <t>INSERT INTO FILE_ATTR_PRF_TBL VALUES(564 , 'S');</t>
        </is>
      </c>
      <c r="B17" s="16" t="n"/>
      <c r="C17" s="15" t="inlineStr">
        <is>
          <t xml:space="preserve">564 </t>
        </is>
      </c>
      <c r="D17" s="15" t="inlineStr">
        <is>
          <t xml:space="preserve"> 'S'</t>
        </is>
      </c>
      <c r="F17" s="17" t="inlineStr">
        <is>
          <t>564</t>
        </is>
      </c>
      <c r="G17" s="17" t="inlineStr">
        <is>
          <t>S</t>
        </is>
      </c>
      <c r="I17" s="15" t="inlineStr">
        <is>
          <t>INSERT INTO</t>
        </is>
      </c>
      <c r="J17" s="15" t="inlineStr">
        <is>
          <t>FILE_ATTR_PRF_TBL</t>
        </is>
      </c>
      <c r="K17" s="15" t="inlineStr">
        <is>
          <t>VALUES(</t>
        </is>
      </c>
      <c r="L17" s="15" t="inlineStr">
        <is>
          <t>564 , 'S'</t>
        </is>
      </c>
      <c r="M17" s="15" t="inlineStr">
        <is>
          <t>);</t>
        </is>
      </c>
      <c r="O17" s="18">
        <f>EXACT(TRIM(C17),F17&amp;"")</f>
        <v/>
      </c>
      <c r="P17" s="18">
        <f>EXACT(TRIM(D17),"'"&amp;G17&amp;"'")</f>
        <v/>
      </c>
      <c r="Q17" s="18">
        <f>AND(O17:P17)</f>
        <v/>
      </c>
      <c r="R17" s="19">
        <f>TRIM(IF(O17,"",$O$3&amp;" ")&amp;IF(P17,"",$P$3&amp;" "))</f>
        <v/>
      </c>
      <c r="S17" s="18">
        <f>EXACT(SUBSTITUTE(A17," ",""),SUBSTITUTE(I17&amp;J17&amp;K17&amp;L17&amp;M17," ",""))</f>
        <v/>
      </c>
    </row>
    <row r="18">
      <c r="A18" s="15" t="inlineStr">
        <is>
          <t>INSERT INTO FILE_ATTR_PRF_TBL VALUES(565 , 'S');</t>
        </is>
      </c>
      <c r="B18" s="16" t="n"/>
      <c r="C18" s="15" t="inlineStr">
        <is>
          <t xml:space="preserve">565 </t>
        </is>
      </c>
      <c r="D18" s="15" t="inlineStr">
        <is>
          <t xml:space="preserve"> 'S'</t>
        </is>
      </c>
      <c r="F18" s="17" t="inlineStr">
        <is>
          <t>565</t>
        </is>
      </c>
      <c r="G18" s="17" t="inlineStr">
        <is>
          <t>S</t>
        </is>
      </c>
      <c r="I18" s="15" t="inlineStr">
        <is>
          <t>INSERT INTO</t>
        </is>
      </c>
      <c r="J18" s="15" t="inlineStr">
        <is>
          <t>FILE_ATTR_PRF_TBL</t>
        </is>
      </c>
      <c r="K18" s="15" t="inlineStr">
        <is>
          <t>VALUES(</t>
        </is>
      </c>
      <c r="L18" s="15" t="inlineStr">
        <is>
          <t>565 , 'S'</t>
        </is>
      </c>
      <c r="M18" s="15" t="inlineStr">
        <is>
          <t>);</t>
        </is>
      </c>
      <c r="O18" s="18">
        <f>EXACT(TRIM(C18),F18&amp;"")</f>
        <v/>
      </c>
      <c r="P18" s="18">
        <f>EXACT(TRIM(D18),"'"&amp;G18&amp;"'")</f>
        <v/>
      </c>
      <c r="Q18" s="18">
        <f>AND(O18:P18)</f>
        <v/>
      </c>
      <c r="R18" s="19">
        <f>TRIM(IF(O18,"",$O$3&amp;" ")&amp;IF(P18,"",$P$3&amp;" "))</f>
        <v/>
      </c>
      <c r="S18" s="18">
        <f>EXACT(SUBSTITUTE(A18," ",""),SUBSTITUTE(I18&amp;J18&amp;K18&amp;L18&amp;M18," ",""))</f>
        <v/>
      </c>
    </row>
    <row r="19">
      <c r="A19" s="15" t="inlineStr">
        <is>
          <t>INSERT INTO FILE_ATTR_PRF_TBL VALUES(566 , 'T');</t>
        </is>
      </c>
      <c r="B19" s="16" t="n"/>
      <c r="C19" s="15" t="inlineStr">
        <is>
          <t xml:space="preserve">566 </t>
        </is>
      </c>
      <c r="D19" s="15" t="inlineStr">
        <is>
          <t xml:space="preserve"> 'T'</t>
        </is>
      </c>
      <c r="F19" s="17" t="inlineStr">
        <is>
          <t>566</t>
        </is>
      </c>
      <c r="G19" s="17" t="inlineStr">
        <is>
          <t>T</t>
        </is>
      </c>
      <c r="I19" s="15" t="inlineStr">
        <is>
          <t>INSERT INTO</t>
        </is>
      </c>
      <c r="J19" s="15" t="inlineStr">
        <is>
          <t>FILE_ATTR_PRF_TBL</t>
        </is>
      </c>
      <c r="K19" s="15" t="inlineStr">
        <is>
          <t>VALUES(</t>
        </is>
      </c>
      <c r="L19" s="15" t="inlineStr">
        <is>
          <t>566 , 'T'</t>
        </is>
      </c>
      <c r="M19" s="15" t="inlineStr">
        <is>
          <t>);</t>
        </is>
      </c>
      <c r="O19" s="18">
        <f>EXACT(TRIM(C19),F19&amp;"")</f>
        <v/>
      </c>
      <c r="P19" s="18">
        <f>EXACT(TRIM(D19),"'"&amp;G19&amp;"'")</f>
        <v/>
      </c>
      <c r="Q19" s="18">
        <f>AND(O19:P19)</f>
        <v/>
      </c>
      <c r="R19" s="19">
        <f>TRIM(IF(O19,"",$O$3&amp;" ")&amp;IF(P19,"",$P$3&amp;" "))</f>
        <v/>
      </c>
      <c r="S19" s="18">
        <f>EXACT(SUBSTITUTE(A19," ",""),SUBSTITUTE(I19&amp;J19&amp;K19&amp;L19&amp;M19," ",""))</f>
        <v/>
      </c>
    </row>
    <row r="20">
      <c r="A20" s="15" t="inlineStr">
        <is>
          <t>INSERT INTO FILE_ATTR_PRF_TBL VALUES(567 , 'T');</t>
        </is>
      </c>
      <c r="B20" s="16" t="n"/>
      <c r="C20" s="15" t="inlineStr">
        <is>
          <t xml:space="preserve">567 </t>
        </is>
      </c>
      <c r="D20" s="15" t="inlineStr">
        <is>
          <t xml:space="preserve"> 'T'</t>
        </is>
      </c>
      <c r="F20" s="17" t="inlineStr">
        <is>
          <t>567</t>
        </is>
      </c>
      <c r="G20" s="17" t="inlineStr">
        <is>
          <t>T</t>
        </is>
      </c>
      <c r="I20" s="15" t="inlineStr">
        <is>
          <t>INSERT INTO</t>
        </is>
      </c>
      <c r="J20" s="15" t="inlineStr">
        <is>
          <t>FILE_ATTR_PRF_TBL</t>
        </is>
      </c>
      <c r="K20" s="15" t="inlineStr">
        <is>
          <t>VALUES(</t>
        </is>
      </c>
      <c r="L20" s="15" t="inlineStr">
        <is>
          <t>567 , 'T'</t>
        </is>
      </c>
      <c r="M20" s="15" t="inlineStr">
        <is>
          <t>);</t>
        </is>
      </c>
      <c r="O20" s="18">
        <f>EXACT(TRIM(C20),F20&amp;"")</f>
        <v/>
      </c>
      <c r="P20" s="18">
        <f>EXACT(TRIM(D20),"'"&amp;G20&amp;"'")</f>
        <v/>
      </c>
      <c r="Q20" s="18">
        <f>AND(O20:P20)</f>
        <v/>
      </c>
      <c r="R20" s="19">
        <f>TRIM(IF(O20,"",$O$3&amp;" ")&amp;IF(P20,"",$P$3&amp;" "))</f>
        <v/>
      </c>
      <c r="S20" s="18">
        <f>EXACT(SUBSTITUTE(A20," ",""),SUBSTITUTE(I20&amp;J20&amp;K20&amp;L20&amp;M20," ",""))</f>
        <v/>
      </c>
    </row>
    <row r="21">
      <c r="A21" s="15" t="inlineStr">
        <is>
          <t>INSERT INTO FILE_ATTR_PRF_TBL VALUES(568 , 'T');</t>
        </is>
      </c>
      <c r="B21" s="16" t="n"/>
      <c r="C21" s="15" t="inlineStr">
        <is>
          <t xml:space="preserve">568 </t>
        </is>
      </c>
      <c r="D21" s="15" t="inlineStr">
        <is>
          <t xml:space="preserve"> 'T'</t>
        </is>
      </c>
      <c r="F21" s="17" t="inlineStr">
        <is>
          <t>568</t>
        </is>
      </c>
      <c r="G21" s="17" t="inlineStr">
        <is>
          <t>T</t>
        </is>
      </c>
      <c r="I21" s="15" t="inlineStr">
        <is>
          <t>INSERT INTO</t>
        </is>
      </c>
      <c r="J21" s="15" t="inlineStr">
        <is>
          <t>FILE_ATTR_PRF_TBL</t>
        </is>
      </c>
      <c r="K21" s="15" t="inlineStr">
        <is>
          <t>VALUES(</t>
        </is>
      </c>
      <c r="L21" s="15" t="inlineStr">
        <is>
          <t>568 , 'T'</t>
        </is>
      </c>
      <c r="M21" s="15" t="inlineStr">
        <is>
          <t>);</t>
        </is>
      </c>
      <c r="O21" s="18">
        <f>EXACT(TRIM(C21),F21&amp;"")</f>
        <v/>
      </c>
      <c r="P21" s="18">
        <f>EXACT(TRIM(D21),"'"&amp;G21&amp;"'")</f>
        <v/>
      </c>
      <c r="Q21" s="18">
        <f>AND(O21:P21)</f>
        <v/>
      </c>
      <c r="R21" s="19">
        <f>TRIM(IF(O21,"",$O$3&amp;" ")&amp;IF(P21,"",$P$3&amp;" "))</f>
        <v/>
      </c>
      <c r="S21" s="18">
        <f>EXACT(SUBSTITUTE(A21," ",""),SUBSTITUTE(I21&amp;J21&amp;K21&amp;L21&amp;M21," ",""))</f>
        <v/>
      </c>
    </row>
  </sheetData>
  <autoFilter ref="A3:V21"/>
  <mergeCells count="9">
    <mergeCell ref="A1:D1"/>
    <mergeCell ref="F2:G2"/>
    <mergeCell ref="U2:V2"/>
    <mergeCell ref="C2:D2"/>
    <mergeCell ref="O1:S1"/>
    <mergeCell ref="I2:M2"/>
    <mergeCell ref="U1:V1"/>
    <mergeCell ref="O2:R2"/>
    <mergeCell ref="F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  <col width="15" customWidth="1" min="8" max="8"/>
    <col width="15" customWidth="1" min="9" max="9"/>
    <col width="15" customWidth="1" min="10" max="10"/>
    <col width="2" customWidth="1" min="11" max="11"/>
    <col width="11" customWidth="1" min="12" max="12"/>
    <col width="11" customWidth="1" min="13" max="13"/>
    <col width="11" customWidth="1" min="14" max="14"/>
    <col width="62" customWidth="1" min="15" max="15"/>
    <col width="11" customWidth="1" min="16" max="16"/>
    <col width="2" customWidth="1" min="17" max="17"/>
    <col width="11" customWidth="1" min="18" max="18"/>
    <col width="11" customWidth="1" min="19" max="19"/>
    <col width="11" customWidth="1" min="20" max="20"/>
    <col width="11" customWidth="1" min="21" max="21"/>
    <col width="24" customWidth="1" min="22" max="22"/>
    <col width="11" customWidth="1" min="23" max="23"/>
    <col width="2" customWidth="1" min="24" max="24"/>
    <col width="8" customWidth="1" min="25" max="25"/>
    <col width="30" customWidth="1" min="26" max="26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3" t="n"/>
      <c r="H1" s="4" t="inlineStr">
        <is>
          <t>②③ マスタ定義書</t>
        </is>
      </c>
      <c r="I1" s="2" t="n"/>
      <c r="J1" s="2" t="n"/>
      <c r="K1" s="2" t="n"/>
      <c r="L1" s="2" t="n"/>
      <c r="M1" s="2" t="n"/>
      <c r="N1" s="2" t="n"/>
      <c r="O1" s="2" t="n"/>
      <c r="P1" s="3" t="n"/>
      <c r="R1" s="5" t="inlineStr">
        <is>
          <t>突合</t>
        </is>
      </c>
      <c r="S1" s="2" t="n"/>
      <c r="T1" s="2" t="n"/>
      <c r="U1" s="2" t="n"/>
      <c r="V1" s="2" t="n"/>
      <c r="W1" s="3" t="n"/>
      <c r="Y1" s="6" t="inlineStr">
        <is>
          <t>確認結果（記入欄）</t>
        </is>
      </c>
      <c r="Z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3" t="n"/>
      <c r="H2" s="4" t="inlineStr">
        <is>
          <t>横浜銀行様用出荷設定</t>
        </is>
      </c>
      <c r="I2" s="2" t="n"/>
      <c r="J2" s="3" t="n"/>
      <c r="L2" s="8" t="inlineStr">
        <is>
          <t>SQL</t>
        </is>
      </c>
      <c r="M2" s="2" t="n"/>
      <c r="N2" s="2" t="n"/>
      <c r="O2" s="2" t="n"/>
      <c r="P2" s="3" t="n"/>
      <c r="R2" s="5" t="inlineStr">
        <is>
          <t>①②の突合（項目ごと）</t>
        </is>
      </c>
      <c r="S2" s="2" t="n"/>
      <c r="T2" s="2" t="n"/>
      <c r="U2" s="2" t="n"/>
      <c r="V2" s="3" t="n"/>
      <c r="W2" s="5" t="inlineStr">
        <is>
          <t>①③の突合</t>
        </is>
      </c>
      <c r="Y2" s="6" t="inlineStr">
        <is>
          <t>確認結果</t>
        </is>
      </c>
      <c r="Z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H3" s="11" t="inlineStr">
        <is>
          <t>SEQ_NO_NAME</t>
        </is>
      </c>
      <c r="I3" s="11" t="inlineStr">
        <is>
          <t>LAST_SEQ_NUM</t>
        </is>
      </c>
      <c r="J3" s="11" t="inlineStr">
        <is>
          <t>LAST_UPDATE_DATE</t>
        </is>
      </c>
      <c r="L3" s="12" t="inlineStr">
        <is>
          <t>固定</t>
        </is>
      </c>
      <c r="M3" s="12" t="inlineStr">
        <is>
          <t>固定</t>
        </is>
      </c>
      <c r="N3" s="12" t="inlineStr">
        <is>
          <t>固定</t>
        </is>
      </c>
      <c r="O3" s="12" t="inlineStr">
        <is>
          <t>数式</t>
        </is>
      </c>
      <c r="P3" s="12" t="inlineStr">
        <is>
          <t>固定</t>
        </is>
      </c>
      <c r="R3" s="13" t="inlineStr">
        <is>
          <t>SEQ_NO_NAME</t>
        </is>
      </c>
      <c r="S3" s="13" t="inlineStr">
        <is>
          <t>LAST_SEQ_NUM</t>
        </is>
      </c>
      <c r="T3" s="13" t="inlineStr">
        <is>
          <t>LAST_UPDATE_DATE</t>
        </is>
      </c>
      <c r="U3" s="13" t="inlineStr">
        <is>
          <t>全項目一致</t>
        </is>
      </c>
      <c r="V3" s="13" t="inlineStr">
        <is>
          <t>相違した項目</t>
        </is>
      </c>
      <c r="W3" s="13" t="inlineStr">
        <is>
          <t>SQL文一致</t>
        </is>
      </c>
      <c r="Y3" s="14" t="inlineStr">
        <is>
          <t>判定</t>
        </is>
      </c>
      <c r="Z3" s="14" t="inlineStr">
        <is>
          <t>備考</t>
        </is>
      </c>
    </row>
    <row r="4">
      <c r="A4" s="15" t="inlineStr">
        <is>
          <t>INSERT INTO MNG_SEQ_NO_TBL VALUES('LF・LOANS＋' , '0000000' , to_timestamp('2026/12/24 00:00:00' , 'yyyy/MM/dd hh24:mi:ss'));</t>
        </is>
      </c>
      <c r="B4" s="16" t="n"/>
      <c r="C4" s="15" t="inlineStr">
        <is>
          <t xml:space="preserve">'LF・LOANS＋' </t>
        </is>
      </c>
      <c r="D4" s="15" t="inlineStr">
        <is>
          <t xml:space="preserve"> '0000000' </t>
        </is>
      </c>
      <c r="E4" s="15" t="inlineStr">
        <is>
          <t xml:space="preserve"> to_timestamp('2026/12/24 00:00:00' </t>
        </is>
      </c>
      <c r="F4" s="15" t="inlineStr">
        <is>
          <t xml:space="preserve"> 'yyyy/MM/dd hh24:mi:ss')</t>
        </is>
      </c>
      <c r="H4" s="17" t="inlineStr">
        <is>
          <t>LF・LOANS＋</t>
        </is>
      </c>
      <c r="I4" s="17" t="inlineStr">
        <is>
          <t>0000000</t>
        </is>
      </c>
      <c r="J4" s="17" t="inlineStr">
        <is>
          <t>2026/12/24 00:00:00</t>
        </is>
      </c>
      <c r="L4" s="15" t="inlineStr">
        <is>
          <t>INSERT INTO</t>
        </is>
      </c>
      <c r="M4" s="15" t="inlineStr">
        <is>
          <t>MNG_SEQ_NO_TBL</t>
        </is>
      </c>
      <c r="N4" s="15" t="inlineStr">
        <is>
          <t>VALUES(</t>
        </is>
      </c>
      <c r="O4" s="15" t="inlineStr">
        <is>
          <t>'LF・LOANS＋' , '0000000' , to_timestamp('2026/12/24 00:00:00' , 'yyyy/MM/dd hh24:mi:ss')</t>
        </is>
      </c>
      <c r="P4" s="15" t="inlineStr">
        <is>
          <t>);</t>
        </is>
      </c>
      <c r="R4" s="18">
        <f>EXACT(TRIM(C4),"'"&amp;H4&amp;"'")</f>
        <v/>
      </c>
      <c r="S4" s="18">
        <f>EXACT(TRIM(D4),"'"&amp;I4&amp;"'")</f>
        <v/>
      </c>
      <c r="T4" s="18">
        <f>EXACT(TRIM(E4),"to_timestamp('"&amp;J4&amp;"'")</f>
        <v/>
      </c>
      <c r="U4" s="18">
        <f>AND(R4:T4)</f>
        <v/>
      </c>
      <c r="V4" s="19">
        <f>TRIM(IF(R4,"",$R$3&amp;" ")&amp;IF(S4,"",$S$3&amp;" ")&amp;IF(T4,"",$T$3&amp;" "))</f>
        <v/>
      </c>
      <c r="W4" s="18">
        <f>EXACT(SUBSTITUTE(A4," ",""),SUBSTITUTE(L4&amp;M4&amp;N4&amp;O4&amp;P4," ",""))</f>
        <v/>
      </c>
    </row>
    <row r="5">
      <c r="A5" s="15" t="inlineStr">
        <is>
          <t>INSERT INTO MNG_SEQ_NO_TBL VALUES('LF・OLION' , '0000000' , to_timestamp('2026/12/24 00:00:00' , 'yyyy/MM/dd hh24:mi:ss'));</t>
        </is>
      </c>
      <c r="B5" s="16" t="n"/>
      <c r="C5" s="15" t="inlineStr">
        <is>
          <t xml:space="preserve">'LF・OLION' </t>
        </is>
      </c>
      <c r="D5" s="15" t="inlineStr">
        <is>
          <t xml:space="preserve"> '0000000' </t>
        </is>
      </c>
      <c r="E5" s="15" t="inlineStr">
        <is>
          <t xml:space="preserve"> to_timestamp('2026/12/24 00:00:00' </t>
        </is>
      </c>
      <c r="F5" s="15" t="inlineStr">
        <is>
          <t xml:space="preserve"> 'yyyy/MM/dd hh24:mi:ss')</t>
        </is>
      </c>
      <c r="H5" s="17" t="inlineStr">
        <is>
          <t>LF・OLION</t>
        </is>
      </c>
      <c r="I5" s="17" t="inlineStr">
        <is>
          <t>0000000</t>
        </is>
      </c>
      <c r="J5" s="17" t="inlineStr">
        <is>
          <t>2026/12/24 00:00:00</t>
        </is>
      </c>
      <c r="L5" s="15" t="inlineStr">
        <is>
          <t>INSERT INTO</t>
        </is>
      </c>
      <c r="M5" s="15" t="inlineStr">
        <is>
          <t>MNG_SEQ_NO_TBL</t>
        </is>
      </c>
      <c r="N5" s="15" t="inlineStr">
        <is>
          <t>VALUES(</t>
        </is>
      </c>
      <c r="O5" s="15" t="inlineStr">
        <is>
          <t>'LF・OLION' , '0000000' , to_timestamp('2026/12/24 00:00:00' , 'yyyy/MM/dd hh24:mi:ss')</t>
        </is>
      </c>
      <c r="P5" s="15" t="inlineStr">
        <is>
          <t>);</t>
        </is>
      </c>
      <c r="R5" s="18">
        <f>EXACT(TRIM(C5),"'"&amp;H5&amp;"'")</f>
        <v/>
      </c>
      <c r="S5" s="18">
        <f>EXACT(TRIM(D5),"'"&amp;I5&amp;"'")</f>
        <v/>
      </c>
      <c r="T5" s="18">
        <f>EXACT(TRIM(E5),"to_timestamp('"&amp;J5&amp;"'")</f>
        <v/>
      </c>
      <c r="U5" s="18">
        <f>AND(R5:T5)</f>
        <v/>
      </c>
      <c r="V5" s="19">
        <f>TRIM(IF(R5,"",$R$3&amp;" ")&amp;IF(S5,"",$S$3&amp;" ")&amp;IF(T5,"",$T$3&amp;" "))</f>
        <v/>
      </c>
      <c r="W5" s="18">
        <f>EXACT(SUBSTITUTE(A5," ",""),SUBSTITUTE(L5&amp;M5&amp;N5&amp;O5&amp;P5," ",""))</f>
        <v/>
      </c>
    </row>
    <row r="6">
      <c r="A6" s="15" t="inlineStr">
        <is>
          <t>INSERT INTO MNG_SEQ_NO_TBL VALUES('LF・NEON' , '0000000' , to_timestamp('2026/12/24 00:00:00' , 'yyyy/MM/dd hh24:mi:ss'));</t>
        </is>
      </c>
      <c r="B6" s="16" t="n"/>
      <c r="C6" s="15" t="inlineStr">
        <is>
          <t xml:space="preserve">'LF・NEON' </t>
        </is>
      </c>
      <c r="D6" s="15" t="inlineStr">
        <is>
          <t xml:space="preserve"> '0000000' </t>
        </is>
      </c>
      <c r="E6" s="15" t="inlineStr">
        <is>
          <t xml:space="preserve"> to_timestamp('2026/12/24 00:00:00' </t>
        </is>
      </c>
      <c r="F6" s="15" t="inlineStr">
        <is>
          <t xml:space="preserve"> 'yyyy/MM/dd hh24:mi:ss')</t>
        </is>
      </c>
      <c r="H6" s="17" t="inlineStr">
        <is>
          <t>LF・NEON</t>
        </is>
      </c>
      <c r="I6" s="17" t="inlineStr">
        <is>
          <t>0000000</t>
        </is>
      </c>
      <c r="J6" s="17" t="inlineStr">
        <is>
          <t>2026/12/24 00:00:00</t>
        </is>
      </c>
      <c r="L6" s="15" t="inlineStr">
        <is>
          <t>INSERT INTO</t>
        </is>
      </c>
      <c r="M6" s="15" t="inlineStr">
        <is>
          <t>MNG_SEQ_NO_TBL</t>
        </is>
      </c>
      <c r="N6" s="15" t="inlineStr">
        <is>
          <t>VALUES(</t>
        </is>
      </c>
      <c r="O6" s="15" t="inlineStr">
        <is>
          <t>'LF・NEON' , '0000000' , to_timestamp('2026/12/24 00:00:00' , 'yyyy/MM/dd hh24:mi:ss')</t>
        </is>
      </c>
      <c r="P6" s="15" t="inlineStr">
        <is>
          <t>);</t>
        </is>
      </c>
      <c r="R6" s="18">
        <f>EXACT(TRIM(C6),"'"&amp;H6&amp;"'")</f>
        <v/>
      </c>
      <c r="S6" s="18">
        <f>EXACT(TRIM(D6),"'"&amp;I6&amp;"'")</f>
        <v/>
      </c>
      <c r="T6" s="18">
        <f>EXACT(TRIM(E6),"to_timestamp('"&amp;J6&amp;"'")</f>
        <v/>
      </c>
      <c r="U6" s="18">
        <f>AND(R6:T6)</f>
        <v/>
      </c>
      <c r="V6" s="19">
        <f>TRIM(IF(R6,"",$R$3&amp;" ")&amp;IF(S6,"",$S$3&amp;" ")&amp;IF(T6,"",$T$3&amp;" "))</f>
        <v/>
      </c>
      <c r="W6" s="18">
        <f>EXACT(SUBSTITUTE(A6," ",""),SUBSTITUTE(L6&amp;M6&amp;N6&amp;O6&amp;P6," ",""))</f>
        <v/>
      </c>
    </row>
    <row r="7">
      <c r="A7" s="15" t="inlineStr">
        <is>
          <t>INSERT INTO MNG_SEQ_NO_TBL VALUES('LF・融資先以外' , '0000000' , to_timestamp('2026/12/24 00:00:00' , 'yyyy/MM/dd hh24:mi:ss'));</t>
        </is>
      </c>
      <c r="B7" s="16" t="n"/>
      <c r="C7" s="15" t="inlineStr">
        <is>
          <t xml:space="preserve">'LF・融資先以外' </t>
        </is>
      </c>
      <c r="D7" s="15" t="inlineStr">
        <is>
          <t xml:space="preserve"> '0000000' </t>
        </is>
      </c>
      <c r="E7" s="15" t="inlineStr">
        <is>
          <t xml:space="preserve"> to_timestamp('2026/12/24 00:00:00' </t>
        </is>
      </c>
      <c r="F7" s="15" t="inlineStr">
        <is>
          <t xml:space="preserve"> 'yyyy/MM/dd hh24:mi:ss')</t>
        </is>
      </c>
      <c r="H7" s="17" t="inlineStr">
        <is>
          <t>LF・融資先以外</t>
        </is>
      </c>
      <c r="I7" s="17" t="inlineStr">
        <is>
          <t>0000000</t>
        </is>
      </c>
      <c r="J7" s="17" t="inlineStr">
        <is>
          <t>2026/12/24 00:00:00</t>
        </is>
      </c>
      <c r="L7" s="15" t="inlineStr">
        <is>
          <t>INSERT INTO</t>
        </is>
      </c>
      <c r="M7" s="15" t="inlineStr">
        <is>
          <t>MNG_SEQ_NO_TBL</t>
        </is>
      </c>
      <c r="N7" s="15" t="inlineStr">
        <is>
          <t>VALUES(</t>
        </is>
      </c>
      <c r="O7" s="15" t="inlineStr">
        <is>
          <t>'LF・融資先以外' , '0000000' , to_timestamp('2026/12/24 00:00:00' , 'yyyy/MM/dd hh24:mi:ss')</t>
        </is>
      </c>
      <c r="P7" s="15" t="inlineStr">
        <is>
          <t>);</t>
        </is>
      </c>
      <c r="R7" s="18">
        <f>EXACT(TRIM(C7),"'"&amp;H7&amp;"'")</f>
        <v/>
      </c>
      <c r="S7" s="18">
        <f>EXACT(TRIM(D7),"'"&amp;I7&amp;"'")</f>
        <v/>
      </c>
      <c r="T7" s="18">
        <f>EXACT(TRIM(E7),"to_timestamp('"&amp;J7&amp;"'")</f>
        <v/>
      </c>
      <c r="U7" s="18">
        <f>AND(R7:T7)</f>
        <v/>
      </c>
      <c r="V7" s="19">
        <f>TRIM(IF(R7,"",$R$3&amp;" ")&amp;IF(S7,"",$S$3&amp;" ")&amp;IF(T7,"",$T$3&amp;" "))</f>
        <v/>
      </c>
      <c r="W7" s="18">
        <f>EXACT(SUBSTITUTE(A7," ",""),SUBSTITUTE(L7&amp;M7&amp;N7&amp;O7&amp;P7," ",""))</f>
        <v/>
      </c>
    </row>
    <row r="8">
      <c r="A8" s="15" t="inlineStr">
        <is>
          <t>INSERT INTO MNG_SEQ_NO_TBL VALUES('LF・損害金' , '0000000' , to_timestamp('2026/12/24 00:00:00' , 'yyyy/MM/dd hh24:mi:ss'));</t>
        </is>
      </c>
      <c r="B8" s="16" t="n"/>
      <c r="C8" s="15" t="inlineStr">
        <is>
          <t xml:space="preserve">'LF・損害金' </t>
        </is>
      </c>
      <c r="D8" s="15" t="inlineStr">
        <is>
          <t xml:space="preserve"> '0000000' </t>
        </is>
      </c>
      <c r="E8" s="15" t="inlineStr">
        <is>
          <t xml:space="preserve"> to_timestamp('2026/12/24 00:00:00' </t>
        </is>
      </c>
      <c r="F8" s="15" t="inlineStr">
        <is>
          <t xml:space="preserve"> 'yyyy/MM/dd hh24:mi:ss')</t>
        </is>
      </c>
      <c r="H8" s="17" t="inlineStr">
        <is>
          <t>LF・損害金</t>
        </is>
      </c>
      <c r="I8" s="17" t="inlineStr">
        <is>
          <t>0000000</t>
        </is>
      </c>
      <c r="J8" s="17" t="inlineStr">
        <is>
          <t>2026/12/24 00:00:00</t>
        </is>
      </c>
      <c r="L8" s="15" t="inlineStr">
        <is>
          <t>INSERT INTO</t>
        </is>
      </c>
      <c r="M8" s="15" t="inlineStr">
        <is>
          <t>MNG_SEQ_NO_TBL</t>
        </is>
      </c>
      <c r="N8" s="15" t="inlineStr">
        <is>
          <t>VALUES(</t>
        </is>
      </c>
      <c r="O8" s="15" t="inlineStr">
        <is>
          <t>'LF・損害金' , '0000000' , to_timestamp('2026/12/24 00:00:00' , 'yyyy/MM/dd hh24:mi:ss')</t>
        </is>
      </c>
      <c r="P8" s="15" t="inlineStr">
        <is>
          <t>);</t>
        </is>
      </c>
      <c r="R8" s="18">
        <f>EXACT(TRIM(C8),"'"&amp;H8&amp;"'")</f>
        <v/>
      </c>
      <c r="S8" s="18">
        <f>EXACT(TRIM(D8),"'"&amp;I8&amp;"'")</f>
        <v/>
      </c>
      <c r="T8" s="18">
        <f>EXACT(TRIM(E8),"to_timestamp('"&amp;J8&amp;"'")</f>
        <v/>
      </c>
      <c r="U8" s="18">
        <f>AND(R8:T8)</f>
        <v/>
      </c>
      <c r="V8" s="19">
        <f>TRIM(IF(R8,"",$R$3&amp;" ")&amp;IF(S8,"",$S$3&amp;" ")&amp;IF(T8,"",$T$3&amp;" "))</f>
        <v/>
      </c>
      <c r="W8" s="18">
        <f>EXACT(SUBSTITUTE(A8," ",""),SUBSTITUTE(L8&amp;M8&amp;N8&amp;O8&amp;P8," ",""))</f>
        <v/>
      </c>
    </row>
    <row r="9">
      <c r="A9" s="15" t="inlineStr">
        <is>
          <t>INSERT INTO MNG_SEQ_NO_TBL VALUES('LF・DM送付先一覧' , '0000000' , to_timestamp('2026/12/24 00:00:00' , 'yyyy/MM/dd hh24:mi:ss'));</t>
        </is>
      </c>
      <c r="B9" s="16" t="n"/>
      <c r="C9" s="15" t="inlineStr">
        <is>
          <t xml:space="preserve">'LF・DM送付先一覧' </t>
        </is>
      </c>
      <c r="D9" s="15" t="inlineStr">
        <is>
          <t xml:space="preserve"> '0000000' </t>
        </is>
      </c>
      <c r="E9" s="15" t="inlineStr">
        <is>
          <t xml:space="preserve"> to_timestamp('2026/12/24 00:00:00' </t>
        </is>
      </c>
      <c r="F9" s="15" t="inlineStr">
        <is>
          <t xml:space="preserve"> 'yyyy/MM/dd hh24:mi:ss')</t>
        </is>
      </c>
      <c r="H9" s="17" t="inlineStr">
        <is>
          <t>LF・DM送付先一覧</t>
        </is>
      </c>
      <c r="I9" s="17" t="inlineStr">
        <is>
          <t>0000000</t>
        </is>
      </c>
      <c r="J9" s="17" t="inlineStr">
        <is>
          <t>2026/12/24 00:00:00</t>
        </is>
      </c>
      <c r="L9" s="15" t="inlineStr">
        <is>
          <t>INSERT INTO</t>
        </is>
      </c>
      <c r="M9" s="15" t="inlineStr">
        <is>
          <t>MNG_SEQ_NO_TBL</t>
        </is>
      </c>
      <c r="N9" s="15" t="inlineStr">
        <is>
          <t>VALUES(</t>
        </is>
      </c>
      <c r="O9" s="15" t="inlineStr">
        <is>
          <t>'LF・DM送付先一覧' , '0000000' , to_timestamp('2026/12/24 00:00:00' , 'yyyy/MM/dd hh24:mi:ss')</t>
        </is>
      </c>
      <c r="P9" s="15" t="inlineStr">
        <is>
          <t>);</t>
        </is>
      </c>
      <c r="R9" s="18">
        <f>EXACT(TRIM(C9),"'"&amp;H9&amp;"'")</f>
        <v/>
      </c>
      <c r="S9" s="18">
        <f>EXACT(TRIM(D9),"'"&amp;I9&amp;"'")</f>
        <v/>
      </c>
      <c r="T9" s="18">
        <f>EXACT(TRIM(E9),"to_timestamp('"&amp;J9&amp;"'")</f>
        <v/>
      </c>
      <c r="U9" s="18">
        <f>AND(R9:T9)</f>
        <v/>
      </c>
      <c r="V9" s="19">
        <f>TRIM(IF(R9,"",$R$3&amp;" ")&amp;IF(S9,"",$S$3&amp;" ")&amp;IF(T9,"",$T$3&amp;" "))</f>
        <v/>
      </c>
      <c r="W9" s="18">
        <f>EXACT(SUBSTITUTE(A9," ",""),SUBSTITUTE(L9&amp;M9&amp;N9&amp;O9&amp;P9," ",""))</f>
        <v/>
      </c>
    </row>
  </sheetData>
  <autoFilter ref="A3:Z9"/>
  <mergeCells count="9">
    <mergeCell ref="L2:P2"/>
    <mergeCell ref="H1:P1"/>
    <mergeCell ref="Y2:Z2"/>
    <mergeCell ref="A1:F1"/>
    <mergeCell ref="Y1:Z1"/>
    <mergeCell ref="R2:V2"/>
    <mergeCell ref="H2:J2"/>
    <mergeCell ref="C2:F2"/>
    <mergeCell ref="R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" customWidth="1" min="18" max="18"/>
    <col width="11" customWidth="1" min="19" max="19"/>
    <col width="11" customWidth="1" min="20" max="20"/>
    <col width="11" customWidth="1" min="21" max="21"/>
    <col width="62" customWidth="1" min="22" max="22"/>
    <col width="11" customWidth="1" min="23" max="23"/>
    <col width="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24" customWidth="1" min="33" max="33"/>
    <col width="11" customWidth="1" min="34" max="34"/>
    <col width="2" customWidth="1" min="35" max="35"/>
    <col width="8" customWidth="1" min="36" max="36"/>
    <col width="30" customWidth="1" min="37" max="37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4" t="inlineStr">
        <is>
          <t>②③ マスタ定義書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5" t="inlineStr">
        <is>
          <t>突合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3" t="n"/>
      <c r="AJ1" s="6" t="inlineStr">
        <is>
          <t>確認結果（記入欄）</t>
        </is>
      </c>
      <c r="AK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2" t="n"/>
      <c r="I2" s="3" t="n"/>
      <c r="K2" s="4" t="inlineStr">
        <is>
          <t>横浜銀行様用出荷設定</t>
        </is>
      </c>
      <c r="L2" s="2" t="n"/>
      <c r="M2" s="2" t="n"/>
      <c r="N2" s="2" t="n"/>
      <c r="O2" s="2" t="n"/>
      <c r="P2" s="2" t="n"/>
      <c r="Q2" s="3" t="n"/>
      <c r="S2" s="8" t="inlineStr">
        <is>
          <t>SQL</t>
        </is>
      </c>
      <c r="T2" s="2" t="n"/>
      <c r="U2" s="2" t="n"/>
      <c r="V2" s="2" t="n"/>
      <c r="W2" s="3" t="n"/>
      <c r="Y2" s="5" t="inlineStr">
        <is>
          <t>①②の突合（項目ごと）</t>
        </is>
      </c>
      <c r="Z2" s="2" t="n"/>
      <c r="AA2" s="2" t="n"/>
      <c r="AB2" s="2" t="n"/>
      <c r="AC2" s="2" t="n"/>
      <c r="AD2" s="2" t="n"/>
      <c r="AE2" s="2" t="n"/>
      <c r="AF2" s="2" t="n"/>
      <c r="AG2" s="3" t="n"/>
      <c r="AH2" s="5" t="inlineStr">
        <is>
          <t>①③の突合</t>
        </is>
      </c>
      <c r="AJ2" s="6" t="inlineStr">
        <is>
          <t>確認結果</t>
        </is>
      </c>
      <c r="AK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I3" s="10" t="inlineStr">
        <is>
          <t>区切7</t>
        </is>
      </c>
      <c r="K3" s="11" t="inlineStr">
        <is>
          <t>CODE_CNF_ID</t>
        </is>
      </c>
      <c r="L3" s="11" t="inlineStr">
        <is>
          <t>CODE_TYPE</t>
        </is>
      </c>
      <c r="M3" s="11" t="inlineStr">
        <is>
          <t>CODE_VALUE</t>
        </is>
      </c>
      <c r="N3" s="11" t="inlineStr">
        <is>
          <t>SUB_CODE_VALUE</t>
        </is>
      </c>
      <c r="O3" s="11" t="inlineStr">
        <is>
          <t>DSP_STRING</t>
        </is>
      </c>
      <c r="P3" s="11" t="inlineStr">
        <is>
          <t>DSP_ORDER</t>
        </is>
      </c>
      <c r="Q3" s="11" t="inlineStr">
        <is>
          <t>IS_DEL</t>
        </is>
      </c>
      <c r="S3" s="12" t="inlineStr">
        <is>
          <t>固定</t>
        </is>
      </c>
      <c r="T3" s="12" t="inlineStr">
        <is>
          <t>固定</t>
        </is>
      </c>
      <c r="U3" s="12" t="inlineStr">
        <is>
          <t>固定</t>
        </is>
      </c>
      <c r="V3" s="12" t="inlineStr">
        <is>
          <t>数式</t>
        </is>
      </c>
      <c r="W3" s="12" t="inlineStr">
        <is>
          <t>固定</t>
        </is>
      </c>
      <c r="Y3" s="13" t="inlineStr">
        <is>
          <t>CODE_CNF_ID</t>
        </is>
      </c>
      <c r="Z3" s="13" t="inlineStr">
        <is>
          <t>CODE_TYPE</t>
        </is>
      </c>
      <c r="AA3" s="13" t="inlineStr">
        <is>
          <t>CODE_VALUE</t>
        </is>
      </c>
      <c r="AB3" s="13" t="inlineStr">
        <is>
          <t>SUB_CODE_VALUE</t>
        </is>
      </c>
      <c r="AC3" s="13" t="inlineStr">
        <is>
          <t>DSP_STRING</t>
        </is>
      </c>
      <c r="AD3" s="13" t="inlineStr">
        <is>
          <t>DSP_ORDER</t>
        </is>
      </c>
      <c r="AE3" s="13" t="inlineStr">
        <is>
          <t>IS_DEL</t>
        </is>
      </c>
      <c r="AF3" s="13" t="inlineStr">
        <is>
          <t>全項目一致</t>
        </is>
      </c>
      <c r="AG3" s="13" t="inlineStr">
        <is>
          <t>相違した項目</t>
        </is>
      </c>
      <c r="AH3" s="13" t="inlineStr">
        <is>
          <t>SQL文一致</t>
        </is>
      </c>
      <c r="AJ3" s="14" t="inlineStr">
        <is>
          <t>判定</t>
        </is>
      </c>
      <c r="AK3" s="14" t="inlineStr">
        <is>
          <t>備考</t>
        </is>
      </c>
    </row>
    <row r="4">
      <c r="A4" s="15" t="inlineStr">
        <is>
          <t>INSERT INTO MST_CODE_TBL VALUES(67 , 'プルダウンコメント' , '002' , '21' , '該当あり（C情報）' , 102 , 'N');</t>
        </is>
      </c>
      <c r="B4" s="16" t="n"/>
      <c r="C4" s="15" t="inlineStr">
        <is>
          <t xml:space="preserve">67 </t>
        </is>
      </c>
      <c r="D4" s="15" t="inlineStr">
        <is>
          <t xml:space="preserve"> 'プルダウンコメント' </t>
        </is>
      </c>
      <c r="E4" s="15" t="inlineStr">
        <is>
          <t xml:space="preserve"> '002' </t>
        </is>
      </c>
      <c r="F4" s="15" t="inlineStr">
        <is>
          <t xml:space="preserve"> '21' </t>
        </is>
      </c>
      <c r="G4" s="15" t="inlineStr">
        <is>
          <t xml:space="preserve"> '該当あり（C情報）' </t>
        </is>
      </c>
      <c r="H4" s="15" t="inlineStr">
        <is>
          <t xml:space="preserve"> 102 </t>
        </is>
      </c>
      <c r="I4" s="15" t="inlineStr">
        <is>
          <t xml:space="preserve"> 'N'</t>
        </is>
      </c>
      <c r="K4" s="17" t="inlineStr">
        <is>
          <t>67</t>
        </is>
      </c>
      <c r="L4" s="17" t="inlineStr">
        <is>
          <t>プルダウンコメント</t>
        </is>
      </c>
      <c r="M4" s="17" t="inlineStr">
        <is>
          <t>002</t>
        </is>
      </c>
      <c r="N4" s="17" t="inlineStr">
        <is>
          <t>21</t>
        </is>
      </c>
      <c r="O4" s="17" t="inlineStr">
        <is>
          <t>該当あり（C情報）</t>
        </is>
      </c>
      <c r="P4" s="17" t="inlineStr">
        <is>
          <t>102</t>
        </is>
      </c>
      <c r="Q4" s="17" t="inlineStr">
        <is>
          <t>N</t>
        </is>
      </c>
      <c r="S4" s="15" t="inlineStr">
        <is>
          <t>INSERT INTO</t>
        </is>
      </c>
      <c r="T4" s="15" t="inlineStr">
        <is>
          <t>MST_CODE_TBL</t>
        </is>
      </c>
      <c r="U4" s="15" t="inlineStr">
        <is>
          <t>VALUES(</t>
        </is>
      </c>
      <c r="V4" s="15" t="inlineStr">
        <is>
          <t>67 , 'プルダウンコメント' , '002' , '21' , '該当あり（C情報）' , 102 , 'N'</t>
        </is>
      </c>
      <c r="W4" s="15" t="inlineStr">
        <is>
          <t>);</t>
        </is>
      </c>
      <c r="Y4" s="18">
        <f>EXACT(TRIM(C4),K4&amp;"")</f>
        <v/>
      </c>
      <c r="Z4" s="18">
        <f>EXACT(TRIM(D4),"'"&amp;L4&amp;"'")</f>
        <v/>
      </c>
      <c r="AA4" s="18">
        <f>EXACT(TRIM(E4),"'"&amp;M4&amp;"'")</f>
        <v/>
      </c>
      <c r="AB4" s="18">
        <f>EXACT(TRIM(F4),"'"&amp;N4&amp;"'")</f>
        <v/>
      </c>
      <c r="AC4" s="18">
        <f>EXACT(TRIM(G4),"'"&amp;O4&amp;"'")</f>
        <v/>
      </c>
      <c r="AD4" s="18">
        <f>EXACT(TRIM(H4),P4&amp;"")</f>
        <v/>
      </c>
      <c r="AE4" s="18">
        <f>EXACT(TRIM(I4),"'"&amp;Q4&amp;"'")</f>
        <v/>
      </c>
      <c r="AF4" s="18">
        <f>AND(Y4:AE4)</f>
        <v/>
      </c>
      <c r="AG4" s="19">
        <f>TRIM(IF(Y4,"",$Y$3&amp;" ")&amp;IF(Z4,"",$Z$3&amp;" ")&amp;IF(AA4,"",$AA$3&amp;" ")&amp;IF(AB4,"",$AB$3&amp;" ")&amp;IF(AC4,"",$AC$3&amp;" ")&amp;IF(AD4,"",$AD$3&amp;" ")&amp;IF(AE4,"",$AE$3&amp;" "))</f>
        <v/>
      </c>
      <c r="AH4" s="18">
        <f>EXACT(SUBSTITUTE(A4," ",""),SUBSTITUTE(S4&amp;T4&amp;U4&amp;V4&amp;W4," ",""))</f>
        <v/>
      </c>
    </row>
    <row r="5">
      <c r="A5" s="15" t="inlineStr">
        <is>
          <t>INSERT INTO MST_CODE_TBL VALUES(68 , 'プルダウンコメント' , '002' , '22' , '取消し' , 105 , 'N');</t>
        </is>
      </c>
      <c r="B5" s="16" t="n"/>
      <c r="C5" s="15" t="inlineStr">
        <is>
          <t xml:space="preserve">68 </t>
        </is>
      </c>
      <c r="D5" s="15" t="inlineStr">
        <is>
          <t xml:space="preserve"> 'プルダウンコメント' </t>
        </is>
      </c>
      <c r="E5" s="15" t="inlineStr">
        <is>
          <t xml:space="preserve"> '002' </t>
        </is>
      </c>
      <c r="F5" s="15" t="inlineStr">
        <is>
          <t xml:space="preserve"> '22' </t>
        </is>
      </c>
      <c r="G5" s="15" t="inlineStr">
        <is>
          <t xml:space="preserve"> '取消し' </t>
        </is>
      </c>
      <c r="H5" s="15" t="inlineStr">
        <is>
          <t xml:space="preserve"> 105 </t>
        </is>
      </c>
      <c r="I5" s="15" t="inlineStr">
        <is>
          <t xml:space="preserve"> 'N'</t>
        </is>
      </c>
      <c r="K5" s="17" t="inlineStr">
        <is>
          <t>68</t>
        </is>
      </c>
      <c r="L5" s="17" t="inlineStr">
        <is>
          <t>プルダウンコメント</t>
        </is>
      </c>
      <c r="M5" s="17" t="inlineStr">
        <is>
          <t>002</t>
        </is>
      </c>
      <c r="N5" s="17" t="inlineStr">
        <is>
          <t>22</t>
        </is>
      </c>
      <c r="O5" s="17" t="inlineStr">
        <is>
          <t>取消し</t>
        </is>
      </c>
      <c r="P5" s="17" t="inlineStr">
        <is>
          <t>105</t>
        </is>
      </c>
      <c r="Q5" s="17" t="inlineStr">
        <is>
          <t>N</t>
        </is>
      </c>
      <c r="S5" s="15" t="inlineStr">
        <is>
          <t>INSERT INTO</t>
        </is>
      </c>
      <c r="T5" s="15" t="inlineStr">
        <is>
          <t>MST_CODE_TBL</t>
        </is>
      </c>
      <c r="U5" s="15" t="inlineStr">
        <is>
          <t>VALUES(</t>
        </is>
      </c>
      <c r="V5" s="15" t="inlineStr">
        <is>
          <t>68 , 'プルダウンコメント' , '002' , '22' , '取消し' , 105 , 'N'</t>
        </is>
      </c>
      <c r="W5" s="15" t="inlineStr">
        <is>
          <t>);</t>
        </is>
      </c>
      <c r="Y5" s="18">
        <f>EXACT(TRIM(C5),K5&amp;"")</f>
        <v/>
      </c>
      <c r="Z5" s="18">
        <f>EXACT(TRIM(D5),"'"&amp;L5&amp;"'")</f>
        <v/>
      </c>
      <c r="AA5" s="18">
        <f>EXACT(TRIM(E5),"'"&amp;M5&amp;"'")</f>
        <v/>
      </c>
      <c r="AB5" s="18">
        <f>EXACT(TRIM(F5),"'"&amp;N5&amp;"'")</f>
        <v/>
      </c>
      <c r="AC5" s="18">
        <f>EXACT(TRIM(G5),"'"&amp;O5&amp;"'")</f>
        <v/>
      </c>
      <c r="AD5" s="18">
        <f>EXACT(TRIM(H5),P5&amp;"")</f>
        <v/>
      </c>
      <c r="AE5" s="18">
        <f>EXACT(TRIM(I5),"'"&amp;Q5&amp;"'")</f>
        <v/>
      </c>
      <c r="AF5" s="18">
        <f>AND(Y5:AE5)</f>
        <v/>
      </c>
      <c r="AG5" s="19">
        <f>TRIM(IF(Y5,"",$Y$3&amp;" ")&amp;IF(Z5,"",$Z$3&amp;" ")&amp;IF(AA5,"",$AA$3&amp;" ")&amp;IF(AB5,"",$AB$3&amp;" ")&amp;IF(AC5,"",$AC$3&amp;" ")&amp;IF(AD5,"",$AD$3&amp;" ")&amp;IF(AE5,"",$AE$3&amp;" "))</f>
        <v/>
      </c>
      <c r="AH5" s="18">
        <f>EXACT(SUBSTITUTE(A5," ",""),SUBSTITUTE(S5&amp;T5&amp;U5&amp;V5&amp;W5," ",""))</f>
        <v/>
      </c>
    </row>
  </sheetData>
  <autoFilter ref="A3:AK5"/>
  <mergeCells count="9">
    <mergeCell ref="Y1:AH1"/>
    <mergeCell ref="Y2:AG2"/>
    <mergeCell ref="S2:W2"/>
    <mergeCell ref="AJ1:AK1"/>
    <mergeCell ref="A1:I1"/>
    <mergeCell ref="AJ2:AK2"/>
    <mergeCell ref="C2:I2"/>
    <mergeCell ref="K2:Q2"/>
    <mergeCell ref="K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4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" customWidth="1" min="16" max="16"/>
    <col width="11" customWidth="1" min="17" max="17"/>
    <col width="11" customWidth="1" min="18" max="18"/>
    <col width="11" customWidth="1" min="19" max="19"/>
    <col width="62" customWidth="1" min="20" max="20"/>
    <col width="11" customWidth="1" min="21" max="21"/>
    <col width="2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4" customWidth="1" min="30" max="30"/>
    <col width="11" customWidth="1" min="31" max="31"/>
    <col width="2" customWidth="1" min="32" max="32"/>
    <col width="8" customWidth="1" min="33" max="33"/>
    <col width="30" customWidth="1" min="34" max="34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3" t="n"/>
      <c r="J1" s="4" t="inlineStr">
        <is>
          <t>②③ マスタ定義書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5" t="inlineStr">
        <is>
          <t>突合</t>
        </is>
      </c>
      <c r="X1" s="2" t="n"/>
      <c r="Y1" s="2" t="n"/>
      <c r="Z1" s="2" t="n"/>
      <c r="AA1" s="2" t="n"/>
      <c r="AB1" s="2" t="n"/>
      <c r="AC1" s="2" t="n"/>
      <c r="AD1" s="2" t="n"/>
      <c r="AE1" s="3" t="n"/>
      <c r="AG1" s="6" t="inlineStr">
        <is>
          <t>確認結果（記入欄）</t>
        </is>
      </c>
      <c r="AH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3" t="n"/>
      <c r="J2" s="4" t="inlineStr">
        <is>
          <t>横浜銀行様用出荷設定</t>
        </is>
      </c>
      <c r="K2" s="2" t="n"/>
      <c r="L2" s="2" t="n"/>
      <c r="M2" s="2" t="n"/>
      <c r="N2" s="2" t="n"/>
      <c r="O2" s="3" t="n"/>
      <c r="Q2" s="8" t="inlineStr">
        <is>
          <t>SQL</t>
        </is>
      </c>
      <c r="R2" s="2" t="n"/>
      <c r="S2" s="2" t="n"/>
      <c r="T2" s="2" t="n"/>
      <c r="U2" s="3" t="n"/>
      <c r="W2" s="5" t="inlineStr">
        <is>
          <t>①②の突合（項目ごと）</t>
        </is>
      </c>
      <c r="X2" s="2" t="n"/>
      <c r="Y2" s="2" t="n"/>
      <c r="Z2" s="2" t="n"/>
      <c r="AA2" s="2" t="n"/>
      <c r="AB2" s="2" t="n"/>
      <c r="AC2" s="2" t="n"/>
      <c r="AD2" s="3" t="n"/>
      <c r="AE2" s="5" t="inlineStr">
        <is>
          <t>①③の突合</t>
        </is>
      </c>
      <c r="AG2" s="6" t="inlineStr">
        <is>
          <t>確認結果</t>
        </is>
      </c>
      <c r="AH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J3" s="11" t="inlineStr">
        <is>
          <t>FILTERING_DEF_ID</t>
        </is>
      </c>
      <c r="K3" s="11" t="inlineStr">
        <is>
          <t>WATCH_LIST_FILE</t>
        </is>
      </c>
      <c r="L3" s="11" t="inlineStr">
        <is>
          <t>COMBI_FILE</t>
        </is>
      </c>
      <c r="M3" s="11" t="inlineStr">
        <is>
          <t>CIF_LOT</t>
        </is>
      </c>
      <c r="N3" s="11" t="inlineStr">
        <is>
          <t>IS_ONLY_BATCH</t>
        </is>
      </c>
      <c r="O3" s="11" t="inlineStr">
        <is>
          <t>COMBI_FILE_BATCH</t>
        </is>
      </c>
      <c r="Q3" s="12" t="inlineStr">
        <is>
          <t>固定</t>
        </is>
      </c>
      <c r="R3" s="12" t="inlineStr">
        <is>
          <t>固定</t>
        </is>
      </c>
      <c r="S3" s="12" t="inlineStr">
        <is>
          <t>固定</t>
        </is>
      </c>
      <c r="T3" s="12" t="inlineStr">
        <is>
          <t>数式</t>
        </is>
      </c>
      <c r="U3" s="12" t="inlineStr">
        <is>
          <t>固定</t>
        </is>
      </c>
      <c r="W3" s="13" t="inlineStr">
        <is>
          <t>FILTERING_DEF_ID</t>
        </is>
      </c>
      <c r="X3" s="13" t="inlineStr">
        <is>
          <t>WATCH_LIST_FILE</t>
        </is>
      </c>
      <c r="Y3" s="13" t="inlineStr">
        <is>
          <t>COMBI_FILE</t>
        </is>
      </c>
      <c r="Z3" s="13" t="inlineStr">
        <is>
          <t>CIF_LOT</t>
        </is>
      </c>
      <c r="AA3" s="13" t="inlineStr">
        <is>
          <t>IS_ONLY_BATCH</t>
        </is>
      </c>
      <c r="AB3" s="13" t="inlineStr">
        <is>
          <t>COMBI_FILE_BATCH</t>
        </is>
      </c>
      <c r="AC3" s="13" t="inlineStr">
        <is>
          <t>全項目一致</t>
        </is>
      </c>
      <c r="AD3" s="13" t="inlineStr">
        <is>
          <t>相違した項目</t>
        </is>
      </c>
      <c r="AE3" s="13" t="inlineStr">
        <is>
          <t>SQL文一致</t>
        </is>
      </c>
      <c r="AG3" s="14" t="inlineStr">
        <is>
          <t>判定</t>
        </is>
      </c>
      <c r="AH3" s="14" t="inlineStr">
        <is>
          <t>備考</t>
        </is>
      </c>
    </row>
    <row r="4">
      <c r="A4" s="15" t="inlineStr">
        <is>
          <t>INSERT INTO MST_FILTERING_DEF_TBL VALUES(16 , 'C:\aml_filter\list\watchList\exec\BC_integratedList.txt' , 'C:\aml_filter\parm\online\aml01\combi_BC_aml01_online.csv' , 70000 , 'N' , 'C:\aml_filter\parm\batch\aml01\combi_BC_aml01_batch.csv');</t>
        </is>
      </c>
      <c r="B4" s="16" t="n"/>
      <c r="C4" s="15" t="inlineStr">
        <is>
          <t xml:space="preserve">16 </t>
        </is>
      </c>
      <c r="D4" s="15" t="inlineStr">
        <is>
          <t xml:space="preserve"> 'C:\aml_filter\list\watchList\exec\BC_integratedList.txt' </t>
        </is>
      </c>
      <c r="E4" s="15" t="inlineStr">
        <is>
          <t xml:space="preserve"> 'C:\aml_filter\parm\online\aml01\combi_BC_aml01_online.csv' </t>
        </is>
      </c>
      <c r="F4" s="15" t="inlineStr">
        <is>
          <t xml:space="preserve"> 70000 </t>
        </is>
      </c>
      <c r="G4" s="15" t="inlineStr">
        <is>
          <t xml:space="preserve"> 'N' </t>
        </is>
      </c>
      <c r="H4" s="15" t="inlineStr">
        <is>
          <t xml:space="preserve"> 'C:\aml_filter\parm\batch\aml01\combi_BC_aml01_batch.csv'</t>
        </is>
      </c>
      <c r="J4" s="17" t="inlineStr">
        <is>
          <t>16</t>
        </is>
      </c>
      <c r="K4" s="17" t="inlineStr">
        <is>
          <t>C:\aml_filter\list\watchList\exec\BC_integratedList.txt</t>
        </is>
      </c>
      <c r="L4" s="17" t="inlineStr">
        <is>
          <t>C:\aml_filter\parm\online\aml01\combi_BC_aml01_online.csv</t>
        </is>
      </c>
      <c r="M4" s="17" t="inlineStr">
        <is>
          <t>70000</t>
        </is>
      </c>
      <c r="N4" s="17" t="inlineStr">
        <is>
          <t>N</t>
        </is>
      </c>
      <c r="O4" s="17" t="inlineStr">
        <is>
          <t>C:\aml_filter\parm\batch\aml01\combi_BC_aml01_batch.csv</t>
        </is>
      </c>
      <c r="Q4" s="15" t="inlineStr">
        <is>
          <t>INSERT INTO</t>
        </is>
      </c>
      <c r="R4" s="15" t="inlineStr">
        <is>
          <t>MST_FILTERING_DEF_TBL</t>
        </is>
      </c>
      <c r="S4" s="15" t="inlineStr">
        <is>
          <t>VALUES(</t>
        </is>
      </c>
      <c r="T4" s="15" t="inlineStr">
        <is>
          <t>16 , 'C:\aml_filter\list\watchList\exec\BC_integratedList.txt' , 'C:\aml_filter\parm\online\aml01\combi_BC_aml01_online.csv' , 70000 , 'N' , 'C:\aml_filter\parm\batch\aml01\combi_BC_aml01_batch.csv'</t>
        </is>
      </c>
      <c r="U4" s="15" t="inlineStr">
        <is>
          <t>);</t>
        </is>
      </c>
      <c r="W4" s="18">
        <f>EXACT(TRIM(C4),J4&amp;"")</f>
        <v/>
      </c>
      <c r="X4" s="18">
        <f>EXACT(TRIM(D4),"'"&amp;K4&amp;"'")</f>
        <v/>
      </c>
      <c r="Y4" s="18">
        <f>EXACT(TRIM(E4),"'"&amp;L4&amp;"'")</f>
        <v/>
      </c>
      <c r="Z4" s="18">
        <f>EXACT(TRIM(F4),M4&amp;"")</f>
        <v/>
      </c>
      <c r="AA4" s="18">
        <f>EXACT(TRIM(G4),"'"&amp;N4&amp;"'")</f>
        <v/>
      </c>
      <c r="AB4" s="18">
        <f>EXACT(TRIM(H4),"'"&amp;O4&amp;"'")</f>
        <v/>
      </c>
      <c r="AC4" s="18">
        <f>AND(W4:AB4)</f>
        <v/>
      </c>
      <c r="AD4" s="19">
        <f>TRIM(IF(W4,"",$W$3&amp;" ")&amp;IF(X4,"",$X$3&amp;" ")&amp;IF(Y4,"",$Y$3&amp;" ")&amp;IF(Z4,"",$Z$3&amp;" ")&amp;IF(AA4,"",$AA$3&amp;" ")&amp;IF(AB4,"",$AB$3&amp;" "))</f>
        <v/>
      </c>
      <c r="AE4" s="18">
        <f>EXACT(SUBSTITUTE(A4," ",""),SUBSTITUTE(Q4&amp;R4&amp;S4&amp;T4&amp;U4," ",""))</f>
        <v/>
      </c>
    </row>
  </sheetData>
  <autoFilter ref="A3:AH4"/>
  <mergeCells count="9">
    <mergeCell ref="C2:H2"/>
    <mergeCell ref="J2:O2"/>
    <mergeCell ref="Q2:U2"/>
    <mergeCell ref="W1:AE1"/>
    <mergeCell ref="AG1:AH1"/>
    <mergeCell ref="W2:AD2"/>
    <mergeCell ref="J1:U1"/>
    <mergeCell ref="AG2:A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S4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2" customWidth="1" min="41" max="41"/>
    <col width="11" customWidth="1" min="42" max="42"/>
    <col width="11" customWidth="1" min="43" max="43"/>
    <col width="11" customWidth="1" min="44" max="44"/>
    <col width="62" customWidth="1" min="45" max="45"/>
    <col width="11" customWidth="1" min="46" max="46"/>
    <col width="2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24" customWidth="1" min="67" max="67"/>
    <col width="11" customWidth="1" min="68" max="68"/>
    <col width="2" customWidth="1" min="69" max="69"/>
    <col width="8" customWidth="1" min="70" max="70"/>
    <col width="30" customWidth="1" min="71" max="71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4" t="inlineStr">
        <is>
          <t>②③ マスタ定義書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  <c r="AV1" s="5" t="inlineStr">
        <is>
          <t>突合</t>
        </is>
      </c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3" t="n"/>
      <c r="BR1" s="6" t="inlineStr">
        <is>
          <t>確認結果（記入欄）</t>
        </is>
      </c>
      <c r="BS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3" t="n"/>
      <c r="W2" s="4" t="inlineStr">
        <is>
          <t>横浜銀行様用出荷設定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3" t="n"/>
      <c r="AP2" s="8" t="inlineStr">
        <is>
          <t>SQL</t>
        </is>
      </c>
      <c r="AQ2" s="2" t="n"/>
      <c r="AR2" s="2" t="n"/>
      <c r="AS2" s="2" t="n"/>
      <c r="AT2" s="3" t="n"/>
      <c r="AV2" s="5" t="inlineStr">
        <is>
          <t>①②の突合（項目ごと）</t>
        </is>
      </c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3" t="n"/>
      <c r="BP2" s="5" t="inlineStr">
        <is>
          <t>①③の突合</t>
        </is>
      </c>
      <c r="BR2" s="6" t="inlineStr">
        <is>
          <t>確認結果</t>
        </is>
      </c>
      <c r="BS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I3" s="10" t="inlineStr">
        <is>
          <t>区切7</t>
        </is>
      </c>
      <c r="J3" s="10" t="inlineStr">
        <is>
          <t>区切8</t>
        </is>
      </c>
      <c r="K3" s="10" t="inlineStr">
        <is>
          <t>区切9</t>
        </is>
      </c>
      <c r="L3" s="10" t="inlineStr">
        <is>
          <t>区切10</t>
        </is>
      </c>
      <c r="M3" s="10" t="inlineStr">
        <is>
          <t>区切11</t>
        </is>
      </c>
      <c r="N3" s="10" t="inlineStr">
        <is>
          <t>区切12</t>
        </is>
      </c>
      <c r="O3" s="10" t="inlineStr">
        <is>
          <t>区切13</t>
        </is>
      </c>
      <c r="P3" s="10" t="inlineStr">
        <is>
          <t>区切14</t>
        </is>
      </c>
      <c r="Q3" s="10" t="inlineStr">
        <is>
          <t>区切15</t>
        </is>
      </c>
      <c r="R3" s="10" t="inlineStr">
        <is>
          <t>区切16</t>
        </is>
      </c>
      <c r="S3" s="10" t="inlineStr">
        <is>
          <t>区切17</t>
        </is>
      </c>
      <c r="T3" s="10" t="inlineStr">
        <is>
          <t>区切18</t>
        </is>
      </c>
      <c r="U3" s="10" t="inlineStr">
        <is>
          <t>区切19</t>
        </is>
      </c>
      <c r="W3" s="11" t="inlineStr">
        <is>
          <t>LST_ID</t>
        </is>
      </c>
      <c r="X3" s="11" t="inlineStr">
        <is>
          <t>ORIGIN</t>
        </is>
      </c>
      <c r="Y3" s="11" t="inlineStr">
        <is>
          <t>ORIGIN_JP</t>
        </is>
      </c>
      <c r="Z3" s="11" t="inlineStr">
        <is>
          <t>IS_DISP</t>
        </is>
      </c>
      <c r="AA3" s="11" t="inlineStr">
        <is>
          <t>LIST_TYPE_CODE_ID</t>
        </is>
      </c>
      <c r="AB3" s="11" t="inlineStr">
        <is>
          <t>IS_DEMANDED</t>
        </is>
      </c>
      <c r="AC3" s="11" t="inlineStr">
        <is>
          <t>REG_UNIT_CODE_ID</t>
        </is>
      </c>
      <c r="AD3" s="11" t="inlineStr">
        <is>
          <t>INPUT_FILENAME</t>
        </is>
      </c>
      <c r="AE3" s="11" t="inlineStr">
        <is>
          <t>FILE_MAKE_STEP</t>
        </is>
      </c>
      <c r="AF3" s="11" t="inlineStr">
        <is>
          <t>LAST_UPDATE_DATE</t>
        </is>
      </c>
      <c r="AG3" s="11" t="inlineStr">
        <is>
          <t>IS_CHECK</t>
        </is>
      </c>
      <c r="AH3" s="11" t="inlineStr">
        <is>
          <t>ORIGIN_NO</t>
        </is>
      </c>
      <c r="AI3" s="11" t="inlineStr">
        <is>
          <t>IS_COM_CHECK</t>
        </is>
      </c>
      <c r="AJ3" s="11" t="inlineStr">
        <is>
          <t>FILTERING_DEF_ID</t>
        </is>
      </c>
      <c r="AK3" s="11" t="inlineStr">
        <is>
          <t>IS_NATIONALITY_CHECK_NAME</t>
        </is>
      </c>
      <c r="AL3" s="11" t="inlineStr">
        <is>
          <t>IS_NATIONALITY_CHECK_ENGNAME</t>
        </is>
      </c>
      <c r="AM3" s="11" t="inlineStr">
        <is>
          <t>LANGUAGE_TYPE</t>
        </is>
      </c>
      <c r="AN3" s="11" t="inlineStr">
        <is>
          <t>THRESHOLD</t>
        </is>
      </c>
      <c r="AP3" s="12" t="inlineStr">
        <is>
          <t>固定</t>
        </is>
      </c>
      <c r="AQ3" s="12" t="inlineStr">
        <is>
          <t>固定</t>
        </is>
      </c>
      <c r="AR3" s="12" t="inlineStr">
        <is>
          <t>固定</t>
        </is>
      </c>
      <c r="AS3" s="12" t="inlineStr">
        <is>
          <t>数式</t>
        </is>
      </c>
      <c r="AT3" s="12" t="inlineStr">
        <is>
          <t>固定</t>
        </is>
      </c>
      <c r="AV3" s="13" t="inlineStr">
        <is>
          <t>LST_ID</t>
        </is>
      </c>
      <c r="AW3" s="13" t="inlineStr">
        <is>
          <t>ORIGIN</t>
        </is>
      </c>
      <c r="AX3" s="13" t="inlineStr">
        <is>
          <t>ORIGIN_JP</t>
        </is>
      </c>
      <c r="AY3" s="13" t="inlineStr">
        <is>
          <t>IS_DISP</t>
        </is>
      </c>
      <c r="AZ3" s="13" t="inlineStr">
        <is>
          <t>LIST_TYPE_CODE_ID</t>
        </is>
      </c>
      <c r="BA3" s="13" t="inlineStr">
        <is>
          <t>IS_DEMANDED</t>
        </is>
      </c>
      <c r="BB3" s="13" t="inlineStr">
        <is>
          <t>REG_UNIT_CODE_ID</t>
        </is>
      </c>
      <c r="BC3" s="13" t="inlineStr">
        <is>
          <t>INPUT_FILENAME</t>
        </is>
      </c>
      <c r="BD3" s="13" t="inlineStr">
        <is>
          <t>FILE_MAKE_STEP</t>
        </is>
      </c>
      <c r="BE3" s="13" t="inlineStr">
        <is>
          <t>LAST_UPDATE_DATE</t>
        </is>
      </c>
      <c r="BF3" s="13" t="inlineStr">
        <is>
          <t>IS_CHECK</t>
        </is>
      </c>
      <c r="BG3" s="13" t="inlineStr">
        <is>
          <t>ORIGIN_NO</t>
        </is>
      </c>
      <c r="BH3" s="13" t="inlineStr">
        <is>
          <t>IS_COM_CHECK</t>
        </is>
      </c>
      <c r="BI3" s="13" t="inlineStr">
        <is>
          <t>FILTERING_DEF_ID</t>
        </is>
      </c>
      <c r="BJ3" s="13" t="inlineStr">
        <is>
          <t>IS_NATIONALITY_CHECK_NAME</t>
        </is>
      </c>
      <c r="BK3" s="13" t="inlineStr">
        <is>
          <t>IS_NATIONALITY_CHECK_ENGNAME</t>
        </is>
      </c>
      <c r="BL3" s="13" t="inlineStr">
        <is>
          <t>LANGUAGE_TYPE</t>
        </is>
      </c>
      <c r="BM3" s="13" t="inlineStr">
        <is>
          <t>THRESHOLD</t>
        </is>
      </c>
      <c r="BN3" s="13" t="inlineStr">
        <is>
          <t>全項目一致</t>
        </is>
      </c>
      <c r="BO3" s="13" t="inlineStr">
        <is>
          <t>相違した項目</t>
        </is>
      </c>
      <c r="BP3" s="13" t="inlineStr">
        <is>
          <t>SQL文一致</t>
        </is>
      </c>
      <c r="BR3" s="14" t="inlineStr">
        <is>
          <t>判定</t>
        </is>
      </c>
      <c r="BS3" s="14" t="inlineStr">
        <is>
          <t>備考</t>
        </is>
      </c>
    </row>
    <row r="4">
      <c r="A4" s="15" t="inlineStr">
        <is>
          <t>INSERT INTO MST_LSTORIGIN_TBL VALUES(16 , 'BFILE_CINFO' , 'BファイルC情報' , 'Y' , NULL , NULL , NULL , 'E' , NULL , to_timestamp('2018/01/01 00:00:00' , 'yyyy/MM/dd hh24:mi:ss') , 'Y' , 31 , 'Y' , 16 , 'N' , 'N' , '2' , '0');</t>
        </is>
      </c>
      <c r="B4" s="16" t="n"/>
      <c r="C4" s="15" t="inlineStr">
        <is>
          <t xml:space="preserve">16 </t>
        </is>
      </c>
      <c r="D4" s="15" t="inlineStr">
        <is>
          <t xml:space="preserve"> 'BFILE_CINFO' </t>
        </is>
      </c>
      <c r="E4" s="15" t="inlineStr">
        <is>
          <t xml:space="preserve"> 'BファイルC情報' </t>
        </is>
      </c>
      <c r="F4" s="15" t="inlineStr">
        <is>
          <t xml:space="preserve"> 'Y' </t>
        </is>
      </c>
      <c r="G4" s="15" t="inlineStr">
        <is>
          <t xml:space="preserve"> NULL </t>
        </is>
      </c>
      <c r="H4" s="15" t="inlineStr">
        <is>
          <t xml:space="preserve"> NULL </t>
        </is>
      </c>
      <c r="I4" s="15" t="inlineStr">
        <is>
          <t xml:space="preserve"> NULL </t>
        </is>
      </c>
      <c r="J4" s="15" t="inlineStr">
        <is>
          <t xml:space="preserve"> 'E' </t>
        </is>
      </c>
      <c r="K4" s="15" t="inlineStr">
        <is>
          <t xml:space="preserve"> NULL </t>
        </is>
      </c>
      <c r="L4" s="15" t="inlineStr">
        <is>
          <t xml:space="preserve"> to_timestamp('2018/01/01 00:00:00' </t>
        </is>
      </c>
      <c r="M4" s="15" t="inlineStr">
        <is>
          <t xml:space="preserve"> 'yyyy/MM/dd hh24:mi:ss') </t>
        </is>
      </c>
      <c r="N4" s="15" t="inlineStr">
        <is>
          <t xml:space="preserve"> 'Y' </t>
        </is>
      </c>
      <c r="O4" s="15" t="inlineStr">
        <is>
          <t xml:space="preserve"> 31 </t>
        </is>
      </c>
      <c r="P4" s="15" t="inlineStr">
        <is>
          <t xml:space="preserve"> 'Y' </t>
        </is>
      </c>
      <c r="Q4" s="15" t="inlineStr">
        <is>
          <t xml:space="preserve"> 16 </t>
        </is>
      </c>
      <c r="R4" s="15" t="inlineStr">
        <is>
          <t xml:space="preserve"> 'N' </t>
        </is>
      </c>
      <c r="S4" s="15" t="inlineStr">
        <is>
          <t xml:space="preserve"> 'N' </t>
        </is>
      </c>
      <c r="T4" s="15" t="inlineStr">
        <is>
          <t xml:space="preserve"> '2' </t>
        </is>
      </c>
      <c r="U4" s="15" t="inlineStr">
        <is>
          <t xml:space="preserve"> '0'</t>
        </is>
      </c>
      <c r="W4" s="17" t="inlineStr">
        <is>
          <t>16</t>
        </is>
      </c>
      <c r="X4" s="17" t="inlineStr">
        <is>
          <t>BFILE_CINFO</t>
        </is>
      </c>
      <c r="Y4" s="17" t="inlineStr">
        <is>
          <t>BファイルC情報</t>
        </is>
      </c>
      <c r="Z4" s="17" t="inlineStr">
        <is>
          <t>Y</t>
        </is>
      </c>
      <c r="AA4" s="17" t="inlineStr">
        <is>
          <t>NULL</t>
        </is>
      </c>
      <c r="AB4" s="17" t="inlineStr">
        <is>
          <t>NULL</t>
        </is>
      </c>
      <c r="AC4" s="17" t="inlineStr">
        <is>
          <t>NULL</t>
        </is>
      </c>
      <c r="AD4" s="17" t="inlineStr">
        <is>
          <t>E</t>
        </is>
      </c>
      <c r="AE4" s="17" t="inlineStr">
        <is>
          <t>NULL</t>
        </is>
      </c>
      <c r="AF4" s="17" t="inlineStr">
        <is>
          <t>2018/01/01 00:00:00</t>
        </is>
      </c>
      <c r="AG4" s="17" t="inlineStr">
        <is>
          <t>Y</t>
        </is>
      </c>
      <c r="AH4" s="17" t="inlineStr">
        <is>
          <t>31</t>
        </is>
      </c>
      <c r="AI4" s="17" t="inlineStr">
        <is>
          <t>Y</t>
        </is>
      </c>
      <c r="AJ4" s="17" t="inlineStr">
        <is>
          <t>16</t>
        </is>
      </c>
      <c r="AK4" s="17" t="inlineStr">
        <is>
          <t>N</t>
        </is>
      </c>
      <c r="AL4" s="17" t="inlineStr">
        <is>
          <t>N</t>
        </is>
      </c>
      <c r="AM4" s="17" t="inlineStr">
        <is>
          <t>2</t>
        </is>
      </c>
      <c r="AN4" s="17" t="inlineStr">
        <is>
          <t>0</t>
        </is>
      </c>
      <c r="AP4" s="15" t="inlineStr">
        <is>
          <t>INSERT INTO</t>
        </is>
      </c>
      <c r="AQ4" s="15" t="inlineStr">
        <is>
          <t>MST_LSTORIGIN_TBL</t>
        </is>
      </c>
      <c r="AR4" s="15" t="inlineStr">
        <is>
          <t>VALUES(</t>
        </is>
      </c>
      <c r="AS4" s="15" t="inlineStr">
        <is>
          <t>16 , 'BFILE_CINFO' , 'BファイルC情報' , 'Y' , NULL , 'NULL' , NULL , 'E' , 'NULL' , to_timestamp('2018/01/01 00:00:00' , 'yyyy/MM/dd hh24:mi:ss') , 'Y' , 31 , 'Y' , 16 , 'N' , 'N' , '2' , '0'</t>
        </is>
      </c>
      <c r="AT4" s="15" t="inlineStr">
        <is>
          <t>);</t>
        </is>
      </c>
      <c r="AV4" s="18">
        <f>EXACT(TRIM(C4),W4&amp;"")</f>
        <v/>
      </c>
      <c r="AW4" s="18">
        <f>EXACT(TRIM(D4),"'"&amp;X4&amp;"'")</f>
        <v/>
      </c>
      <c r="AX4" s="18">
        <f>EXACT(TRIM(E4),"'"&amp;Y4&amp;"'")</f>
        <v/>
      </c>
      <c r="AY4" s="18">
        <f>EXACT(TRIM(F4),"'"&amp;Z4&amp;"'")</f>
        <v/>
      </c>
      <c r="AZ4" s="18">
        <f>EXACT(TRIM(G4),AA4&amp;"")</f>
        <v/>
      </c>
      <c r="BA4" s="18">
        <f>EXACT(TRIM(H4),AB4&amp;"")</f>
        <v/>
      </c>
      <c r="BB4" s="18">
        <f>EXACT(TRIM(I4),AC4&amp;"")</f>
        <v/>
      </c>
      <c r="BC4" s="18">
        <f>EXACT(TRIM(J4),"'"&amp;AD4&amp;"'")</f>
        <v/>
      </c>
      <c r="BD4" s="18">
        <f>EXACT(TRIM(K4),AE4&amp;"")</f>
        <v/>
      </c>
      <c r="BE4" s="18">
        <f>EXACT(TRIM(L4),"to_timestamp('"&amp;AF4&amp;"'")</f>
        <v/>
      </c>
      <c r="BF4" s="18">
        <f>EXACT(TRIM(N4),"'"&amp;AG4&amp;"'")</f>
        <v/>
      </c>
      <c r="BG4" s="18">
        <f>EXACT(TRIM(O4),AH4&amp;"")</f>
        <v/>
      </c>
      <c r="BH4" s="18">
        <f>EXACT(TRIM(P4),"'"&amp;AI4&amp;"'")</f>
        <v/>
      </c>
      <c r="BI4" s="18">
        <f>EXACT(TRIM(Q4),AJ4&amp;"")</f>
        <v/>
      </c>
      <c r="BJ4" s="18">
        <f>EXACT(TRIM(R4),"'"&amp;AK4&amp;"'")</f>
        <v/>
      </c>
      <c r="BK4" s="18">
        <f>EXACT(TRIM(S4),"'"&amp;AL4&amp;"'")</f>
        <v/>
      </c>
      <c r="BL4" s="18">
        <f>EXACT(TRIM(T4),"'"&amp;AM4&amp;"'")</f>
        <v/>
      </c>
      <c r="BM4" s="18">
        <f>EXACT(TRIM(U4),"'"&amp;AN4&amp;"'")</f>
        <v/>
      </c>
      <c r="BN4" s="18">
        <f>AND(AV4:BM4)</f>
        <v/>
      </c>
      <c r="BO4" s="19">
        <f>TRIM(IF(AV4,"",$AV$3&amp;" ")&amp;IF(AW4,"",$AW$3&amp;" ")&amp;IF(AX4,"",$AX$3&amp;" ")&amp;IF(AY4,"",$AY$3&amp;" ")&amp;IF(AZ4,"",$AZ$3&amp;" ")&amp;IF(BA4,"",$BA$3&amp;" ")&amp;IF(BB4,"",$BB$3&amp;" ")&amp;IF(BC4,"",$BC$3&amp;" ")&amp;IF(BD4,"",$BD$3&amp;" ")&amp;IF(BE4,"",$BE$3&amp;" ")&amp;IF(BF4,"",$BF$3&amp;" ")&amp;IF(BG4,"",$BG$3&amp;" ")&amp;IF(BH4,"",$BH$3&amp;" ")&amp;IF(BI4,"",$BI$3&amp;" ")&amp;IF(BJ4,"",$BJ$3&amp;" ")&amp;IF(BK4,"",$BK$3&amp;" ")&amp;IF(BL4,"",$BL$3&amp;" ")&amp;IF(BM4,"",$BM$3&amp;" "))</f>
        <v/>
      </c>
      <c r="BP4" s="18">
        <f>EXACT(SUBSTITUTE(A4," ",""),SUBSTITUTE(AP4&amp;AQ4&amp;AR4&amp;AS4&amp;AT4," ",""))</f>
        <v/>
      </c>
    </row>
  </sheetData>
  <autoFilter ref="A3:BS4"/>
  <mergeCells count="9">
    <mergeCell ref="W2:AN2"/>
    <mergeCell ref="AV1:BP1"/>
    <mergeCell ref="BR2:BS2"/>
    <mergeCell ref="AP2:AT2"/>
    <mergeCell ref="W1:AT1"/>
    <mergeCell ref="AV2:BO2"/>
    <mergeCell ref="BR1:BS1"/>
    <mergeCell ref="A1:U1"/>
    <mergeCell ref="C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" customWidth="1" min="6" max="6"/>
    <col width="15" customWidth="1" min="7" max="7"/>
    <col width="15" customWidth="1" min="8" max="8"/>
    <col width="15" customWidth="1" min="9" max="9"/>
    <col width="2" customWidth="1" min="10" max="10"/>
    <col width="11" customWidth="1" min="11" max="11"/>
    <col width="11" customWidth="1" min="12" max="12"/>
    <col width="11" customWidth="1" min="13" max="13"/>
    <col width="62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24" customWidth="1" min="21" max="21"/>
    <col width="11" customWidth="1" min="22" max="22"/>
    <col width="2" customWidth="1" min="23" max="23"/>
    <col width="8" customWidth="1" min="24" max="24"/>
    <col width="30" customWidth="1" min="25" max="25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3" t="n"/>
      <c r="G1" s="4" t="inlineStr">
        <is>
          <t>②③ マスタ定義書</t>
        </is>
      </c>
      <c r="H1" s="2" t="n"/>
      <c r="I1" s="2" t="n"/>
      <c r="J1" s="2" t="n"/>
      <c r="K1" s="2" t="n"/>
      <c r="L1" s="2" t="n"/>
      <c r="M1" s="2" t="n"/>
      <c r="N1" s="2" t="n"/>
      <c r="O1" s="3" t="n"/>
      <c r="Q1" s="5" t="inlineStr">
        <is>
          <t>突合</t>
        </is>
      </c>
      <c r="R1" s="2" t="n"/>
      <c r="S1" s="2" t="n"/>
      <c r="T1" s="2" t="n"/>
      <c r="U1" s="2" t="n"/>
      <c r="V1" s="3" t="n"/>
      <c r="X1" s="6" t="inlineStr">
        <is>
          <t>確認結果（記入欄）</t>
        </is>
      </c>
      <c r="Y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3" t="n"/>
      <c r="G2" s="4" t="inlineStr">
        <is>
          <t>横浜銀行様用出荷設定</t>
        </is>
      </c>
      <c r="H2" s="2" t="n"/>
      <c r="I2" s="3" t="n"/>
      <c r="K2" s="8" t="inlineStr">
        <is>
          <t>SQL</t>
        </is>
      </c>
      <c r="L2" s="2" t="n"/>
      <c r="M2" s="2" t="n"/>
      <c r="N2" s="2" t="n"/>
      <c r="O2" s="3" t="n"/>
      <c r="Q2" s="5" t="inlineStr">
        <is>
          <t>①②の突合（項目ごと）</t>
        </is>
      </c>
      <c r="R2" s="2" t="n"/>
      <c r="S2" s="2" t="n"/>
      <c r="T2" s="2" t="n"/>
      <c r="U2" s="3" t="n"/>
      <c r="V2" s="5" t="inlineStr">
        <is>
          <t>①③の突合</t>
        </is>
      </c>
      <c r="X2" s="6" t="inlineStr">
        <is>
          <t>確認結果</t>
        </is>
      </c>
      <c r="Y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G3" s="11" t="inlineStr">
        <is>
          <t>LST_ID</t>
        </is>
      </c>
      <c r="H3" s="11" t="inlineStr">
        <is>
          <t>DESIGNATION</t>
        </is>
      </c>
      <c r="I3" s="11" t="inlineStr">
        <is>
          <t>DESIGNATION_JP</t>
        </is>
      </c>
      <c r="K3" s="12" t="inlineStr">
        <is>
          <t>固定</t>
        </is>
      </c>
      <c r="L3" s="12" t="inlineStr">
        <is>
          <t>固定</t>
        </is>
      </c>
      <c r="M3" s="12" t="inlineStr">
        <is>
          <t>固定</t>
        </is>
      </c>
      <c r="N3" s="12" t="inlineStr">
        <is>
          <t>数式</t>
        </is>
      </c>
      <c r="O3" s="12" t="inlineStr">
        <is>
          <t>固定</t>
        </is>
      </c>
      <c r="Q3" s="13" t="inlineStr">
        <is>
          <t>LST_ID</t>
        </is>
      </c>
      <c r="R3" s="13" t="inlineStr">
        <is>
          <t>DESIGNATION</t>
        </is>
      </c>
      <c r="S3" s="13" t="inlineStr">
        <is>
          <t>DESIGNATION_JP</t>
        </is>
      </c>
      <c r="T3" s="13" t="inlineStr">
        <is>
          <t>全項目一致</t>
        </is>
      </c>
      <c r="U3" s="13" t="inlineStr">
        <is>
          <t>相違した項目</t>
        </is>
      </c>
      <c r="V3" s="13" t="inlineStr">
        <is>
          <t>SQL文一致</t>
        </is>
      </c>
      <c r="X3" s="14" t="inlineStr">
        <is>
          <t>判定</t>
        </is>
      </c>
      <c r="Y3" s="14" t="inlineStr">
        <is>
          <t>備考</t>
        </is>
      </c>
    </row>
    <row r="4">
      <c r="A4" s="15" t="inlineStr">
        <is>
          <t>INSERT INTO MST_LSTDESIGNATION_TBL VALUES(16 , 'BFILE_CINFO' , 'BファイルC情報');</t>
        </is>
      </c>
      <c r="B4" s="16" t="n"/>
      <c r="C4" s="15" t="inlineStr">
        <is>
          <t xml:space="preserve">16 </t>
        </is>
      </c>
      <c r="D4" s="15" t="inlineStr">
        <is>
          <t xml:space="preserve"> 'BFILE_CINFO' </t>
        </is>
      </c>
      <c r="E4" s="15" t="inlineStr">
        <is>
          <t xml:space="preserve"> 'BファイルC情報'</t>
        </is>
      </c>
      <c r="G4" s="17" t="inlineStr">
        <is>
          <t>16</t>
        </is>
      </c>
      <c r="H4" s="17" t="inlineStr">
        <is>
          <t>BFILE_CINFO</t>
        </is>
      </c>
      <c r="I4" s="17" t="inlineStr">
        <is>
          <t>BファイルC情報</t>
        </is>
      </c>
      <c r="K4" s="15" t="inlineStr">
        <is>
          <t>INSERT INTO</t>
        </is>
      </c>
      <c r="L4" s="15" t="inlineStr">
        <is>
          <t>MST_LSTDESIGNATION_TBL</t>
        </is>
      </c>
      <c r="M4" s="15" t="inlineStr">
        <is>
          <t>VALUES(</t>
        </is>
      </c>
      <c r="N4" s="15" t="inlineStr">
        <is>
          <t>16 , 'BFILE_CINFO' , 'BファイルC情報'</t>
        </is>
      </c>
      <c r="O4" s="15" t="inlineStr">
        <is>
          <t>);</t>
        </is>
      </c>
      <c r="Q4" s="18">
        <f>EXACT(TRIM(C4),G4&amp;"")</f>
        <v/>
      </c>
      <c r="R4" s="18">
        <f>EXACT(TRIM(D4),"'"&amp;H4&amp;"'")</f>
        <v/>
      </c>
      <c r="S4" s="18">
        <f>EXACT(TRIM(E4),"'"&amp;I4&amp;"'")</f>
        <v/>
      </c>
      <c r="T4" s="18">
        <f>AND(Q4:S4)</f>
        <v/>
      </c>
      <c r="U4" s="19">
        <f>TRIM(IF(Q4,"",$Q$3&amp;" ")&amp;IF(R4,"",$R$3&amp;" ")&amp;IF(S4,"",$S$3&amp;" "))</f>
        <v/>
      </c>
      <c r="V4" s="18">
        <f>EXACT(SUBSTITUTE(A4," ",""),SUBSTITUTE(K4&amp;L4&amp;M4&amp;N4&amp;O4," ",""))</f>
        <v/>
      </c>
    </row>
  </sheetData>
  <autoFilter ref="A3:Y4"/>
  <mergeCells count="9">
    <mergeCell ref="C2:E2"/>
    <mergeCell ref="G2:I2"/>
    <mergeCell ref="G1:O1"/>
    <mergeCell ref="Q2:U2"/>
    <mergeCell ref="X2:Y2"/>
    <mergeCell ref="X1:Y1"/>
    <mergeCell ref="K2:O2"/>
    <mergeCell ref="A1:E1"/>
    <mergeCell ref="Q1:V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4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" customWidth="1" min="18" max="18"/>
    <col width="11" customWidth="1" min="19" max="19"/>
    <col width="11" customWidth="1" min="20" max="20"/>
    <col width="11" customWidth="1" min="21" max="21"/>
    <col width="62" customWidth="1" min="22" max="22"/>
    <col width="11" customWidth="1" min="23" max="23"/>
    <col width="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24" customWidth="1" min="32" max="32"/>
    <col width="11" customWidth="1" min="33" max="33"/>
    <col width="2" customWidth="1" min="34" max="34"/>
    <col width="8" customWidth="1" min="35" max="35"/>
    <col width="30" customWidth="1" min="36" max="36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4" t="inlineStr">
        <is>
          <t>②③ マスタ定義書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5" t="inlineStr">
        <is>
          <t>突合</t>
        </is>
      </c>
      <c r="Z1" s="2" t="n"/>
      <c r="AA1" s="2" t="n"/>
      <c r="AB1" s="2" t="n"/>
      <c r="AC1" s="2" t="n"/>
      <c r="AD1" s="2" t="n"/>
      <c r="AE1" s="2" t="n"/>
      <c r="AF1" s="2" t="n"/>
      <c r="AG1" s="3" t="n"/>
      <c r="AI1" s="6" t="inlineStr">
        <is>
          <t>確認結果（記入欄）</t>
        </is>
      </c>
      <c r="AJ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2" t="n"/>
      <c r="I2" s="2" t="n"/>
      <c r="J2" s="3" t="n"/>
      <c r="L2" s="4" t="inlineStr">
        <is>
          <t>横浜銀行様用出荷設定</t>
        </is>
      </c>
      <c r="M2" s="2" t="n"/>
      <c r="N2" s="2" t="n"/>
      <c r="O2" s="2" t="n"/>
      <c r="P2" s="2" t="n"/>
      <c r="Q2" s="3" t="n"/>
      <c r="S2" s="8" t="inlineStr">
        <is>
          <t>SQL</t>
        </is>
      </c>
      <c r="T2" s="2" t="n"/>
      <c r="U2" s="2" t="n"/>
      <c r="V2" s="2" t="n"/>
      <c r="W2" s="3" t="n"/>
      <c r="Y2" s="5" t="inlineStr">
        <is>
          <t>①②の突合（項目ごと）</t>
        </is>
      </c>
      <c r="Z2" s="2" t="n"/>
      <c r="AA2" s="2" t="n"/>
      <c r="AB2" s="2" t="n"/>
      <c r="AC2" s="2" t="n"/>
      <c r="AD2" s="2" t="n"/>
      <c r="AE2" s="2" t="n"/>
      <c r="AF2" s="3" t="n"/>
      <c r="AG2" s="5" t="inlineStr">
        <is>
          <t>①③の突合</t>
        </is>
      </c>
      <c r="AI2" s="6" t="inlineStr">
        <is>
          <t>確認結果</t>
        </is>
      </c>
      <c r="AJ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I3" s="10" t="inlineStr">
        <is>
          <t>区切7</t>
        </is>
      </c>
      <c r="J3" s="10" t="inlineStr">
        <is>
          <t>区切8</t>
        </is>
      </c>
      <c r="L3" s="11" t="inlineStr">
        <is>
          <t>LST_ID</t>
        </is>
      </c>
      <c r="M3" s="11" t="inlineStr">
        <is>
          <t>LAST_REG_DATE</t>
        </is>
      </c>
      <c r="N3" s="11" t="inlineStr">
        <is>
          <t>LIST_NUM</t>
        </is>
      </c>
      <c r="O3" s="11" t="inlineStr">
        <is>
          <t>IS_ERR</t>
        </is>
      </c>
      <c r="P3" s="11" t="inlineStr">
        <is>
          <t>HST_SAVE_MONTH</t>
        </is>
      </c>
      <c r="Q3" s="11" t="inlineStr">
        <is>
          <t>FILE_UPDATE_DATE</t>
        </is>
      </c>
      <c r="S3" s="12" t="inlineStr">
        <is>
          <t>固定</t>
        </is>
      </c>
      <c r="T3" s="12" t="inlineStr">
        <is>
          <t>固定</t>
        </is>
      </c>
      <c r="U3" s="12" t="inlineStr">
        <is>
          <t>固定</t>
        </is>
      </c>
      <c r="V3" s="12" t="inlineStr">
        <is>
          <t>数式</t>
        </is>
      </c>
      <c r="W3" s="12" t="inlineStr">
        <is>
          <t>固定</t>
        </is>
      </c>
      <c r="Y3" s="13" t="inlineStr">
        <is>
          <t>LST_ID</t>
        </is>
      </c>
      <c r="Z3" s="13" t="inlineStr">
        <is>
          <t>LAST_REG_DATE</t>
        </is>
      </c>
      <c r="AA3" s="13" t="inlineStr">
        <is>
          <t>LIST_NUM</t>
        </is>
      </c>
      <c r="AB3" s="13" t="inlineStr">
        <is>
          <t>IS_ERR</t>
        </is>
      </c>
      <c r="AC3" s="13" t="inlineStr">
        <is>
          <t>HST_SAVE_MONTH</t>
        </is>
      </c>
      <c r="AD3" s="13" t="inlineStr">
        <is>
          <t>FILE_UPDATE_DATE</t>
        </is>
      </c>
      <c r="AE3" s="13" t="inlineStr">
        <is>
          <t>全項目一致</t>
        </is>
      </c>
      <c r="AF3" s="13" t="inlineStr">
        <is>
          <t>相違した項目</t>
        </is>
      </c>
      <c r="AG3" s="13" t="inlineStr">
        <is>
          <t>SQL文一致</t>
        </is>
      </c>
      <c r="AI3" s="14" t="inlineStr">
        <is>
          <t>判定</t>
        </is>
      </c>
      <c r="AJ3" s="14" t="inlineStr">
        <is>
          <t>備考</t>
        </is>
      </c>
    </row>
    <row r="4">
      <c r="A4" s="15" t="inlineStr">
        <is>
          <t>INSERT INTO LST_REG_TBL VALUES('16' , to_timestamp('2022/01/01 00:00:00' , 'yyyy/mm/dd hh24:mi:ss'),NULL ,'' ,12 , to_timestamp('' , 'yyyy/MM/dd hh24:mi:ss'));</t>
        </is>
      </c>
      <c r="B4" s="16" t="n"/>
      <c r="C4" s="15" t="inlineStr">
        <is>
          <t xml:space="preserve">'16' </t>
        </is>
      </c>
      <c r="D4" s="15" t="inlineStr">
        <is>
          <t xml:space="preserve"> to_timestamp('2022/01/01 00:00:00' </t>
        </is>
      </c>
      <c r="E4" s="15" t="inlineStr">
        <is>
          <t xml:space="preserve"> 'yyyy/mm/dd hh24:mi:ss')</t>
        </is>
      </c>
      <c r="F4" s="15" t="inlineStr">
        <is>
          <t xml:space="preserve">NULL </t>
        </is>
      </c>
      <c r="G4" s="15" t="inlineStr">
        <is>
          <t xml:space="preserve">'' </t>
        </is>
      </c>
      <c r="H4" s="15" t="inlineStr">
        <is>
          <t xml:space="preserve">12 </t>
        </is>
      </c>
      <c r="I4" s="15" t="inlineStr">
        <is>
          <t xml:space="preserve"> to_timestamp('' </t>
        </is>
      </c>
      <c r="J4" s="15" t="inlineStr">
        <is>
          <t xml:space="preserve"> 'yyyy/MM/dd hh24:mi:ss')</t>
        </is>
      </c>
      <c r="L4" s="17" t="inlineStr">
        <is>
          <t>16</t>
        </is>
      </c>
      <c r="M4" s="17" t="inlineStr">
        <is>
          <t>2022/01/01 00:00:00</t>
        </is>
      </c>
      <c r="N4" s="17" t="inlineStr">
        <is>
          <t>NULL</t>
        </is>
      </c>
      <c r="O4" s="17" t="inlineStr"/>
      <c r="P4" s="17" t="inlineStr">
        <is>
          <t>12</t>
        </is>
      </c>
      <c r="Q4" s="17" t="inlineStr"/>
      <c r="S4" s="15" t="inlineStr">
        <is>
          <t>INSERT INTO</t>
        </is>
      </c>
      <c r="T4" s="15" t="inlineStr">
        <is>
          <t>LST_REG_TBL</t>
        </is>
      </c>
      <c r="U4" s="15" t="inlineStr">
        <is>
          <t>VALUES(</t>
        </is>
      </c>
      <c r="V4" s="15" t="inlineStr">
        <is>
          <t>'16' , to_timestamp('2022/01/01 00:00:00' , 'yyyy/mm/dd hh24:mi:ss'),NULL ,'' ,12 , to_timestamp('' , 'yyyy/MM/dd hh24:mi:ss')</t>
        </is>
      </c>
      <c r="W4" s="15" t="inlineStr">
        <is>
          <t>);</t>
        </is>
      </c>
      <c r="Y4" s="18">
        <f>EXACT(TRIM(C4),"'"&amp;L4&amp;"'")</f>
        <v/>
      </c>
      <c r="Z4" s="18">
        <f>EXACT(TRIM(D4),"to_timestamp('"&amp;M4&amp;"'")</f>
        <v/>
      </c>
      <c r="AA4" s="18">
        <f>EXACT(TRIM(F4),N4&amp;"")</f>
        <v/>
      </c>
      <c r="AB4" s="18">
        <f>EXACT(TRIM(G4),"'"&amp;O4&amp;"'")</f>
        <v/>
      </c>
      <c r="AC4" s="18">
        <f>EXACT(TRIM(H4),P4&amp;"")</f>
        <v/>
      </c>
      <c r="AD4" s="18">
        <f>EXACT(TRIM(I4),"to_timestamp('"&amp;Q4&amp;"'")</f>
        <v/>
      </c>
      <c r="AE4" s="18">
        <f>AND(Y4:AD4)</f>
        <v/>
      </c>
      <c r="AF4" s="19">
        <f>TRIM(IF(Y4,"",$Y$3&amp;" ")&amp;IF(Z4,"",$Z$3&amp;" ")&amp;IF(AA4,"",$AA$3&amp;" ")&amp;IF(AB4,"",$AB$3&amp;" ")&amp;IF(AC4,"",$AC$3&amp;" ")&amp;IF(AD4,"",$AD$3&amp;" "))</f>
        <v/>
      </c>
      <c r="AG4" s="18">
        <f>EXACT(SUBSTITUTE(A4," ",""),SUBSTITUTE(S4&amp;T4&amp;U4&amp;V4&amp;W4," ",""))</f>
        <v/>
      </c>
    </row>
  </sheetData>
  <autoFilter ref="A3:AJ4"/>
  <mergeCells count="9">
    <mergeCell ref="A1:J1"/>
    <mergeCell ref="L1:W1"/>
    <mergeCell ref="S2:W2"/>
    <mergeCell ref="Y1:AG1"/>
    <mergeCell ref="AI1:AJ1"/>
    <mergeCell ref="AI2:AJ2"/>
    <mergeCell ref="C2:J2"/>
    <mergeCell ref="Y2:AF2"/>
    <mergeCell ref="L2:Q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303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" customWidth="1" min="9" max="9"/>
    <col width="22" customWidth="1" min="10" max="10"/>
    <col width="22" customWidth="1" min="11" max="11"/>
    <col width="22" customWidth="1" min="12" max="12"/>
    <col width="54" customWidth="1" min="13" max="13"/>
    <col width="2" customWidth="1" min="14" max="14"/>
    <col width="15" customWidth="1" min="15" max="15"/>
    <col width="15" customWidth="1" min="16" max="16"/>
    <col width="2" customWidth="1" min="17" max="17"/>
    <col width="11" customWidth="1" min="18" max="18"/>
    <col width="11" customWidth="1" min="19" max="19"/>
    <col width="11" customWidth="1" min="20" max="20"/>
    <col width="62" customWidth="1" min="21" max="21"/>
    <col width="11" customWidth="1" min="22" max="22"/>
    <col width="2" customWidth="1" min="23" max="23"/>
    <col width="11" customWidth="1" min="24" max="24"/>
    <col width="11" customWidth="1" min="25" max="25"/>
    <col width="11" customWidth="1" min="26" max="26"/>
    <col width="24" customWidth="1" min="27" max="27"/>
    <col width="11" customWidth="1" min="28" max="28"/>
    <col width="2" customWidth="1" min="29" max="29"/>
    <col width="8" customWidth="1" min="30" max="30"/>
    <col width="30" customWidth="1" min="31" max="31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3" t="n"/>
      <c r="J1" s="7" t="inlineStr">
        <is>
          <t>参考</t>
        </is>
      </c>
      <c r="K1" s="2" t="n"/>
      <c r="L1" s="2" t="n"/>
      <c r="M1" s="3" t="n"/>
      <c r="O1" s="4" t="inlineStr">
        <is>
          <t>②③ マスタ定義書</t>
        </is>
      </c>
      <c r="P1" s="2" t="n"/>
      <c r="Q1" s="2" t="n"/>
      <c r="R1" s="2" t="n"/>
      <c r="S1" s="2" t="n"/>
      <c r="T1" s="2" t="n"/>
      <c r="U1" s="2" t="n"/>
      <c r="V1" s="3" t="n"/>
      <c r="X1" s="5" t="inlineStr">
        <is>
          <t>突合</t>
        </is>
      </c>
      <c r="Y1" s="2" t="n"/>
      <c r="Z1" s="2" t="n"/>
      <c r="AA1" s="2" t="n"/>
      <c r="AB1" s="3" t="n"/>
      <c r="AD1" s="6" t="inlineStr">
        <is>
          <t>確認結果（記入欄）</t>
        </is>
      </c>
      <c r="AE1" s="3" t="n"/>
    </row>
    <row r="2" ht="20" customHeight="1">
      <c r="A2" s="1" t="inlineStr">
        <is>
          <t>原文</t>
        </is>
      </c>
      <c r="C2" s="7" t="inlineStr">
        <is>
          <t>構文の切り分け</t>
        </is>
      </c>
      <c r="D2" s="2" t="n"/>
      <c r="E2" s="2" t="n"/>
      <c r="F2" s="2" t="n"/>
      <c r="G2" s="2" t="n"/>
      <c r="H2" s="3" t="n"/>
      <c r="J2" s="7" t="inlineStr">
        <is>
          <t>参考</t>
        </is>
      </c>
      <c r="K2" s="2" t="n"/>
      <c r="L2" s="2" t="n"/>
      <c r="M2" s="3" t="n"/>
      <c r="O2" s="4" t="inlineStr">
        <is>
          <t>横浜銀行様用出荷設定</t>
        </is>
      </c>
      <c r="P2" s="3" t="n"/>
      <c r="R2" s="8" t="inlineStr">
        <is>
          <t>SQL</t>
        </is>
      </c>
      <c r="S2" s="2" t="n"/>
      <c r="T2" s="2" t="n"/>
      <c r="U2" s="2" t="n"/>
      <c r="V2" s="3" t="n"/>
      <c r="X2" s="5" t="inlineStr">
        <is>
          <t>①②の突合（項目ごと）</t>
        </is>
      </c>
      <c r="Y2" s="2" t="n"/>
      <c r="Z2" s="2" t="n"/>
      <c r="AA2" s="3" t="n"/>
      <c r="AB2" s="5" t="inlineStr">
        <is>
          <t>①③の突合</t>
        </is>
      </c>
      <c r="AD2" s="6" t="inlineStr">
        <is>
          <t>確認結果</t>
        </is>
      </c>
      <c r="AE2" s="3" t="n"/>
    </row>
    <row r="3" ht="30" customHeight="1">
      <c r="A3" s="9" t="inlineStr">
        <is>
          <t>原文SQL</t>
        </is>
      </c>
      <c r="C3" s="10" t="inlineStr">
        <is>
          <t>挿入先テーブル</t>
        </is>
      </c>
      <c r="D3" s="10" t="inlineStr">
        <is>
          <t>挿入列1</t>
        </is>
      </c>
      <c r="E3" s="10" t="inlineStr">
        <is>
          <t>挿入列2の値</t>
        </is>
      </c>
      <c r="F3" s="10" t="inlineStr">
        <is>
          <t>参照テーブル</t>
        </is>
      </c>
      <c r="G3" s="10" t="inlineStr">
        <is>
          <t>条件列</t>
        </is>
      </c>
      <c r="H3" s="10" t="inlineStr">
        <is>
          <t>条件値</t>
        </is>
      </c>
      <c r="J3" s="10" t="inlineStr">
        <is>
          <t>部店コード</t>
        </is>
      </c>
      <c r="K3" s="10" t="inlineStr">
        <is>
          <t>部店名（定義書より）</t>
        </is>
      </c>
      <c r="L3" s="10" t="inlineStr">
        <is>
          <t>UNIT_ID（定義書の5_部店マスタより）</t>
        </is>
      </c>
      <c r="M3" s="10" t="inlineStr">
        <is>
          <t>VALUES形式に直した①のSQL</t>
        </is>
      </c>
      <c r="O3" s="11" t="inlineStr">
        <is>
          <t>UNIT_ID</t>
        </is>
      </c>
      <c r="P3" s="11" t="inlineStr">
        <is>
          <t>FILTERING_DEF_ID</t>
        </is>
      </c>
      <c r="R3" s="12" t="inlineStr">
        <is>
          <t>固定</t>
        </is>
      </c>
      <c r="S3" s="12" t="inlineStr">
        <is>
          <t>固定</t>
        </is>
      </c>
      <c r="T3" s="12" t="inlineStr">
        <is>
          <t>固定</t>
        </is>
      </c>
      <c r="U3" s="12" t="inlineStr">
        <is>
          <t>数式</t>
        </is>
      </c>
      <c r="V3" s="12" t="inlineStr">
        <is>
          <t>固定</t>
        </is>
      </c>
      <c r="X3" s="13" t="inlineStr">
        <is>
          <t>UNIT_ID</t>
        </is>
      </c>
      <c r="Y3" s="13" t="inlineStr">
        <is>
          <t>FILTERING_DEF_ID</t>
        </is>
      </c>
      <c r="Z3" s="13" t="inlineStr">
        <is>
          <t>全項目一致</t>
        </is>
      </c>
      <c r="AA3" s="13" t="inlineStr">
        <is>
          <t>相違した項目</t>
        </is>
      </c>
      <c r="AB3" s="13" t="inlineStr">
        <is>
          <t>SQL文一致</t>
        </is>
      </c>
      <c r="AD3" s="14" t="inlineStr">
        <is>
          <t>判定</t>
        </is>
      </c>
      <c r="AE3" s="14" t="inlineStr">
        <is>
          <t>備考</t>
        </is>
      </c>
    </row>
    <row r="4">
      <c r="A4" s="15" t="inlineStr">
        <is>
          <t>INSERT INTO CNF_UNIT_FILTERING_TBL SELECT UNIT_ID, 1 FROM MST_UNIT_TBL WHERE UNIT_CODE = 'LF001';</t>
        </is>
      </c>
      <c r="B4" s="16" t="n"/>
      <c r="C4" s="15" t="inlineStr">
        <is>
          <t>CNF_UNIT_FILTERING_TBL</t>
        </is>
      </c>
      <c r="D4" s="15" t="inlineStr">
        <is>
          <t>UNIT_ID</t>
        </is>
      </c>
      <c r="E4" s="15" t="inlineStr">
        <is>
          <t>1</t>
        </is>
      </c>
      <c r="F4" s="15" t="inlineStr">
        <is>
          <t>MST_UNIT_TBL</t>
        </is>
      </c>
      <c r="G4" s="15" t="inlineStr">
        <is>
          <t>UNIT_CODE</t>
        </is>
      </c>
      <c r="H4" s="15" t="inlineStr">
        <is>
          <t>LF001</t>
        </is>
      </c>
      <c r="J4" s="15" t="inlineStr">
        <is>
          <t>LF001</t>
        </is>
      </c>
      <c r="K4" s="15" t="inlineStr">
        <is>
          <t>一括照合用</t>
        </is>
      </c>
      <c r="L4" s="15" t="inlineStr">
        <is>
          <t>578</t>
        </is>
      </c>
      <c r="M4" s="19">
        <f>"INSERT INTO "&amp;C4&amp;" VALUES("&amp;L4&amp;" , "&amp;E4&amp;");"</f>
        <v/>
      </c>
      <c r="O4" s="17" t="inlineStr">
        <is>
          <t>578</t>
        </is>
      </c>
      <c r="P4" s="17" t="inlineStr">
        <is>
          <t>1</t>
        </is>
      </c>
      <c r="R4" s="15" t="inlineStr">
        <is>
          <t>INSERT INTO</t>
        </is>
      </c>
      <c r="S4" s="15" t="inlineStr">
        <is>
          <t>CNF_UNIT_FILTERING_TBL</t>
        </is>
      </c>
      <c r="T4" s="15" t="inlineStr">
        <is>
          <t>VALUES(</t>
        </is>
      </c>
      <c r="U4" s="15" t="inlineStr">
        <is>
          <t>578 , 1</t>
        </is>
      </c>
      <c r="V4" s="15" t="inlineStr">
        <is>
          <t>);</t>
        </is>
      </c>
      <c r="X4" s="18">
        <f>EXACT(TRIM(L4&amp;""),O4&amp;"")</f>
        <v/>
      </c>
      <c r="Y4" s="18">
        <f>EXACT(TRIM(E4&amp;""),P4&amp;"")</f>
        <v/>
      </c>
      <c r="Z4" s="18">
        <f>AND(X4:Y4)</f>
        <v/>
      </c>
      <c r="AA4" s="19">
        <f>TRIM(IF(X4,"",$X$3&amp;" ")&amp;IF(Y4,"",$Y$3&amp;" "))</f>
        <v/>
      </c>
      <c r="AB4" s="18">
        <f>EXACT(SUBSTITUTE(M4," ",""),SUBSTITUTE(R4&amp;S4&amp;T4&amp;U4&amp;V4," ",""))</f>
        <v/>
      </c>
    </row>
    <row r="5">
      <c r="A5" s="15" t="inlineStr">
        <is>
          <t>INSERT INTO CNF_UNIT_FILTERING_TBL SELECT UNIT_ID, 4 FROM MST_UNIT_TBL WHERE UNIT_CODE = 'LF001';</t>
        </is>
      </c>
      <c r="B5" s="16" t="n"/>
      <c r="C5" s="15" t="inlineStr">
        <is>
          <t>CNF_UNIT_FILTERING_TBL</t>
        </is>
      </c>
      <c r="D5" s="15" t="inlineStr">
        <is>
          <t>UNIT_ID</t>
        </is>
      </c>
      <c r="E5" s="15" t="inlineStr">
        <is>
          <t>4</t>
        </is>
      </c>
      <c r="F5" s="15" t="inlineStr">
        <is>
          <t>MST_UNIT_TBL</t>
        </is>
      </c>
      <c r="G5" s="15" t="inlineStr">
        <is>
          <t>UNIT_CODE</t>
        </is>
      </c>
      <c r="H5" s="15" t="inlineStr">
        <is>
          <t>LF001</t>
        </is>
      </c>
      <c r="J5" s="15" t="inlineStr">
        <is>
          <t>LF001</t>
        </is>
      </c>
      <c r="K5" s="15" t="inlineStr">
        <is>
          <t>一括照合用</t>
        </is>
      </c>
      <c r="L5" s="15" t="inlineStr">
        <is>
          <t>578</t>
        </is>
      </c>
      <c r="M5" s="19">
        <f>"INSERT INTO "&amp;C5&amp;" VALUES("&amp;L5&amp;" , "&amp;E5&amp;");"</f>
        <v/>
      </c>
      <c r="O5" s="17" t="inlineStr">
        <is>
          <t>578</t>
        </is>
      </c>
      <c r="P5" s="17" t="inlineStr">
        <is>
          <t>4</t>
        </is>
      </c>
      <c r="R5" s="15" t="inlineStr">
        <is>
          <t>INSERT INTO</t>
        </is>
      </c>
      <c r="S5" s="15" t="inlineStr">
        <is>
          <t>CNF_UNIT_FILTERING_TBL</t>
        </is>
      </c>
      <c r="T5" s="15" t="inlineStr">
        <is>
          <t>VALUES(</t>
        </is>
      </c>
      <c r="U5" s="15" t="inlineStr">
        <is>
          <t>578 , 4</t>
        </is>
      </c>
      <c r="V5" s="15" t="inlineStr">
        <is>
          <t>);</t>
        </is>
      </c>
      <c r="X5" s="18">
        <f>EXACT(TRIM(L5&amp;""),O5&amp;"")</f>
        <v/>
      </c>
      <c r="Y5" s="18">
        <f>EXACT(TRIM(E5&amp;""),P5&amp;"")</f>
        <v/>
      </c>
      <c r="Z5" s="18">
        <f>AND(X5:Y5)</f>
        <v/>
      </c>
      <c r="AA5" s="19">
        <f>TRIM(IF(X5,"",$X$3&amp;" ")&amp;IF(Y5,"",$Y$3&amp;" "))</f>
        <v/>
      </c>
      <c r="AB5" s="18">
        <f>EXACT(SUBSTITUTE(M5," ",""),SUBSTITUTE(R5&amp;S5&amp;T5&amp;U5&amp;V5," ",""))</f>
        <v/>
      </c>
    </row>
    <row r="6">
      <c r="A6" s="15" t="inlineStr">
        <is>
          <t>INSERT INTO CNF_UNIT_FILTERING_TBL SELECT UNIT_ID, 5 FROM MST_UNIT_TBL WHERE UNIT_CODE = 'LF001';</t>
        </is>
      </c>
      <c r="B6" s="16" t="n"/>
      <c r="C6" s="15" t="inlineStr">
        <is>
          <t>CNF_UNIT_FILTERING_TBL</t>
        </is>
      </c>
      <c r="D6" s="15" t="inlineStr">
        <is>
          <t>UNIT_ID</t>
        </is>
      </c>
      <c r="E6" s="15" t="inlineStr">
        <is>
          <t>5</t>
        </is>
      </c>
      <c r="F6" s="15" t="inlineStr">
        <is>
          <t>MST_UNIT_TBL</t>
        </is>
      </c>
      <c r="G6" s="15" t="inlineStr">
        <is>
          <t>UNIT_CODE</t>
        </is>
      </c>
      <c r="H6" s="15" t="inlineStr">
        <is>
          <t>LF001</t>
        </is>
      </c>
      <c r="J6" s="15" t="inlineStr">
        <is>
          <t>LF001</t>
        </is>
      </c>
      <c r="K6" s="15" t="inlineStr">
        <is>
          <t>一括照合用</t>
        </is>
      </c>
      <c r="L6" s="15" t="inlineStr">
        <is>
          <t>578</t>
        </is>
      </c>
      <c r="M6" s="19">
        <f>"INSERT INTO "&amp;C6&amp;" VALUES("&amp;L6&amp;" , "&amp;E6&amp;");"</f>
        <v/>
      </c>
      <c r="O6" s="17" t="inlineStr">
        <is>
          <t>578</t>
        </is>
      </c>
      <c r="P6" s="17" t="inlineStr">
        <is>
          <t>5</t>
        </is>
      </c>
      <c r="R6" s="15" t="inlineStr">
        <is>
          <t>INSERT INTO</t>
        </is>
      </c>
      <c r="S6" s="15" t="inlineStr">
        <is>
          <t>CNF_UNIT_FILTERING_TBL</t>
        </is>
      </c>
      <c r="T6" s="15" t="inlineStr">
        <is>
          <t>VALUES(</t>
        </is>
      </c>
      <c r="U6" s="15" t="inlineStr">
        <is>
          <t>578 , 5</t>
        </is>
      </c>
      <c r="V6" s="15" t="inlineStr">
        <is>
          <t>);</t>
        </is>
      </c>
      <c r="X6" s="18">
        <f>EXACT(TRIM(L6&amp;""),O6&amp;"")</f>
        <v/>
      </c>
      <c r="Y6" s="18">
        <f>EXACT(TRIM(E6&amp;""),P6&amp;"")</f>
        <v/>
      </c>
      <c r="Z6" s="18">
        <f>AND(X6:Y6)</f>
        <v/>
      </c>
      <c r="AA6" s="19">
        <f>TRIM(IF(X6,"",$X$3&amp;" ")&amp;IF(Y6,"",$Y$3&amp;" "))</f>
        <v/>
      </c>
      <c r="AB6" s="18">
        <f>EXACT(SUBSTITUTE(M6," ",""),SUBSTITUTE(R6&amp;S6&amp;T6&amp;U6&amp;V6," ",""))</f>
        <v/>
      </c>
    </row>
    <row r="7">
      <c r="A7" s="15" t="inlineStr">
        <is>
          <t>INSERT INTO CNF_UNIT_FILTERING_TBL SELECT UNIT_ID, 7 FROM MST_UNIT_TBL WHERE UNIT_CODE = 'LF001';</t>
        </is>
      </c>
      <c r="B7" s="16" t="n"/>
      <c r="C7" s="15" t="inlineStr">
        <is>
          <t>CNF_UNIT_FILTERING_TBL</t>
        </is>
      </c>
      <c r="D7" s="15" t="inlineStr">
        <is>
          <t>UNIT_ID</t>
        </is>
      </c>
      <c r="E7" s="15" t="inlineStr">
        <is>
          <t>7</t>
        </is>
      </c>
      <c r="F7" s="15" t="inlineStr">
        <is>
          <t>MST_UNIT_TBL</t>
        </is>
      </c>
      <c r="G7" s="15" t="inlineStr">
        <is>
          <t>UNIT_CODE</t>
        </is>
      </c>
      <c r="H7" s="15" t="inlineStr">
        <is>
          <t>LF001</t>
        </is>
      </c>
      <c r="J7" s="15" t="inlineStr">
        <is>
          <t>LF001</t>
        </is>
      </c>
      <c r="K7" s="15" t="inlineStr">
        <is>
          <t>一括照合用</t>
        </is>
      </c>
      <c r="L7" s="15" t="inlineStr">
        <is>
          <t>578</t>
        </is>
      </c>
      <c r="M7" s="19">
        <f>"INSERT INTO "&amp;C7&amp;" VALUES("&amp;L7&amp;" , "&amp;E7&amp;");"</f>
        <v/>
      </c>
      <c r="O7" s="17" t="inlineStr">
        <is>
          <t>578</t>
        </is>
      </c>
      <c r="P7" s="17" t="inlineStr">
        <is>
          <t>7</t>
        </is>
      </c>
      <c r="R7" s="15" t="inlineStr">
        <is>
          <t>INSERT INTO</t>
        </is>
      </c>
      <c r="S7" s="15" t="inlineStr">
        <is>
          <t>CNF_UNIT_FILTERING_TBL</t>
        </is>
      </c>
      <c r="T7" s="15" t="inlineStr">
        <is>
          <t>VALUES(</t>
        </is>
      </c>
      <c r="U7" s="15" t="inlineStr">
        <is>
          <t>578 , 7</t>
        </is>
      </c>
      <c r="V7" s="15" t="inlineStr">
        <is>
          <t>);</t>
        </is>
      </c>
      <c r="X7" s="18">
        <f>EXACT(TRIM(L7&amp;""),O7&amp;"")</f>
        <v/>
      </c>
      <c r="Y7" s="18">
        <f>EXACT(TRIM(E7&amp;""),P7&amp;"")</f>
        <v/>
      </c>
      <c r="Z7" s="18">
        <f>AND(X7:Y7)</f>
        <v/>
      </c>
      <c r="AA7" s="19">
        <f>TRIM(IF(X7,"",$X$3&amp;" ")&amp;IF(Y7,"",$Y$3&amp;" "))</f>
        <v/>
      </c>
      <c r="AB7" s="18">
        <f>EXACT(SUBSTITUTE(M7," ",""),SUBSTITUTE(R7&amp;S7&amp;T7&amp;U7&amp;V7," ",""))</f>
        <v/>
      </c>
    </row>
    <row r="8">
      <c r="A8" s="15" t="inlineStr">
        <is>
          <t>INSERT INTO CNF_UNIT_FILTERING_TBL SELECT UNIT_ID, 8 FROM MST_UNIT_TBL WHERE UNIT_CODE = 'LF001';</t>
        </is>
      </c>
      <c r="B8" s="16" t="n"/>
      <c r="C8" s="15" t="inlineStr">
        <is>
          <t>CNF_UNIT_FILTERING_TBL</t>
        </is>
      </c>
      <c r="D8" s="15" t="inlineStr">
        <is>
          <t>UNIT_ID</t>
        </is>
      </c>
      <c r="E8" s="15" t="inlineStr">
        <is>
          <t>8</t>
        </is>
      </c>
      <c r="F8" s="15" t="inlineStr">
        <is>
          <t>MST_UNIT_TBL</t>
        </is>
      </c>
      <c r="G8" s="15" t="inlineStr">
        <is>
          <t>UNIT_CODE</t>
        </is>
      </c>
      <c r="H8" s="15" t="inlineStr">
        <is>
          <t>LF001</t>
        </is>
      </c>
      <c r="J8" s="15" t="inlineStr">
        <is>
          <t>LF001</t>
        </is>
      </c>
      <c r="K8" s="15" t="inlineStr">
        <is>
          <t>一括照合用</t>
        </is>
      </c>
      <c r="L8" s="15" t="inlineStr">
        <is>
          <t>578</t>
        </is>
      </c>
      <c r="M8" s="19">
        <f>"INSERT INTO "&amp;C8&amp;" VALUES("&amp;L8&amp;" , "&amp;E8&amp;");"</f>
        <v/>
      </c>
      <c r="O8" s="17" t="inlineStr">
        <is>
          <t>578</t>
        </is>
      </c>
      <c r="P8" s="17" t="inlineStr">
        <is>
          <t>8</t>
        </is>
      </c>
      <c r="R8" s="15" t="inlineStr">
        <is>
          <t>INSERT INTO</t>
        </is>
      </c>
      <c r="S8" s="15" t="inlineStr">
        <is>
          <t>CNF_UNIT_FILTERING_TBL</t>
        </is>
      </c>
      <c r="T8" s="15" t="inlineStr">
        <is>
          <t>VALUES(</t>
        </is>
      </c>
      <c r="U8" s="15" t="inlineStr">
        <is>
          <t>578 , 8</t>
        </is>
      </c>
      <c r="V8" s="15" t="inlineStr">
        <is>
          <t>);</t>
        </is>
      </c>
      <c r="X8" s="18">
        <f>EXACT(TRIM(L8&amp;""),O8&amp;"")</f>
        <v/>
      </c>
      <c r="Y8" s="18">
        <f>EXACT(TRIM(E8&amp;""),P8&amp;"")</f>
        <v/>
      </c>
      <c r="Z8" s="18">
        <f>AND(X8:Y8)</f>
        <v/>
      </c>
      <c r="AA8" s="19">
        <f>TRIM(IF(X8,"",$X$3&amp;" ")&amp;IF(Y8,"",$Y$3&amp;" "))</f>
        <v/>
      </c>
      <c r="AB8" s="18">
        <f>EXACT(SUBSTITUTE(M8," ",""),SUBSTITUTE(R8&amp;S8&amp;T8&amp;U8&amp;V8," ",""))</f>
        <v/>
      </c>
    </row>
    <row r="9">
      <c r="A9" s="15" t="inlineStr">
        <is>
          <t>INSERT INTO CNF_UNIT_FILTERING_TBL SELECT UNIT_ID, 9 FROM MST_UNIT_TBL WHERE UNIT_CODE = 'LF001';</t>
        </is>
      </c>
      <c r="B9" s="16" t="n"/>
      <c r="C9" s="15" t="inlineStr">
        <is>
          <t>CNF_UNIT_FILTERING_TBL</t>
        </is>
      </c>
      <c r="D9" s="15" t="inlineStr">
        <is>
          <t>UNIT_ID</t>
        </is>
      </c>
      <c r="E9" s="15" t="inlineStr">
        <is>
          <t>9</t>
        </is>
      </c>
      <c r="F9" s="15" t="inlineStr">
        <is>
          <t>MST_UNIT_TBL</t>
        </is>
      </c>
      <c r="G9" s="15" t="inlineStr">
        <is>
          <t>UNIT_CODE</t>
        </is>
      </c>
      <c r="H9" s="15" t="inlineStr">
        <is>
          <t>LF001</t>
        </is>
      </c>
      <c r="J9" s="15" t="inlineStr">
        <is>
          <t>LF001</t>
        </is>
      </c>
      <c r="K9" s="15" t="inlineStr">
        <is>
          <t>一括照合用</t>
        </is>
      </c>
      <c r="L9" s="15" t="inlineStr">
        <is>
          <t>578</t>
        </is>
      </c>
      <c r="M9" s="19">
        <f>"INSERT INTO "&amp;C9&amp;" VALUES("&amp;L9&amp;" , "&amp;E9&amp;");"</f>
        <v/>
      </c>
      <c r="O9" s="17" t="inlineStr">
        <is>
          <t>578</t>
        </is>
      </c>
      <c r="P9" s="17" t="inlineStr">
        <is>
          <t>9</t>
        </is>
      </c>
      <c r="R9" s="15" t="inlineStr">
        <is>
          <t>INSERT INTO</t>
        </is>
      </c>
      <c r="S9" s="15" t="inlineStr">
        <is>
          <t>CNF_UNIT_FILTERING_TBL</t>
        </is>
      </c>
      <c r="T9" s="15" t="inlineStr">
        <is>
          <t>VALUES(</t>
        </is>
      </c>
      <c r="U9" s="15" t="inlineStr">
        <is>
          <t>578 , 9</t>
        </is>
      </c>
      <c r="V9" s="15" t="inlineStr">
        <is>
          <t>);</t>
        </is>
      </c>
      <c r="X9" s="18">
        <f>EXACT(TRIM(L9&amp;""),O9&amp;"")</f>
        <v/>
      </c>
      <c r="Y9" s="18">
        <f>EXACT(TRIM(E9&amp;""),P9&amp;"")</f>
        <v/>
      </c>
      <c r="Z9" s="18">
        <f>AND(X9:Y9)</f>
        <v/>
      </c>
      <c r="AA9" s="19">
        <f>TRIM(IF(X9,"",$X$3&amp;" ")&amp;IF(Y9,"",$Y$3&amp;" "))</f>
        <v/>
      </c>
      <c r="AB9" s="18">
        <f>EXACT(SUBSTITUTE(M9," ",""),SUBSTITUTE(R9&amp;S9&amp;T9&amp;U9&amp;V9," ",""))</f>
        <v/>
      </c>
    </row>
    <row r="10">
      <c r="A10" s="15" t="inlineStr">
        <is>
          <t>INSERT INTO CNF_UNIT_FILTERING_TBL SELECT UNIT_ID, 11 FROM MST_UNIT_TBL WHERE UNIT_CODE = 'LF001';</t>
        </is>
      </c>
      <c r="B10" s="16" t="n"/>
      <c r="C10" s="15" t="inlineStr">
        <is>
          <t>CNF_UNIT_FILTERING_TBL</t>
        </is>
      </c>
      <c r="D10" s="15" t="inlineStr">
        <is>
          <t>UNIT_ID</t>
        </is>
      </c>
      <c r="E10" s="15" t="inlineStr">
        <is>
          <t>11</t>
        </is>
      </c>
      <c r="F10" s="15" t="inlineStr">
        <is>
          <t>MST_UNIT_TBL</t>
        </is>
      </c>
      <c r="G10" s="15" t="inlineStr">
        <is>
          <t>UNIT_CODE</t>
        </is>
      </c>
      <c r="H10" s="15" t="inlineStr">
        <is>
          <t>LF001</t>
        </is>
      </c>
      <c r="J10" s="15" t="inlineStr">
        <is>
          <t>LF001</t>
        </is>
      </c>
      <c r="K10" s="15" t="inlineStr">
        <is>
          <t>一括照合用</t>
        </is>
      </c>
      <c r="L10" s="15" t="inlineStr">
        <is>
          <t>578</t>
        </is>
      </c>
      <c r="M10" s="19">
        <f>"INSERT INTO "&amp;C10&amp;" VALUES("&amp;L10&amp;" , "&amp;E10&amp;");"</f>
        <v/>
      </c>
      <c r="O10" s="17" t="inlineStr">
        <is>
          <t>578</t>
        </is>
      </c>
      <c r="P10" s="17" t="inlineStr">
        <is>
          <t>11</t>
        </is>
      </c>
      <c r="R10" s="15" t="inlineStr">
        <is>
          <t>INSERT INTO</t>
        </is>
      </c>
      <c r="S10" s="15" t="inlineStr">
        <is>
          <t>CNF_UNIT_FILTERING_TBL</t>
        </is>
      </c>
      <c r="T10" s="15" t="inlineStr">
        <is>
          <t>VALUES(</t>
        </is>
      </c>
      <c r="U10" s="15" t="inlineStr">
        <is>
          <t>578 , 11</t>
        </is>
      </c>
      <c r="V10" s="15" t="inlineStr">
        <is>
          <t>);</t>
        </is>
      </c>
      <c r="X10" s="18">
        <f>EXACT(TRIM(L10&amp;""),O10&amp;"")</f>
        <v/>
      </c>
      <c r="Y10" s="18">
        <f>EXACT(TRIM(E10&amp;""),P10&amp;"")</f>
        <v/>
      </c>
      <c r="Z10" s="18">
        <f>AND(X10:Y10)</f>
        <v/>
      </c>
      <c r="AA10" s="19">
        <f>TRIM(IF(X10,"",$X$3&amp;" ")&amp;IF(Y10,"",$Y$3&amp;" "))</f>
        <v/>
      </c>
      <c r="AB10" s="18">
        <f>EXACT(SUBSTITUTE(M10," ",""),SUBSTITUTE(R10&amp;S10&amp;T10&amp;U10&amp;V10," ",""))</f>
        <v/>
      </c>
    </row>
    <row r="11">
      <c r="A11" s="15" t="inlineStr">
        <is>
          <t>INSERT INTO CNF_UNIT_FILTERING_TBL SELECT UNIT_ID, 12 FROM MST_UNIT_TBL WHERE UNIT_CODE = 'LF001';</t>
        </is>
      </c>
      <c r="B11" s="16" t="n"/>
      <c r="C11" s="15" t="inlineStr">
        <is>
          <t>CNF_UNIT_FILTERING_TBL</t>
        </is>
      </c>
      <c r="D11" s="15" t="inlineStr">
        <is>
          <t>UNIT_ID</t>
        </is>
      </c>
      <c r="E11" s="15" t="inlineStr">
        <is>
          <t>12</t>
        </is>
      </c>
      <c r="F11" s="15" t="inlineStr">
        <is>
          <t>MST_UNIT_TBL</t>
        </is>
      </c>
      <c r="G11" s="15" t="inlineStr">
        <is>
          <t>UNIT_CODE</t>
        </is>
      </c>
      <c r="H11" s="15" t="inlineStr">
        <is>
          <t>LF001</t>
        </is>
      </c>
      <c r="J11" s="15" t="inlineStr">
        <is>
          <t>LF001</t>
        </is>
      </c>
      <c r="K11" s="15" t="inlineStr">
        <is>
          <t>一括照合用</t>
        </is>
      </c>
      <c r="L11" s="15" t="inlineStr">
        <is>
          <t>578</t>
        </is>
      </c>
      <c r="M11" s="19">
        <f>"INSERT INTO "&amp;C11&amp;" VALUES("&amp;L11&amp;" , "&amp;E11&amp;");"</f>
        <v/>
      </c>
      <c r="O11" s="17" t="inlineStr">
        <is>
          <t>578</t>
        </is>
      </c>
      <c r="P11" s="17" t="inlineStr">
        <is>
          <t>12</t>
        </is>
      </c>
      <c r="R11" s="15" t="inlineStr">
        <is>
          <t>INSERT INTO</t>
        </is>
      </c>
      <c r="S11" s="15" t="inlineStr">
        <is>
          <t>CNF_UNIT_FILTERING_TBL</t>
        </is>
      </c>
      <c r="T11" s="15" t="inlineStr">
        <is>
          <t>VALUES(</t>
        </is>
      </c>
      <c r="U11" s="15" t="inlineStr">
        <is>
          <t>578 , 12</t>
        </is>
      </c>
      <c r="V11" s="15" t="inlineStr">
        <is>
          <t>);</t>
        </is>
      </c>
      <c r="X11" s="18">
        <f>EXACT(TRIM(L11&amp;""),O11&amp;"")</f>
        <v/>
      </c>
      <c r="Y11" s="18">
        <f>EXACT(TRIM(E11&amp;""),P11&amp;"")</f>
        <v/>
      </c>
      <c r="Z11" s="18">
        <f>AND(X11:Y11)</f>
        <v/>
      </c>
      <c r="AA11" s="19">
        <f>TRIM(IF(X11,"",$X$3&amp;" ")&amp;IF(Y11,"",$Y$3&amp;" "))</f>
        <v/>
      </c>
      <c r="AB11" s="18">
        <f>EXACT(SUBSTITUTE(M11," ",""),SUBSTITUTE(R11&amp;S11&amp;T11&amp;U11&amp;V11," ",""))</f>
        <v/>
      </c>
    </row>
    <row r="12">
      <c r="A12" s="15" t="inlineStr">
        <is>
          <t>INSERT INTO CNF_UNIT_FILTERING_TBL SELECT UNIT_ID, 13 FROM MST_UNIT_TBL WHERE UNIT_CODE = 'LF001';</t>
        </is>
      </c>
      <c r="B12" s="16" t="n"/>
      <c r="C12" s="15" t="inlineStr">
        <is>
          <t>CNF_UNIT_FILTERING_TBL</t>
        </is>
      </c>
      <c r="D12" s="15" t="inlineStr">
        <is>
          <t>UNIT_ID</t>
        </is>
      </c>
      <c r="E12" s="15" t="inlineStr">
        <is>
          <t>13</t>
        </is>
      </c>
      <c r="F12" s="15" t="inlineStr">
        <is>
          <t>MST_UNIT_TBL</t>
        </is>
      </c>
      <c r="G12" s="15" t="inlineStr">
        <is>
          <t>UNIT_CODE</t>
        </is>
      </c>
      <c r="H12" s="15" t="inlineStr">
        <is>
          <t>LF001</t>
        </is>
      </c>
      <c r="J12" s="15" t="inlineStr">
        <is>
          <t>LF001</t>
        </is>
      </c>
      <c r="K12" s="15" t="inlineStr">
        <is>
          <t>一括照合用</t>
        </is>
      </c>
      <c r="L12" s="15" t="inlineStr">
        <is>
          <t>578</t>
        </is>
      </c>
      <c r="M12" s="19">
        <f>"INSERT INTO "&amp;C12&amp;" VALUES("&amp;L12&amp;" , "&amp;E12&amp;");"</f>
        <v/>
      </c>
      <c r="O12" s="17" t="inlineStr">
        <is>
          <t>578</t>
        </is>
      </c>
      <c r="P12" s="17" t="inlineStr">
        <is>
          <t>13</t>
        </is>
      </c>
      <c r="R12" s="15" t="inlineStr">
        <is>
          <t>INSERT INTO</t>
        </is>
      </c>
      <c r="S12" s="15" t="inlineStr">
        <is>
          <t>CNF_UNIT_FILTERING_TBL</t>
        </is>
      </c>
      <c r="T12" s="15" t="inlineStr">
        <is>
          <t>VALUES(</t>
        </is>
      </c>
      <c r="U12" s="15" t="inlineStr">
        <is>
          <t>578 , 13</t>
        </is>
      </c>
      <c r="V12" s="15" t="inlineStr">
        <is>
          <t>);</t>
        </is>
      </c>
      <c r="X12" s="18">
        <f>EXACT(TRIM(L12&amp;""),O12&amp;"")</f>
        <v/>
      </c>
      <c r="Y12" s="18">
        <f>EXACT(TRIM(E12&amp;""),P12&amp;"")</f>
        <v/>
      </c>
      <c r="Z12" s="18">
        <f>AND(X12:Y12)</f>
        <v/>
      </c>
      <c r="AA12" s="19">
        <f>TRIM(IF(X12,"",$X$3&amp;" ")&amp;IF(Y12,"",$Y$3&amp;" "))</f>
        <v/>
      </c>
      <c r="AB12" s="18">
        <f>EXACT(SUBSTITUTE(M12," ",""),SUBSTITUTE(R12&amp;S12&amp;T12&amp;U12&amp;V12," ",""))</f>
        <v/>
      </c>
    </row>
    <row r="13">
      <c r="A13" s="15" t="inlineStr">
        <is>
          <t>INSERT INTO CNF_UNIT_FILTERING_TBL SELECT UNIT_ID, 14 FROM MST_UNIT_TBL WHERE UNIT_CODE = 'LF001';</t>
        </is>
      </c>
      <c r="B13" s="16" t="n"/>
      <c r="C13" s="15" t="inlineStr">
        <is>
          <t>CNF_UNIT_FILTERING_TBL</t>
        </is>
      </c>
      <c r="D13" s="15" t="inlineStr">
        <is>
          <t>UNIT_ID</t>
        </is>
      </c>
      <c r="E13" s="15" t="inlineStr">
        <is>
          <t>14</t>
        </is>
      </c>
      <c r="F13" s="15" t="inlineStr">
        <is>
          <t>MST_UNIT_TBL</t>
        </is>
      </c>
      <c r="G13" s="15" t="inlineStr">
        <is>
          <t>UNIT_CODE</t>
        </is>
      </c>
      <c r="H13" s="15" t="inlineStr">
        <is>
          <t>LF001</t>
        </is>
      </c>
      <c r="J13" s="15" t="inlineStr">
        <is>
          <t>LF001</t>
        </is>
      </c>
      <c r="K13" s="15" t="inlineStr">
        <is>
          <t>一括照合用</t>
        </is>
      </c>
      <c r="L13" s="15" t="inlineStr">
        <is>
          <t>578</t>
        </is>
      </c>
      <c r="M13" s="19">
        <f>"INSERT INTO "&amp;C13&amp;" VALUES("&amp;L13&amp;" , "&amp;E13&amp;");"</f>
        <v/>
      </c>
      <c r="O13" s="17" t="inlineStr">
        <is>
          <t>578</t>
        </is>
      </c>
      <c r="P13" s="17" t="inlineStr">
        <is>
          <t>14</t>
        </is>
      </c>
      <c r="R13" s="15" t="inlineStr">
        <is>
          <t>INSERT INTO</t>
        </is>
      </c>
      <c r="S13" s="15" t="inlineStr">
        <is>
          <t>CNF_UNIT_FILTERING_TBL</t>
        </is>
      </c>
      <c r="T13" s="15" t="inlineStr">
        <is>
          <t>VALUES(</t>
        </is>
      </c>
      <c r="U13" s="15" t="inlineStr">
        <is>
          <t>578 , 14</t>
        </is>
      </c>
      <c r="V13" s="15" t="inlineStr">
        <is>
          <t>);</t>
        </is>
      </c>
      <c r="X13" s="18">
        <f>EXACT(TRIM(L13&amp;""),O13&amp;"")</f>
        <v/>
      </c>
      <c r="Y13" s="18">
        <f>EXACT(TRIM(E13&amp;""),P13&amp;"")</f>
        <v/>
      </c>
      <c r="Z13" s="18">
        <f>AND(X13:Y13)</f>
        <v/>
      </c>
      <c r="AA13" s="19">
        <f>TRIM(IF(X13,"",$X$3&amp;" ")&amp;IF(Y13,"",$Y$3&amp;" "))</f>
        <v/>
      </c>
      <c r="AB13" s="18">
        <f>EXACT(SUBSTITUTE(M13," ",""),SUBSTITUTE(R13&amp;S13&amp;T13&amp;U13&amp;V13," ",""))</f>
        <v/>
      </c>
    </row>
    <row r="14">
      <c r="A14" s="15" t="inlineStr">
        <is>
          <t>INSERT INTO CNF_UNIT_FILTERING_TBL SELECT UNIT_ID, 15 FROM MST_UNIT_TBL WHERE UNIT_CODE = 'LF001';</t>
        </is>
      </c>
      <c r="B14" s="16" t="n"/>
      <c r="C14" s="15" t="inlineStr">
        <is>
          <t>CNF_UNIT_FILTERING_TBL</t>
        </is>
      </c>
      <c r="D14" s="15" t="inlineStr">
        <is>
          <t>UNIT_ID</t>
        </is>
      </c>
      <c r="E14" s="15" t="inlineStr">
        <is>
          <t>15</t>
        </is>
      </c>
      <c r="F14" s="15" t="inlineStr">
        <is>
          <t>MST_UNIT_TBL</t>
        </is>
      </c>
      <c r="G14" s="15" t="inlineStr">
        <is>
          <t>UNIT_CODE</t>
        </is>
      </c>
      <c r="H14" s="15" t="inlineStr">
        <is>
          <t>LF001</t>
        </is>
      </c>
      <c r="J14" s="15" t="inlineStr">
        <is>
          <t>LF001</t>
        </is>
      </c>
      <c r="K14" s="15" t="inlineStr">
        <is>
          <t>一括照合用</t>
        </is>
      </c>
      <c r="L14" s="15" t="inlineStr">
        <is>
          <t>578</t>
        </is>
      </c>
      <c r="M14" s="19">
        <f>"INSERT INTO "&amp;C14&amp;" VALUES("&amp;L14&amp;" , "&amp;E14&amp;");"</f>
        <v/>
      </c>
      <c r="O14" s="17" t="inlineStr">
        <is>
          <t>578</t>
        </is>
      </c>
      <c r="P14" s="17" t="inlineStr">
        <is>
          <t>15</t>
        </is>
      </c>
      <c r="R14" s="15" t="inlineStr">
        <is>
          <t>INSERT INTO</t>
        </is>
      </c>
      <c r="S14" s="15" t="inlineStr">
        <is>
          <t>CNF_UNIT_FILTERING_TBL</t>
        </is>
      </c>
      <c r="T14" s="15" t="inlineStr">
        <is>
          <t>VALUES(</t>
        </is>
      </c>
      <c r="U14" s="15" t="inlineStr">
        <is>
          <t>578 , 15</t>
        </is>
      </c>
      <c r="V14" s="15" t="inlineStr">
        <is>
          <t>);</t>
        </is>
      </c>
      <c r="X14" s="18">
        <f>EXACT(TRIM(L14&amp;""),O14&amp;"")</f>
        <v/>
      </c>
      <c r="Y14" s="18">
        <f>EXACT(TRIM(E14&amp;""),P14&amp;"")</f>
        <v/>
      </c>
      <c r="Z14" s="18">
        <f>AND(X14:Y14)</f>
        <v/>
      </c>
      <c r="AA14" s="19">
        <f>TRIM(IF(X14,"",$X$3&amp;" ")&amp;IF(Y14,"",$Y$3&amp;" "))</f>
        <v/>
      </c>
      <c r="AB14" s="18">
        <f>EXACT(SUBSTITUTE(M14," ",""),SUBSTITUTE(R14&amp;S14&amp;T14&amp;U14&amp;V14," ",""))</f>
        <v/>
      </c>
    </row>
    <row r="15">
      <c r="A15" s="15" t="inlineStr">
        <is>
          <t>INSERT INTO CNF_UNIT_FILTERING_TBL SELECT UNIT_ID, 16 FROM MST_UNIT_TBL WHERE UNIT_CODE = 'LF001';</t>
        </is>
      </c>
      <c r="B15" s="16" t="n"/>
      <c r="C15" s="15" t="inlineStr">
        <is>
          <t>CNF_UNIT_FILTERING_TBL</t>
        </is>
      </c>
      <c r="D15" s="15" t="inlineStr">
        <is>
          <t>UNIT_ID</t>
        </is>
      </c>
      <c r="E15" s="15" t="inlineStr">
        <is>
          <t>16</t>
        </is>
      </c>
      <c r="F15" s="15" t="inlineStr">
        <is>
          <t>MST_UNIT_TBL</t>
        </is>
      </c>
      <c r="G15" s="15" t="inlineStr">
        <is>
          <t>UNIT_CODE</t>
        </is>
      </c>
      <c r="H15" s="15" t="inlineStr">
        <is>
          <t>LF001</t>
        </is>
      </c>
      <c r="J15" s="15" t="inlineStr">
        <is>
          <t>LF001</t>
        </is>
      </c>
      <c r="K15" s="15" t="inlineStr">
        <is>
          <t>一括照合用</t>
        </is>
      </c>
      <c r="L15" s="15" t="inlineStr">
        <is>
          <t>578</t>
        </is>
      </c>
      <c r="M15" s="19">
        <f>"INSERT INTO "&amp;C15&amp;" VALUES("&amp;L15&amp;" , "&amp;E15&amp;");"</f>
        <v/>
      </c>
      <c r="O15" s="17" t="inlineStr">
        <is>
          <t>578</t>
        </is>
      </c>
      <c r="P15" s="17" t="inlineStr">
        <is>
          <t>16</t>
        </is>
      </c>
      <c r="R15" s="15" t="inlineStr">
        <is>
          <t>INSERT INTO</t>
        </is>
      </c>
      <c r="S15" s="15" t="inlineStr">
        <is>
          <t>CNF_UNIT_FILTERING_TBL</t>
        </is>
      </c>
      <c r="T15" s="15" t="inlineStr">
        <is>
          <t>VALUES(</t>
        </is>
      </c>
      <c r="U15" s="15" t="inlineStr">
        <is>
          <t>578 , 16</t>
        </is>
      </c>
      <c r="V15" s="15" t="inlineStr">
        <is>
          <t>);</t>
        </is>
      </c>
      <c r="X15" s="18">
        <f>EXACT(TRIM(L15&amp;""),O15&amp;"")</f>
        <v/>
      </c>
      <c r="Y15" s="18">
        <f>EXACT(TRIM(E15&amp;""),P15&amp;"")</f>
        <v/>
      </c>
      <c r="Z15" s="18">
        <f>AND(X15:Y15)</f>
        <v/>
      </c>
      <c r="AA15" s="19">
        <f>TRIM(IF(X15,"",$X$3&amp;" ")&amp;IF(Y15,"",$Y$3&amp;" "))</f>
        <v/>
      </c>
      <c r="AB15" s="18">
        <f>EXACT(SUBSTITUTE(M15," ",""),SUBSTITUTE(R15&amp;S15&amp;T15&amp;U15&amp;V15," ",""))</f>
        <v/>
      </c>
    </row>
    <row r="16">
      <c r="A16" s="15" t="inlineStr">
        <is>
          <t>INSERT INTO CNF_UNIT_FILTERING_TBL SELECT UNIT_ID, 1 FROM MST_UNIT_TBL WHERE UNIT_CODE = 'LF002';</t>
        </is>
      </c>
      <c r="B16" s="16" t="n"/>
      <c r="C16" s="15" t="inlineStr">
        <is>
          <t>CNF_UNIT_FILTERING_TBL</t>
        </is>
      </c>
      <c r="D16" s="15" t="inlineStr">
        <is>
          <t>UNIT_ID</t>
        </is>
      </c>
      <c r="E16" s="15" t="inlineStr">
        <is>
          <t>1</t>
        </is>
      </c>
      <c r="F16" s="15" t="inlineStr">
        <is>
          <t>MST_UNIT_TBL</t>
        </is>
      </c>
      <c r="G16" s="15" t="inlineStr">
        <is>
          <t>UNIT_CODE</t>
        </is>
      </c>
      <c r="H16" s="15" t="inlineStr">
        <is>
          <t>LF002</t>
        </is>
      </c>
      <c r="J16" s="15" t="inlineStr">
        <is>
          <t>LF002</t>
        </is>
      </c>
      <c r="K16" s="15" t="inlineStr">
        <is>
          <t>監査部</t>
        </is>
      </c>
      <c r="L16" s="15" t="inlineStr">
        <is>
          <t>579</t>
        </is>
      </c>
      <c r="M16" s="19">
        <f>"INSERT INTO "&amp;C16&amp;" VALUES("&amp;L16&amp;" , "&amp;E16&amp;");"</f>
        <v/>
      </c>
      <c r="O16" s="17" t="inlineStr">
        <is>
          <t>579</t>
        </is>
      </c>
      <c r="P16" s="17" t="inlineStr">
        <is>
          <t>1</t>
        </is>
      </c>
      <c r="R16" s="15" t="inlineStr">
        <is>
          <t>INSERT INTO</t>
        </is>
      </c>
      <c r="S16" s="15" t="inlineStr">
        <is>
          <t>CNF_UNIT_FILTERING_TBL</t>
        </is>
      </c>
      <c r="T16" s="15" t="inlineStr">
        <is>
          <t>VALUES(</t>
        </is>
      </c>
      <c r="U16" s="15" t="inlineStr">
        <is>
          <t>579 , 1</t>
        </is>
      </c>
      <c r="V16" s="15" t="inlineStr">
        <is>
          <t>);</t>
        </is>
      </c>
      <c r="X16" s="18">
        <f>EXACT(TRIM(L16&amp;""),O16&amp;"")</f>
        <v/>
      </c>
      <c r="Y16" s="18">
        <f>EXACT(TRIM(E16&amp;""),P16&amp;"")</f>
        <v/>
      </c>
      <c r="Z16" s="18">
        <f>AND(X16:Y16)</f>
        <v/>
      </c>
      <c r="AA16" s="19">
        <f>TRIM(IF(X16,"",$X$3&amp;" ")&amp;IF(Y16,"",$Y$3&amp;" "))</f>
        <v/>
      </c>
      <c r="AB16" s="18">
        <f>EXACT(SUBSTITUTE(M16," ",""),SUBSTITUTE(R16&amp;S16&amp;T16&amp;U16&amp;V16," ",""))</f>
        <v/>
      </c>
    </row>
    <row r="17">
      <c r="A17" s="15" t="inlineStr">
        <is>
          <t>INSERT INTO CNF_UNIT_FILTERING_TBL SELECT UNIT_ID, 4 FROM MST_UNIT_TBL WHERE UNIT_CODE = 'LF002';</t>
        </is>
      </c>
      <c r="B17" s="16" t="n"/>
      <c r="C17" s="15" t="inlineStr">
        <is>
          <t>CNF_UNIT_FILTERING_TBL</t>
        </is>
      </c>
      <c r="D17" s="15" t="inlineStr">
        <is>
          <t>UNIT_ID</t>
        </is>
      </c>
      <c r="E17" s="15" t="inlineStr">
        <is>
          <t>4</t>
        </is>
      </c>
      <c r="F17" s="15" t="inlineStr">
        <is>
          <t>MST_UNIT_TBL</t>
        </is>
      </c>
      <c r="G17" s="15" t="inlineStr">
        <is>
          <t>UNIT_CODE</t>
        </is>
      </c>
      <c r="H17" s="15" t="inlineStr">
        <is>
          <t>LF002</t>
        </is>
      </c>
      <c r="J17" s="15" t="inlineStr">
        <is>
          <t>LF002</t>
        </is>
      </c>
      <c r="K17" s="15" t="inlineStr">
        <is>
          <t>監査部</t>
        </is>
      </c>
      <c r="L17" s="15" t="inlineStr">
        <is>
          <t>579</t>
        </is>
      </c>
      <c r="M17" s="19">
        <f>"INSERT INTO "&amp;C17&amp;" VALUES("&amp;L17&amp;" , "&amp;E17&amp;");"</f>
        <v/>
      </c>
      <c r="O17" s="17" t="inlineStr">
        <is>
          <t>579</t>
        </is>
      </c>
      <c r="P17" s="17" t="inlineStr">
        <is>
          <t>4</t>
        </is>
      </c>
      <c r="R17" s="15" t="inlineStr">
        <is>
          <t>INSERT INTO</t>
        </is>
      </c>
      <c r="S17" s="15" t="inlineStr">
        <is>
          <t>CNF_UNIT_FILTERING_TBL</t>
        </is>
      </c>
      <c r="T17" s="15" t="inlineStr">
        <is>
          <t>VALUES(</t>
        </is>
      </c>
      <c r="U17" s="15" t="inlineStr">
        <is>
          <t>579 , 4</t>
        </is>
      </c>
      <c r="V17" s="15" t="inlineStr">
        <is>
          <t>);</t>
        </is>
      </c>
      <c r="X17" s="18">
        <f>EXACT(TRIM(L17&amp;""),O17&amp;"")</f>
        <v/>
      </c>
      <c r="Y17" s="18">
        <f>EXACT(TRIM(E17&amp;""),P17&amp;"")</f>
        <v/>
      </c>
      <c r="Z17" s="18">
        <f>AND(X17:Y17)</f>
        <v/>
      </c>
      <c r="AA17" s="19">
        <f>TRIM(IF(X17,"",$X$3&amp;" ")&amp;IF(Y17,"",$Y$3&amp;" "))</f>
        <v/>
      </c>
      <c r="AB17" s="18">
        <f>EXACT(SUBSTITUTE(M17," ",""),SUBSTITUTE(R17&amp;S17&amp;T17&amp;U17&amp;V17," ",""))</f>
        <v/>
      </c>
    </row>
    <row r="18">
      <c r="A18" s="15" t="inlineStr">
        <is>
          <t>INSERT INTO CNF_UNIT_FILTERING_TBL SELECT UNIT_ID, 5 FROM MST_UNIT_TBL WHERE UNIT_CODE = 'LF002';</t>
        </is>
      </c>
      <c r="B18" s="16" t="n"/>
      <c r="C18" s="15" t="inlineStr">
        <is>
          <t>CNF_UNIT_FILTERING_TBL</t>
        </is>
      </c>
      <c r="D18" s="15" t="inlineStr">
        <is>
          <t>UNIT_ID</t>
        </is>
      </c>
      <c r="E18" s="15" t="inlineStr">
        <is>
          <t>5</t>
        </is>
      </c>
      <c r="F18" s="15" t="inlineStr">
        <is>
          <t>MST_UNIT_TBL</t>
        </is>
      </c>
      <c r="G18" s="15" t="inlineStr">
        <is>
          <t>UNIT_CODE</t>
        </is>
      </c>
      <c r="H18" s="15" t="inlineStr">
        <is>
          <t>LF002</t>
        </is>
      </c>
      <c r="J18" s="15" t="inlineStr">
        <is>
          <t>LF002</t>
        </is>
      </c>
      <c r="K18" s="15" t="inlineStr">
        <is>
          <t>監査部</t>
        </is>
      </c>
      <c r="L18" s="15" t="inlineStr">
        <is>
          <t>579</t>
        </is>
      </c>
      <c r="M18" s="19">
        <f>"INSERT INTO "&amp;C18&amp;" VALUES("&amp;L18&amp;" , "&amp;E18&amp;");"</f>
        <v/>
      </c>
      <c r="O18" s="17" t="inlineStr">
        <is>
          <t>579</t>
        </is>
      </c>
      <c r="P18" s="17" t="inlineStr">
        <is>
          <t>5</t>
        </is>
      </c>
      <c r="R18" s="15" t="inlineStr">
        <is>
          <t>INSERT INTO</t>
        </is>
      </c>
      <c r="S18" s="15" t="inlineStr">
        <is>
          <t>CNF_UNIT_FILTERING_TBL</t>
        </is>
      </c>
      <c r="T18" s="15" t="inlineStr">
        <is>
          <t>VALUES(</t>
        </is>
      </c>
      <c r="U18" s="15" t="inlineStr">
        <is>
          <t>579 , 5</t>
        </is>
      </c>
      <c r="V18" s="15" t="inlineStr">
        <is>
          <t>);</t>
        </is>
      </c>
      <c r="X18" s="18">
        <f>EXACT(TRIM(L18&amp;""),O18&amp;"")</f>
        <v/>
      </c>
      <c r="Y18" s="18">
        <f>EXACT(TRIM(E18&amp;""),P18&amp;"")</f>
        <v/>
      </c>
      <c r="Z18" s="18">
        <f>AND(X18:Y18)</f>
        <v/>
      </c>
      <c r="AA18" s="19">
        <f>TRIM(IF(X18,"",$X$3&amp;" ")&amp;IF(Y18,"",$Y$3&amp;" "))</f>
        <v/>
      </c>
      <c r="AB18" s="18">
        <f>EXACT(SUBSTITUTE(M18," ",""),SUBSTITUTE(R18&amp;S18&amp;T18&amp;U18&amp;V18," ",""))</f>
        <v/>
      </c>
    </row>
    <row r="19">
      <c r="A19" s="15" t="inlineStr">
        <is>
          <t>INSERT INTO CNF_UNIT_FILTERING_TBL SELECT UNIT_ID, 7 FROM MST_UNIT_TBL WHERE UNIT_CODE = 'LF002';</t>
        </is>
      </c>
      <c r="B19" s="16" t="n"/>
      <c r="C19" s="15" t="inlineStr">
        <is>
          <t>CNF_UNIT_FILTERING_TBL</t>
        </is>
      </c>
      <c r="D19" s="15" t="inlineStr">
        <is>
          <t>UNIT_ID</t>
        </is>
      </c>
      <c r="E19" s="15" t="inlineStr">
        <is>
          <t>7</t>
        </is>
      </c>
      <c r="F19" s="15" t="inlineStr">
        <is>
          <t>MST_UNIT_TBL</t>
        </is>
      </c>
      <c r="G19" s="15" t="inlineStr">
        <is>
          <t>UNIT_CODE</t>
        </is>
      </c>
      <c r="H19" s="15" t="inlineStr">
        <is>
          <t>LF002</t>
        </is>
      </c>
      <c r="J19" s="15" t="inlineStr">
        <is>
          <t>LF002</t>
        </is>
      </c>
      <c r="K19" s="15" t="inlineStr">
        <is>
          <t>監査部</t>
        </is>
      </c>
      <c r="L19" s="15" t="inlineStr">
        <is>
          <t>579</t>
        </is>
      </c>
      <c r="M19" s="19">
        <f>"INSERT INTO "&amp;C19&amp;" VALUES("&amp;L19&amp;" , "&amp;E19&amp;");"</f>
        <v/>
      </c>
      <c r="O19" s="17" t="inlineStr">
        <is>
          <t>579</t>
        </is>
      </c>
      <c r="P19" s="17" t="inlineStr">
        <is>
          <t>7</t>
        </is>
      </c>
      <c r="R19" s="15" t="inlineStr">
        <is>
          <t>INSERT INTO</t>
        </is>
      </c>
      <c r="S19" s="15" t="inlineStr">
        <is>
          <t>CNF_UNIT_FILTERING_TBL</t>
        </is>
      </c>
      <c r="T19" s="15" t="inlineStr">
        <is>
          <t>VALUES(</t>
        </is>
      </c>
      <c r="U19" s="15" t="inlineStr">
        <is>
          <t>579 , 7</t>
        </is>
      </c>
      <c r="V19" s="15" t="inlineStr">
        <is>
          <t>);</t>
        </is>
      </c>
      <c r="X19" s="18">
        <f>EXACT(TRIM(L19&amp;""),O19&amp;"")</f>
        <v/>
      </c>
      <c r="Y19" s="18">
        <f>EXACT(TRIM(E19&amp;""),P19&amp;"")</f>
        <v/>
      </c>
      <c r="Z19" s="18">
        <f>AND(X19:Y19)</f>
        <v/>
      </c>
      <c r="AA19" s="19">
        <f>TRIM(IF(X19,"",$X$3&amp;" ")&amp;IF(Y19,"",$Y$3&amp;" "))</f>
        <v/>
      </c>
      <c r="AB19" s="18">
        <f>EXACT(SUBSTITUTE(M19," ",""),SUBSTITUTE(R19&amp;S19&amp;T19&amp;U19&amp;V19," ",""))</f>
        <v/>
      </c>
    </row>
    <row r="20">
      <c r="A20" s="15" t="inlineStr">
        <is>
          <t>INSERT INTO CNF_UNIT_FILTERING_TBL SELECT UNIT_ID, 8 FROM MST_UNIT_TBL WHERE UNIT_CODE = 'LF002';</t>
        </is>
      </c>
      <c r="B20" s="16" t="n"/>
      <c r="C20" s="15" t="inlineStr">
        <is>
          <t>CNF_UNIT_FILTERING_TBL</t>
        </is>
      </c>
      <c r="D20" s="15" t="inlineStr">
        <is>
          <t>UNIT_ID</t>
        </is>
      </c>
      <c r="E20" s="15" t="inlineStr">
        <is>
          <t>8</t>
        </is>
      </c>
      <c r="F20" s="15" t="inlineStr">
        <is>
          <t>MST_UNIT_TBL</t>
        </is>
      </c>
      <c r="G20" s="15" t="inlineStr">
        <is>
          <t>UNIT_CODE</t>
        </is>
      </c>
      <c r="H20" s="15" t="inlineStr">
        <is>
          <t>LF002</t>
        </is>
      </c>
      <c r="J20" s="15" t="inlineStr">
        <is>
          <t>LF002</t>
        </is>
      </c>
      <c r="K20" s="15" t="inlineStr">
        <is>
          <t>監査部</t>
        </is>
      </c>
      <c r="L20" s="15" t="inlineStr">
        <is>
          <t>579</t>
        </is>
      </c>
      <c r="M20" s="19">
        <f>"INSERT INTO "&amp;C20&amp;" VALUES("&amp;L20&amp;" , "&amp;E20&amp;");"</f>
        <v/>
      </c>
      <c r="O20" s="17" t="inlineStr">
        <is>
          <t>579</t>
        </is>
      </c>
      <c r="P20" s="17" t="inlineStr">
        <is>
          <t>8</t>
        </is>
      </c>
      <c r="R20" s="15" t="inlineStr">
        <is>
          <t>INSERT INTO</t>
        </is>
      </c>
      <c r="S20" s="15" t="inlineStr">
        <is>
          <t>CNF_UNIT_FILTERING_TBL</t>
        </is>
      </c>
      <c r="T20" s="15" t="inlineStr">
        <is>
          <t>VALUES(</t>
        </is>
      </c>
      <c r="U20" s="15" t="inlineStr">
        <is>
          <t>579 , 8</t>
        </is>
      </c>
      <c r="V20" s="15" t="inlineStr">
        <is>
          <t>);</t>
        </is>
      </c>
      <c r="X20" s="18">
        <f>EXACT(TRIM(L20&amp;""),O20&amp;"")</f>
        <v/>
      </c>
      <c r="Y20" s="18">
        <f>EXACT(TRIM(E20&amp;""),P20&amp;"")</f>
        <v/>
      </c>
      <c r="Z20" s="18">
        <f>AND(X20:Y20)</f>
        <v/>
      </c>
      <c r="AA20" s="19">
        <f>TRIM(IF(X20,"",$X$3&amp;" ")&amp;IF(Y20,"",$Y$3&amp;" "))</f>
        <v/>
      </c>
      <c r="AB20" s="18">
        <f>EXACT(SUBSTITUTE(M20," ",""),SUBSTITUTE(R20&amp;S20&amp;T20&amp;U20&amp;V20," ",""))</f>
        <v/>
      </c>
    </row>
    <row r="21">
      <c r="A21" s="15" t="inlineStr">
        <is>
          <t>INSERT INTO CNF_UNIT_FILTERING_TBL SELECT UNIT_ID, 9 FROM MST_UNIT_TBL WHERE UNIT_CODE = 'LF002';</t>
        </is>
      </c>
      <c r="B21" s="16" t="n"/>
      <c r="C21" s="15" t="inlineStr">
        <is>
          <t>CNF_UNIT_FILTERING_TBL</t>
        </is>
      </c>
      <c r="D21" s="15" t="inlineStr">
        <is>
          <t>UNIT_ID</t>
        </is>
      </c>
      <c r="E21" s="15" t="inlineStr">
        <is>
          <t>9</t>
        </is>
      </c>
      <c r="F21" s="15" t="inlineStr">
        <is>
          <t>MST_UNIT_TBL</t>
        </is>
      </c>
      <c r="G21" s="15" t="inlineStr">
        <is>
          <t>UNIT_CODE</t>
        </is>
      </c>
      <c r="H21" s="15" t="inlineStr">
        <is>
          <t>LF002</t>
        </is>
      </c>
      <c r="J21" s="15" t="inlineStr">
        <is>
          <t>LF002</t>
        </is>
      </c>
      <c r="K21" s="15" t="inlineStr">
        <is>
          <t>監査部</t>
        </is>
      </c>
      <c r="L21" s="15" t="inlineStr">
        <is>
          <t>579</t>
        </is>
      </c>
      <c r="M21" s="19">
        <f>"INSERT INTO "&amp;C21&amp;" VALUES("&amp;L21&amp;" , "&amp;E21&amp;");"</f>
        <v/>
      </c>
      <c r="O21" s="17" t="inlineStr">
        <is>
          <t>579</t>
        </is>
      </c>
      <c r="P21" s="17" t="inlineStr">
        <is>
          <t>9</t>
        </is>
      </c>
      <c r="R21" s="15" t="inlineStr">
        <is>
          <t>INSERT INTO</t>
        </is>
      </c>
      <c r="S21" s="15" t="inlineStr">
        <is>
          <t>CNF_UNIT_FILTERING_TBL</t>
        </is>
      </c>
      <c r="T21" s="15" t="inlineStr">
        <is>
          <t>VALUES(</t>
        </is>
      </c>
      <c r="U21" s="15" t="inlineStr">
        <is>
          <t>579 , 9</t>
        </is>
      </c>
      <c r="V21" s="15" t="inlineStr">
        <is>
          <t>);</t>
        </is>
      </c>
      <c r="X21" s="18">
        <f>EXACT(TRIM(L21&amp;""),O21&amp;"")</f>
        <v/>
      </c>
      <c r="Y21" s="18">
        <f>EXACT(TRIM(E21&amp;""),P21&amp;"")</f>
        <v/>
      </c>
      <c r="Z21" s="18">
        <f>AND(X21:Y21)</f>
        <v/>
      </c>
      <c r="AA21" s="19">
        <f>TRIM(IF(X21,"",$X$3&amp;" ")&amp;IF(Y21,"",$Y$3&amp;" "))</f>
        <v/>
      </c>
      <c r="AB21" s="18">
        <f>EXACT(SUBSTITUTE(M21," ",""),SUBSTITUTE(R21&amp;S21&amp;T21&amp;U21&amp;V21," ",""))</f>
        <v/>
      </c>
    </row>
    <row r="22">
      <c r="A22" s="15" t="inlineStr">
        <is>
          <t>INSERT INTO CNF_UNIT_FILTERING_TBL SELECT UNIT_ID, 11 FROM MST_UNIT_TBL WHERE UNIT_CODE = 'LF002';</t>
        </is>
      </c>
      <c r="B22" s="16" t="n"/>
      <c r="C22" s="15" t="inlineStr">
        <is>
          <t>CNF_UNIT_FILTERING_TBL</t>
        </is>
      </c>
      <c r="D22" s="15" t="inlineStr">
        <is>
          <t>UNIT_ID</t>
        </is>
      </c>
      <c r="E22" s="15" t="inlineStr">
        <is>
          <t>11</t>
        </is>
      </c>
      <c r="F22" s="15" t="inlineStr">
        <is>
          <t>MST_UNIT_TBL</t>
        </is>
      </c>
      <c r="G22" s="15" t="inlineStr">
        <is>
          <t>UNIT_CODE</t>
        </is>
      </c>
      <c r="H22" s="15" t="inlineStr">
        <is>
          <t>LF002</t>
        </is>
      </c>
      <c r="J22" s="15" t="inlineStr">
        <is>
          <t>LF002</t>
        </is>
      </c>
      <c r="K22" s="15" t="inlineStr">
        <is>
          <t>監査部</t>
        </is>
      </c>
      <c r="L22" s="15" t="inlineStr">
        <is>
          <t>579</t>
        </is>
      </c>
      <c r="M22" s="19">
        <f>"INSERT INTO "&amp;C22&amp;" VALUES("&amp;L22&amp;" , "&amp;E22&amp;");"</f>
        <v/>
      </c>
      <c r="O22" s="17" t="inlineStr">
        <is>
          <t>579</t>
        </is>
      </c>
      <c r="P22" s="17" t="inlineStr">
        <is>
          <t>11</t>
        </is>
      </c>
      <c r="R22" s="15" t="inlineStr">
        <is>
          <t>INSERT INTO</t>
        </is>
      </c>
      <c r="S22" s="15" t="inlineStr">
        <is>
          <t>CNF_UNIT_FILTERING_TBL</t>
        </is>
      </c>
      <c r="T22" s="15" t="inlineStr">
        <is>
          <t>VALUES(</t>
        </is>
      </c>
      <c r="U22" s="15" t="inlineStr">
        <is>
          <t>579 , 11</t>
        </is>
      </c>
      <c r="V22" s="15" t="inlineStr">
        <is>
          <t>);</t>
        </is>
      </c>
      <c r="X22" s="18">
        <f>EXACT(TRIM(L22&amp;""),O22&amp;"")</f>
        <v/>
      </c>
      <c r="Y22" s="18">
        <f>EXACT(TRIM(E22&amp;""),P22&amp;"")</f>
        <v/>
      </c>
      <c r="Z22" s="18">
        <f>AND(X22:Y22)</f>
        <v/>
      </c>
      <c r="AA22" s="19">
        <f>TRIM(IF(X22,"",$X$3&amp;" ")&amp;IF(Y22,"",$Y$3&amp;" "))</f>
        <v/>
      </c>
      <c r="AB22" s="18">
        <f>EXACT(SUBSTITUTE(M22," ",""),SUBSTITUTE(R22&amp;S22&amp;T22&amp;U22&amp;V22," ",""))</f>
        <v/>
      </c>
    </row>
    <row r="23">
      <c r="A23" s="15" t="inlineStr">
        <is>
          <t>INSERT INTO CNF_UNIT_FILTERING_TBL SELECT UNIT_ID, 12 FROM MST_UNIT_TBL WHERE UNIT_CODE = 'LF002';</t>
        </is>
      </c>
      <c r="B23" s="16" t="n"/>
      <c r="C23" s="15" t="inlineStr">
        <is>
          <t>CNF_UNIT_FILTERING_TBL</t>
        </is>
      </c>
      <c r="D23" s="15" t="inlineStr">
        <is>
          <t>UNIT_ID</t>
        </is>
      </c>
      <c r="E23" s="15" t="inlineStr">
        <is>
          <t>12</t>
        </is>
      </c>
      <c r="F23" s="15" t="inlineStr">
        <is>
          <t>MST_UNIT_TBL</t>
        </is>
      </c>
      <c r="G23" s="15" t="inlineStr">
        <is>
          <t>UNIT_CODE</t>
        </is>
      </c>
      <c r="H23" s="15" t="inlineStr">
        <is>
          <t>LF002</t>
        </is>
      </c>
      <c r="J23" s="15" t="inlineStr">
        <is>
          <t>LF002</t>
        </is>
      </c>
      <c r="K23" s="15" t="inlineStr">
        <is>
          <t>監査部</t>
        </is>
      </c>
      <c r="L23" s="15" t="inlineStr">
        <is>
          <t>579</t>
        </is>
      </c>
      <c r="M23" s="19">
        <f>"INSERT INTO "&amp;C23&amp;" VALUES("&amp;L23&amp;" , "&amp;E23&amp;");"</f>
        <v/>
      </c>
      <c r="O23" s="17" t="inlineStr">
        <is>
          <t>579</t>
        </is>
      </c>
      <c r="P23" s="17" t="inlineStr">
        <is>
          <t>12</t>
        </is>
      </c>
      <c r="R23" s="15" t="inlineStr">
        <is>
          <t>INSERT INTO</t>
        </is>
      </c>
      <c r="S23" s="15" t="inlineStr">
        <is>
          <t>CNF_UNIT_FILTERING_TBL</t>
        </is>
      </c>
      <c r="T23" s="15" t="inlineStr">
        <is>
          <t>VALUES(</t>
        </is>
      </c>
      <c r="U23" s="15" t="inlineStr">
        <is>
          <t>579 , 12</t>
        </is>
      </c>
      <c r="V23" s="15" t="inlineStr">
        <is>
          <t>);</t>
        </is>
      </c>
      <c r="X23" s="18">
        <f>EXACT(TRIM(L23&amp;""),O23&amp;"")</f>
        <v/>
      </c>
      <c r="Y23" s="18">
        <f>EXACT(TRIM(E23&amp;""),P23&amp;"")</f>
        <v/>
      </c>
      <c r="Z23" s="18">
        <f>AND(X23:Y23)</f>
        <v/>
      </c>
      <c r="AA23" s="19">
        <f>TRIM(IF(X23,"",$X$3&amp;" ")&amp;IF(Y23,"",$Y$3&amp;" "))</f>
        <v/>
      </c>
      <c r="AB23" s="18">
        <f>EXACT(SUBSTITUTE(M23," ",""),SUBSTITUTE(R23&amp;S23&amp;T23&amp;U23&amp;V23," ",""))</f>
        <v/>
      </c>
    </row>
    <row r="24">
      <c r="A24" s="15" t="inlineStr">
        <is>
          <t>INSERT INTO CNF_UNIT_FILTERING_TBL SELECT UNIT_ID, 13 FROM MST_UNIT_TBL WHERE UNIT_CODE = 'LF002';</t>
        </is>
      </c>
      <c r="B24" s="16" t="n"/>
      <c r="C24" s="15" t="inlineStr">
        <is>
          <t>CNF_UNIT_FILTERING_TBL</t>
        </is>
      </c>
      <c r="D24" s="15" t="inlineStr">
        <is>
          <t>UNIT_ID</t>
        </is>
      </c>
      <c r="E24" s="15" t="inlineStr">
        <is>
          <t>13</t>
        </is>
      </c>
      <c r="F24" s="15" t="inlineStr">
        <is>
          <t>MST_UNIT_TBL</t>
        </is>
      </c>
      <c r="G24" s="15" t="inlineStr">
        <is>
          <t>UNIT_CODE</t>
        </is>
      </c>
      <c r="H24" s="15" t="inlineStr">
        <is>
          <t>LF002</t>
        </is>
      </c>
      <c r="J24" s="15" t="inlineStr">
        <is>
          <t>LF002</t>
        </is>
      </c>
      <c r="K24" s="15" t="inlineStr">
        <is>
          <t>監査部</t>
        </is>
      </c>
      <c r="L24" s="15" t="inlineStr">
        <is>
          <t>579</t>
        </is>
      </c>
      <c r="M24" s="19">
        <f>"INSERT INTO "&amp;C24&amp;" VALUES("&amp;L24&amp;" , "&amp;E24&amp;");"</f>
        <v/>
      </c>
      <c r="O24" s="17" t="inlineStr">
        <is>
          <t>579</t>
        </is>
      </c>
      <c r="P24" s="17" t="inlineStr">
        <is>
          <t>13</t>
        </is>
      </c>
      <c r="R24" s="15" t="inlineStr">
        <is>
          <t>INSERT INTO</t>
        </is>
      </c>
      <c r="S24" s="15" t="inlineStr">
        <is>
          <t>CNF_UNIT_FILTERING_TBL</t>
        </is>
      </c>
      <c r="T24" s="15" t="inlineStr">
        <is>
          <t>VALUES(</t>
        </is>
      </c>
      <c r="U24" s="15" t="inlineStr">
        <is>
          <t>579 , 13</t>
        </is>
      </c>
      <c r="V24" s="15" t="inlineStr">
        <is>
          <t>);</t>
        </is>
      </c>
      <c r="X24" s="18">
        <f>EXACT(TRIM(L24&amp;""),O24&amp;"")</f>
        <v/>
      </c>
      <c r="Y24" s="18">
        <f>EXACT(TRIM(E24&amp;""),P24&amp;"")</f>
        <v/>
      </c>
      <c r="Z24" s="18">
        <f>AND(X24:Y24)</f>
        <v/>
      </c>
      <c r="AA24" s="19">
        <f>TRIM(IF(X24,"",$X$3&amp;" ")&amp;IF(Y24,"",$Y$3&amp;" "))</f>
        <v/>
      </c>
      <c r="AB24" s="18">
        <f>EXACT(SUBSTITUTE(M24," ",""),SUBSTITUTE(R24&amp;S24&amp;T24&amp;U24&amp;V24," ",""))</f>
        <v/>
      </c>
    </row>
    <row r="25">
      <c r="A25" s="15" t="inlineStr">
        <is>
          <t>INSERT INTO CNF_UNIT_FILTERING_TBL SELECT UNIT_ID, 14 FROM MST_UNIT_TBL WHERE UNIT_CODE = 'LF002';</t>
        </is>
      </c>
      <c r="B25" s="16" t="n"/>
      <c r="C25" s="15" t="inlineStr">
        <is>
          <t>CNF_UNIT_FILTERING_TBL</t>
        </is>
      </c>
      <c r="D25" s="15" t="inlineStr">
        <is>
          <t>UNIT_ID</t>
        </is>
      </c>
      <c r="E25" s="15" t="inlineStr">
        <is>
          <t>14</t>
        </is>
      </c>
      <c r="F25" s="15" t="inlineStr">
        <is>
          <t>MST_UNIT_TBL</t>
        </is>
      </c>
      <c r="G25" s="15" t="inlineStr">
        <is>
          <t>UNIT_CODE</t>
        </is>
      </c>
      <c r="H25" s="15" t="inlineStr">
        <is>
          <t>LF002</t>
        </is>
      </c>
      <c r="J25" s="15" t="inlineStr">
        <is>
          <t>LF002</t>
        </is>
      </c>
      <c r="K25" s="15" t="inlineStr">
        <is>
          <t>監査部</t>
        </is>
      </c>
      <c r="L25" s="15" t="inlineStr">
        <is>
          <t>579</t>
        </is>
      </c>
      <c r="M25" s="19">
        <f>"INSERT INTO "&amp;C25&amp;" VALUES("&amp;L25&amp;" , "&amp;E25&amp;");"</f>
        <v/>
      </c>
      <c r="O25" s="17" t="inlineStr">
        <is>
          <t>579</t>
        </is>
      </c>
      <c r="P25" s="17" t="inlineStr">
        <is>
          <t>14</t>
        </is>
      </c>
      <c r="R25" s="15" t="inlineStr">
        <is>
          <t>INSERT INTO</t>
        </is>
      </c>
      <c r="S25" s="15" t="inlineStr">
        <is>
          <t>CNF_UNIT_FILTERING_TBL</t>
        </is>
      </c>
      <c r="T25" s="15" t="inlineStr">
        <is>
          <t>VALUES(</t>
        </is>
      </c>
      <c r="U25" s="15" t="inlineStr">
        <is>
          <t>579 , 14</t>
        </is>
      </c>
      <c r="V25" s="15" t="inlineStr">
        <is>
          <t>);</t>
        </is>
      </c>
      <c r="X25" s="18">
        <f>EXACT(TRIM(L25&amp;""),O25&amp;"")</f>
        <v/>
      </c>
      <c r="Y25" s="18">
        <f>EXACT(TRIM(E25&amp;""),P25&amp;"")</f>
        <v/>
      </c>
      <c r="Z25" s="18">
        <f>AND(X25:Y25)</f>
        <v/>
      </c>
      <c r="AA25" s="19">
        <f>TRIM(IF(X25,"",$X$3&amp;" ")&amp;IF(Y25,"",$Y$3&amp;" "))</f>
        <v/>
      </c>
      <c r="AB25" s="18">
        <f>EXACT(SUBSTITUTE(M25," ",""),SUBSTITUTE(R25&amp;S25&amp;T25&amp;U25&amp;V25," ",""))</f>
        <v/>
      </c>
    </row>
    <row r="26">
      <c r="A26" s="15" t="inlineStr">
        <is>
          <t>INSERT INTO CNF_UNIT_FILTERING_TBL SELECT UNIT_ID, 15 FROM MST_UNIT_TBL WHERE UNIT_CODE = 'LF002';</t>
        </is>
      </c>
      <c r="B26" s="16" t="n"/>
      <c r="C26" s="15" t="inlineStr">
        <is>
          <t>CNF_UNIT_FILTERING_TBL</t>
        </is>
      </c>
      <c r="D26" s="15" t="inlineStr">
        <is>
          <t>UNIT_ID</t>
        </is>
      </c>
      <c r="E26" s="15" t="inlineStr">
        <is>
          <t>15</t>
        </is>
      </c>
      <c r="F26" s="15" t="inlineStr">
        <is>
          <t>MST_UNIT_TBL</t>
        </is>
      </c>
      <c r="G26" s="15" t="inlineStr">
        <is>
          <t>UNIT_CODE</t>
        </is>
      </c>
      <c r="H26" s="15" t="inlineStr">
        <is>
          <t>LF002</t>
        </is>
      </c>
      <c r="J26" s="15" t="inlineStr">
        <is>
          <t>LF002</t>
        </is>
      </c>
      <c r="K26" s="15" t="inlineStr">
        <is>
          <t>監査部</t>
        </is>
      </c>
      <c r="L26" s="15" t="inlineStr">
        <is>
          <t>579</t>
        </is>
      </c>
      <c r="M26" s="19">
        <f>"INSERT INTO "&amp;C26&amp;" VALUES("&amp;L26&amp;" , "&amp;E26&amp;");"</f>
        <v/>
      </c>
      <c r="O26" s="17" t="inlineStr">
        <is>
          <t>579</t>
        </is>
      </c>
      <c r="P26" s="17" t="inlineStr">
        <is>
          <t>15</t>
        </is>
      </c>
      <c r="R26" s="15" t="inlineStr">
        <is>
          <t>INSERT INTO</t>
        </is>
      </c>
      <c r="S26" s="15" t="inlineStr">
        <is>
          <t>CNF_UNIT_FILTERING_TBL</t>
        </is>
      </c>
      <c r="T26" s="15" t="inlineStr">
        <is>
          <t>VALUES(</t>
        </is>
      </c>
      <c r="U26" s="15" t="inlineStr">
        <is>
          <t>579 , 15</t>
        </is>
      </c>
      <c r="V26" s="15" t="inlineStr">
        <is>
          <t>);</t>
        </is>
      </c>
      <c r="X26" s="18">
        <f>EXACT(TRIM(L26&amp;""),O26&amp;"")</f>
        <v/>
      </c>
      <c r="Y26" s="18">
        <f>EXACT(TRIM(E26&amp;""),P26&amp;"")</f>
        <v/>
      </c>
      <c r="Z26" s="18">
        <f>AND(X26:Y26)</f>
        <v/>
      </c>
      <c r="AA26" s="19">
        <f>TRIM(IF(X26,"",$X$3&amp;" ")&amp;IF(Y26,"",$Y$3&amp;" "))</f>
        <v/>
      </c>
      <c r="AB26" s="18">
        <f>EXACT(SUBSTITUTE(M26," ",""),SUBSTITUTE(R26&amp;S26&amp;T26&amp;U26&amp;V26," ",""))</f>
        <v/>
      </c>
    </row>
    <row r="27">
      <c r="A27" s="15" t="inlineStr">
        <is>
          <t>INSERT INTO CNF_UNIT_FILTERING_TBL SELECT UNIT_ID, 16 FROM MST_UNIT_TBL WHERE UNIT_CODE = 'LF002';</t>
        </is>
      </c>
      <c r="B27" s="16" t="n"/>
      <c r="C27" s="15" t="inlineStr">
        <is>
          <t>CNF_UNIT_FILTERING_TBL</t>
        </is>
      </c>
      <c r="D27" s="15" t="inlineStr">
        <is>
          <t>UNIT_ID</t>
        </is>
      </c>
      <c r="E27" s="15" t="inlineStr">
        <is>
          <t>16</t>
        </is>
      </c>
      <c r="F27" s="15" t="inlineStr">
        <is>
          <t>MST_UNIT_TBL</t>
        </is>
      </c>
      <c r="G27" s="15" t="inlineStr">
        <is>
          <t>UNIT_CODE</t>
        </is>
      </c>
      <c r="H27" s="15" t="inlineStr">
        <is>
          <t>LF002</t>
        </is>
      </c>
      <c r="J27" s="15" t="inlineStr">
        <is>
          <t>LF002</t>
        </is>
      </c>
      <c r="K27" s="15" t="inlineStr">
        <is>
          <t>監査部</t>
        </is>
      </c>
      <c r="L27" s="15" t="inlineStr">
        <is>
          <t>579</t>
        </is>
      </c>
      <c r="M27" s="19">
        <f>"INSERT INTO "&amp;C27&amp;" VALUES("&amp;L27&amp;" , "&amp;E27&amp;");"</f>
        <v/>
      </c>
      <c r="O27" s="17" t="inlineStr">
        <is>
          <t>579</t>
        </is>
      </c>
      <c r="P27" s="17" t="inlineStr">
        <is>
          <t>16</t>
        </is>
      </c>
      <c r="R27" s="15" t="inlineStr">
        <is>
          <t>INSERT INTO</t>
        </is>
      </c>
      <c r="S27" s="15" t="inlineStr">
        <is>
          <t>CNF_UNIT_FILTERING_TBL</t>
        </is>
      </c>
      <c r="T27" s="15" t="inlineStr">
        <is>
          <t>VALUES(</t>
        </is>
      </c>
      <c r="U27" s="15" t="inlineStr">
        <is>
          <t>579 , 16</t>
        </is>
      </c>
      <c r="V27" s="15" t="inlineStr">
        <is>
          <t>);</t>
        </is>
      </c>
      <c r="X27" s="18">
        <f>EXACT(TRIM(L27&amp;""),O27&amp;"")</f>
        <v/>
      </c>
      <c r="Y27" s="18">
        <f>EXACT(TRIM(E27&amp;""),P27&amp;"")</f>
        <v/>
      </c>
      <c r="Z27" s="18">
        <f>AND(X27:Y27)</f>
        <v/>
      </c>
      <c r="AA27" s="19">
        <f>TRIM(IF(X27,"",$X$3&amp;" ")&amp;IF(Y27,"",$Y$3&amp;" "))</f>
        <v/>
      </c>
      <c r="AB27" s="18">
        <f>EXACT(SUBSTITUTE(M27," ",""),SUBSTITUTE(R27&amp;S27&amp;T27&amp;U27&amp;V27," ",""))</f>
        <v/>
      </c>
    </row>
    <row r="28">
      <c r="A28" s="15" t="inlineStr">
        <is>
          <t>INSERT INTO CNF_UNIT_FILTERING_TBL SELECT UNIT_ID, 1 FROM MST_UNIT_TBL WHERE UNIT_CODE = 'LF003';</t>
        </is>
      </c>
      <c r="B28" s="16" t="n"/>
      <c r="C28" s="15" t="inlineStr">
        <is>
          <t>CNF_UNIT_FILTERING_TBL</t>
        </is>
      </c>
      <c r="D28" s="15" t="inlineStr">
        <is>
          <t>UNIT_ID</t>
        </is>
      </c>
      <c r="E28" s="15" t="inlineStr">
        <is>
          <t>1</t>
        </is>
      </c>
      <c r="F28" s="15" t="inlineStr">
        <is>
          <t>MST_UNIT_TBL</t>
        </is>
      </c>
      <c r="G28" s="15" t="inlineStr">
        <is>
          <t>UNIT_CODE</t>
        </is>
      </c>
      <c r="H28" s="15" t="inlineStr">
        <is>
          <t>LF003</t>
        </is>
      </c>
      <c r="J28" s="15" t="inlineStr">
        <is>
          <t>LF003</t>
        </is>
      </c>
      <c r="K28" s="15" t="inlineStr">
        <is>
          <t>経営企画部</t>
        </is>
      </c>
      <c r="L28" s="15" t="inlineStr">
        <is>
          <t>580</t>
        </is>
      </c>
      <c r="M28" s="19">
        <f>"INSERT INTO "&amp;C28&amp;" VALUES("&amp;L28&amp;" , "&amp;E28&amp;");"</f>
        <v/>
      </c>
      <c r="O28" s="17" t="inlineStr">
        <is>
          <t>580</t>
        </is>
      </c>
      <c r="P28" s="17" t="inlineStr">
        <is>
          <t>1</t>
        </is>
      </c>
      <c r="R28" s="15" t="inlineStr">
        <is>
          <t>INSERT INTO</t>
        </is>
      </c>
      <c r="S28" s="15" t="inlineStr">
        <is>
          <t>CNF_UNIT_FILTERING_TBL</t>
        </is>
      </c>
      <c r="T28" s="15" t="inlineStr">
        <is>
          <t>VALUES(</t>
        </is>
      </c>
      <c r="U28" s="15" t="inlineStr">
        <is>
          <t>580 , 1</t>
        </is>
      </c>
      <c r="V28" s="15" t="inlineStr">
        <is>
          <t>);</t>
        </is>
      </c>
      <c r="X28" s="18">
        <f>EXACT(TRIM(L28&amp;""),O28&amp;"")</f>
        <v/>
      </c>
      <c r="Y28" s="18">
        <f>EXACT(TRIM(E28&amp;""),P28&amp;"")</f>
        <v/>
      </c>
      <c r="Z28" s="18">
        <f>AND(X28:Y28)</f>
        <v/>
      </c>
      <c r="AA28" s="19">
        <f>TRIM(IF(X28,"",$X$3&amp;" ")&amp;IF(Y28,"",$Y$3&amp;" "))</f>
        <v/>
      </c>
      <c r="AB28" s="18">
        <f>EXACT(SUBSTITUTE(M28," ",""),SUBSTITUTE(R28&amp;S28&amp;T28&amp;U28&amp;V28," ",""))</f>
        <v/>
      </c>
    </row>
    <row r="29">
      <c r="A29" s="15" t="inlineStr">
        <is>
          <t>INSERT INTO CNF_UNIT_FILTERING_TBL SELECT UNIT_ID, 4 FROM MST_UNIT_TBL WHERE UNIT_CODE = 'LF003';</t>
        </is>
      </c>
      <c r="B29" s="16" t="n"/>
      <c r="C29" s="15" t="inlineStr">
        <is>
          <t>CNF_UNIT_FILTERING_TBL</t>
        </is>
      </c>
      <c r="D29" s="15" t="inlineStr">
        <is>
          <t>UNIT_ID</t>
        </is>
      </c>
      <c r="E29" s="15" t="inlineStr">
        <is>
          <t>4</t>
        </is>
      </c>
      <c r="F29" s="15" t="inlineStr">
        <is>
          <t>MST_UNIT_TBL</t>
        </is>
      </c>
      <c r="G29" s="15" t="inlineStr">
        <is>
          <t>UNIT_CODE</t>
        </is>
      </c>
      <c r="H29" s="15" t="inlineStr">
        <is>
          <t>LF003</t>
        </is>
      </c>
      <c r="J29" s="15" t="inlineStr">
        <is>
          <t>LF003</t>
        </is>
      </c>
      <c r="K29" s="15" t="inlineStr">
        <is>
          <t>経営企画部</t>
        </is>
      </c>
      <c r="L29" s="15" t="inlineStr">
        <is>
          <t>580</t>
        </is>
      </c>
      <c r="M29" s="19">
        <f>"INSERT INTO "&amp;C29&amp;" VALUES("&amp;L29&amp;" , "&amp;E29&amp;");"</f>
        <v/>
      </c>
      <c r="O29" s="17" t="inlineStr">
        <is>
          <t>580</t>
        </is>
      </c>
      <c r="P29" s="17" t="inlineStr">
        <is>
          <t>4</t>
        </is>
      </c>
      <c r="R29" s="15" t="inlineStr">
        <is>
          <t>INSERT INTO</t>
        </is>
      </c>
      <c r="S29" s="15" t="inlineStr">
        <is>
          <t>CNF_UNIT_FILTERING_TBL</t>
        </is>
      </c>
      <c r="T29" s="15" t="inlineStr">
        <is>
          <t>VALUES(</t>
        </is>
      </c>
      <c r="U29" s="15" t="inlineStr">
        <is>
          <t>580 , 4</t>
        </is>
      </c>
      <c r="V29" s="15" t="inlineStr">
        <is>
          <t>);</t>
        </is>
      </c>
      <c r="X29" s="18">
        <f>EXACT(TRIM(L29&amp;""),O29&amp;"")</f>
        <v/>
      </c>
      <c r="Y29" s="18">
        <f>EXACT(TRIM(E29&amp;""),P29&amp;"")</f>
        <v/>
      </c>
      <c r="Z29" s="18">
        <f>AND(X29:Y29)</f>
        <v/>
      </c>
      <c r="AA29" s="19">
        <f>TRIM(IF(X29,"",$X$3&amp;" ")&amp;IF(Y29,"",$Y$3&amp;" "))</f>
        <v/>
      </c>
      <c r="AB29" s="18">
        <f>EXACT(SUBSTITUTE(M29," ",""),SUBSTITUTE(R29&amp;S29&amp;T29&amp;U29&amp;V29," ",""))</f>
        <v/>
      </c>
    </row>
    <row r="30">
      <c r="A30" s="15" t="inlineStr">
        <is>
          <t>INSERT INTO CNF_UNIT_FILTERING_TBL SELECT UNIT_ID, 5 FROM MST_UNIT_TBL WHERE UNIT_CODE = 'LF003';</t>
        </is>
      </c>
      <c r="B30" s="16" t="n"/>
      <c r="C30" s="15" t="inlineStr">
        <is>
          <t>CNF_UNIT_FILTERING_TBL</t>
        </is>
      </c>
      <c r="D30" s="15" t="inlineStr">
        <is>
          <t>UNIT_ID</t>
        </is>
      </c>
      <c r="E30" s="15" t="inlineStr">
        <is>
          <t>5</t>
        </is>
      </c>
      <c r="F30" s="15" t="inlineStr">
        <is>
          <t>MST_UNIT_TBL</t>
        </is>
      </c>
      <c r="G30" s="15" t="inlineStr">
        <is>
          <t>UNIT_CODE</t>
        </is>
      </c>
      <c r="H30" s="15" t="inlineStr">
        <is>
          <t>LF003</t>
        </is>
      </c>
      <c r="J30" s="15" t="inlineStr">
        <is>
          <t>LF003</t>
        </is>
      </c>
      <c r="K30" s="15" t="inlineStr">
        <is>
          <t>経営企画部</t>
        </is>
      </c>
      <c r="L30" s="15" t="inlineStr">
        <is>
          <t>580</t>
        </is>
      </c>
      <c r="M30" s="19">
        <f>"INSERT INTO "&amp;C30&amp;" VALUES("&amp;L30&amp;" , "&amp;E30&amp;");"</f>
        <v/>
      </c>
      <c r="O30" s="17" t="inlineStr">
        <is>
          <t>580</t>
        </is>
      </c>
      <c r="P30" s="17" t="inlineStr">
        <is>
          <t>5</t>
        </is>
      </c>
      <c r="R30" s="15" t="inlineStr">
        <is>
          <t>INSERT INTO</t>
        </is>
      </c>
      <c r="S30" s="15" t="inlineStr">
        <is>
          <t>CNF_UNIT_FILTERING_TBL</t>
        </is>
      </c>
      <c r="T30" s="15" t="inlineStr">
        <is>
          <t>VALUES(</t>
        </is>
      </c>
      <c r="U30" s="15" t="inlineStr">
        <is>
          <t>580 , 5</t>
        </is>
      </c>
      <c r="V30" s="15" t="inlineStr">
        <is>
          <t>);</t>
        </is>
      </c>
      <c r="X30" s="18">
        <f>EXACT(TRIM(L30&amp;""),O30&amp;"")</f>
        <v/>
      </c>
      <c r="Y30" s="18">
        <f>EXACT(TRIM(E30&amp;""),P30&amp;"")</f>
        <v/>
      </c>
      <c r="Z30" s="18">
        <f>AND(X30:Y30)</f>
        <v/>
      </c>
      <c r="AA30" s="19">
        <f>TRIM(IF(X30,"",$X$3&amp;" ")&amp;IF(Y30,"",$Y$3&amp;" "))</f>
        <v/>
      </c>
      <c r="AB30" s="18">
        <f>EXACT(SUBSTITUTE(M30," ",""),SUBSTITUTE(R30&amp;S30&amp;T30&amp;U30&amp;V30," ",""))</f>
        <v/>
      </c>
    </row>
    <row r="31">
      <c r="A31" s="15" t="inlineStr">
        <is>
          <t>INSERT INTO CNF_UNIT_FILTERING_TBL SELECT UNIT_ID, 7 FROM MST_UNIT_TBL WHERE UNIT_CODE = 'LF003';</t>
        </is>
      </c>
      <c r="B31" s="16" t="n"/>
      <c r="C31" s="15" t="inlineStr">
        <is>
          <t>CNF_UNIT_FILTERING_TBL</t>
        </is>
      </c>
      <c r="D31" s="15" t="inlineStr">
        <is>
          <t>UNIT_ID</t>
        </is>
      </c>
      <c r="E31" s="15" t="inlineStr">
        <is>
          <t>7</t>
        </is>
      </c>
      <c r="F31" s="15" t="inlineStr">
        <is>
          <t>MST_UNIT_TBL</t>
        </is>
      </c>
      <c r="G31" s="15" t="inlineStr">
        <is>
          <t>UNIT_CODE</t>
        </is>
      </c>
      <c r="H31" s="15" t="inlineStr">
        <is>
          <t>LF003</t>
        </is>
      </c>
      <c r="J31" s="15" t="inlineStr">
        <is>
          <t>LF003</t>
        </is>
      </c>
      <c r="K31" s="15" t="inlineStr">
        <is>
          <t>経営企画部</t>
        </is>
      </c>
      <c r="L31" s="15" t="inlineStr">
        <is>
          <t>580</t>
        </is>
      </c>
      <c r="M31" s="19">
        <f>"INSERT INTO "&amp;C31&amp;" VALUES("&amp;L31&amp;" , "&amp;E31&amp;");"</f>
        <v/>
      </c>
      <c r="O31" s="17" t="inlineStr">
        <is>
          <t>580</t>
        </is>
      </c>
      <c r="P31" s="17" t="inlineStr">
        <is>
          <t>7</t>
        </is>
      </c>
      <c r="R31" s="15" t="inlineStr">
        <is>
          <t>INSERT INTO</t>
        </is>
      </c>
      <c r="S31" s="15" t="inlineStr">
        <is>
          <t>CNF_UNIT_FILTERING_TBL</t>
        </is>
      </c>
      <c r="T31" s="15" t="inlineStr">
        <is>
          <t>VALUES(</t>
        </is>
      </c>
      <c r="U31" s="15" t="inlineStr">
        <is>
          <t>580 , 7</t>
        </is>
      </c>
      <c r="V31" s="15" t="inlineStr">
        <is>
          <t>);</t>
        </is>
      </c>
      <c r="X31" s="18">
        <f>EXACT(TRIM(L31&amp;""),O31&amp;"")</f>
        <v/>
      </c>
      <c r="Y31" s="18">
        <f>EXACT(TRIM(E31&amp;""),P31&amp;"")</f>
        <v/>
      </c>
      <c r="Z31" s="18">
        <f>AND(X31:Y31)</f>
        <v/>
      </c>
      <c r="AA31" s="19">
        <f>TRIM(IF(X31,"",$X$3&amp;" ")&amp;IF(Y31,"",$Y$3&amp;" "))</f>
        <v/>
      </c>
      <c r="AB31" s="18">
        <f>EXACT(SUBSTITUTE(M31," ",""),SUBSTITUTE(R31&amp;S31&amp;T31&amp;U31&amp;V31," ",""))</f>
        <v/>
      </c>
    </row>
    <row r="32">
      <c r="A32" s="15" t="inlineStr">
        <is>
          <t>INSERT INTO CNF_UNIT_FILTERING_TBL SELECT UNIT_ID, 8 FROM MST_UNIT_TBL WHERE UNIT_CODE = 'LF003';</t>
        </is>
      </c>
      <c r="B32" s="16" t="n"/>
      <c r="C32" s="15" t="inlineStr">
        <is>
          <t>CNF_UNIT_FILTERING_TBL</t>
        </is>
      </c>
      <c r="D32" s="15" t="inlineStr">
        <is>
          <t>UNIT_ID</t>
        </is>
      </c>
      <c r="E32" s="15" t="inlineStr">
        <is>
          <t>8</t>
        </is>
      </c>
      <c r="F32" s="15" t="inlineStr">
        <is>
          <t>MST_UNIT_TBL</t>
        </is>
      </c>
      <c r="G32" s="15" t="inlineStr">
        <is>
          <t>UNIT_CODE</t>
        </is>
      </c>
      <c r="H32" s="15" t="inlineStr">
        <is>
          <t>LF003</t>
        </is>
      </c>
      <c r="J32" s="15" t="inlineStr">
        <is>
          <t>LF003</t>
        </is>
      </c>
      <c r="K32" s="15" t="inlineStr">
        <is>
          <t>経営企画部</t>
        </is>
      </c>
      <c r="L32" s="15" t="inlineStr">
        <is>
          <t>580</t>
        </is>
      </c>
      <c r="M32" s="19">
        <f>"INSERT INTO "&amp;C32&amp;" VALUES("&amp;L32&amp;" , "&amp;E32&amp;");"</f>
        <v/>
      </c>
      <c r="O32" s="17" t="inlineStr">
        <is>
          <t>580</t>
        </is>
      </c>
      <c r="P32" s="17" t="inlineStr">
        <is>
          <t>8</t>
        </is>
      </c>
      <c r="R32" s="15" t="inlineStr">
        <is>
          <t>INSERT INTO</t>
        </is>
      </c>
      <c r="S32" s="15" t="inlineStr">
        <is>
          <t>CNF_UNIT_FILTERING_TBL</t>
        </is>
      </c>
      <c r="T32" s="15" t="inlineStr">
        <is>
          <t>VALUES(</t>
        </is>
      </c>
      <c r="U32" s="15" t="inlineStr">
        <is>
          <t>580 , 8</t>
        </is>
      </c>
      <c r="V32" s="15" t="inlineStr">
        <is>
          <t>);</t>
        </is>
      </c>
      <c r="X32" s="18">
        <f>EXACT(TRIM(L32&amp;""),O32&amp;"")</f>
        <v/>
      </c>
      <c r="Y32" s="18">
        <f>EXACT(TRIM(E32&amp;""),P32&amp;"")</f>
        <v/>
      </c>
      <c r="Z32" s="18">
        <f>AND(X32:Y32)</f>
        <v/>
      </c>
      <c r="AA32" s="19">
        <f>TRIM(IF(X32,"",$X$3&amp;" ")&amp;IF(Y32,"",$Y$3&amp;" "))</f>
        <v/>
      </c>
      <c r="AB32" s="18">
        <f>EXACT(SUBSTITUTE(M32," ",""),SUBSTITUTE(R32&amp;S32&amp;T32&amp;U32&amp;V32," ",""))</f>
        <v/>
      </c>
    </row>
    <row r="33">
      <c r="A33" s="15" t="inlineStr">
        <is>
          <t>INSERT INTO CNF_UNIT_FILTERING_TBL SELECT UNIT_ID, 9 FROM MST_UNIT_TBL WHERE UNIT_CODE = 'LF003';</t>
        </is>
      </c>
      <c r="B33" s="16" t="n"/>
      <c r="C33" s="15" t="inlineStr">
        <is>
          <t>CNF_UNIT_FILTERING_TBL</t>
        </is>
      </c>
      <c r="D33" s="15" t="inlineStr">
        <is>
          <t>UNIT_ID</t>
        </is>
      </c>
      <c r="E33" s="15" t="inlineStr">
        <is>
          <t>9</t>
        </is>
      </c>
      <c r="F33" s="15" t="inlineStr">
        <is>
          <t>MST_UNIT_TBL</t>
        </is>
      </c>
      <c r="G33" s="15" t="inlineStr">
        <is>
          <t>UNIT_CODE</t>
        </is>
      </c>
      <c r="H33" s="15" t="inlineStr">
        <is>
          <t>LF003</t>
        </is>
      </c>
      <c r="J33" s="15" t="inlineStr">
        <is>
          <t>LF003</t>
        </is>
      </c>
      <c r="K33" s="15" t="inlineStr">
        <is>
          <t>経営企画部</t>
        </is>
      </c>
      <c r="L33" s="15" t="inlineStr">
        <is>
          <t>580</t>
        </is>
      </c>
      <c r="M33" s="19">
        <f>"INSERT INTO "&amp;C33&amp;" VALUES("&amp;L33&amp;" , "&amp;E33&amp;");"</f>
        <v/>
      </c>
      <c r="O33" s="17" t="inlineStr">
        <is>
          <t>580</t>
        </is>
      </c>
      <c r="P33" s="17" t="inlineStr">
        <is>
          <t>9</t>
        </is>
      </c>
      <c r="R33" s="15" t="inlineStr">
        <is>
          <t>INSERT INTO</t>
        </is>
      </c>
      <c r="S33" s="15" t="inlineStr">
        <is>
          <t>CNF_UNIT_FILTERING_TBL</t>
        </is>
      </c>
      <c r="T33" s="15" t="inlineStr">
        <is>
          <t>VALUES(</t>
        </is>
      </c>
      <c r="U33" s="15" t="inlineStr">
        <is>
          <t>580 , 9</t>
        </is>
      </c>
      <c r="V33" s="15" t="inlineStr">
        <is>
          <t>);</t>
        </is>
      </c>
      <c r="X33" s="18">
        <f>EXACT(TRIM(L33&amp;""),O33&amp;"")</f>
        <v/>
      </c>
      <c r="Y33" s="18">
        <f>EXACT(TRIM(E33&amp;""),P33&amp;"")</f>
        <v/>
      </c>
      <c r="Z33" s="18">
        <f>AND(X33:Y33)</f>
        <v/>
      </c>
      <c r="AA33" s="19">
        <f>TRIM(IF(X33,"",$X$3&amp;" ")&amp;IF(Y33,"",$Y$3&amp;" "))</f>
        <v/>
      </c>
      <c r="AB33" s="18">
        <f>EXACT(SUBSTITUTE(M33," ",""),SUBSTITUTE(R33&amp;S33&amp;T33&amp;U33&amp;V33," ",""))</f>
        <v/>
      </c>
    </row>
    <row r="34">
      <c r="A34" s="15" t="inlineStr">
        <is>
          <t>INSERT INTO CNF_UNIT_FILTERING_TBL SELECT UNIT_ID, 11 FROM MST_UNIT_TBL WHERE UNIT_CODE = 'LF003';</t>
        </is>
      </c>
      <c r="B34" s="16" t="n"/>
      <c r="C34" s="15" t="inlineStr">
        <is>
          <t>CNF_UNIT_FILTERING_TBL</t>
        </is>
      </c>
      <c r="D34" s="15" t="inlineStr">
        <is>
          <t>UNIT_ID</t>
        </is>
      </c>
      <c r="E34" s="15" t="inlineStr">
        <is>
          <t>11</t>
        </is>
      </c>
      <c r="F34" s="15" t="inlineStr">
        <is>
          <t>MST_UNIT_TBL</t>
        </is>
      </c>
      <c r="G34" s="15" t="inlineStr">
        <is>
          <t>UNIT_CODE</t>
        </is>
      </c>
      <c r="H34" s="15" t="inlineStr">
        <is>
          <t>LF003</t>
        </is>
      </c>
      <c r="J34" s="15" t="inlineStr">
        <is>
          <t>LF003</t>
        </is>
      </c>
      <c r="K34" s="15" t="inlineStr">
        <is>
          <t>経営企画部</t>
        </is>
      </c>
      <c r="L34" s="15" t="inlineStr">
        <is>
          <t>580</t>
        </is>
      </c>
      <c r="M34" s="19">
        <f>"INSERT INTO "&amp;C34&amp;" VALUES("&amp;L34&amp;" , "&amp;E34&amp;");"</f>
        <v/>
      </c>
      <c r="O34" s="17" t="inlineStr">
        <is>
          <t>580</t>
        </is>
      </c>
      <c r="P34" s="17" t="inlineStr">
        <is>
          <t>11</t>
        </is>
      </c>
      <c r="R34" s="15" t="inlineStr">
        <is>
          <t>INSERT INTO</t>
        </is>
      </c>
      <c r="S34" s="15" t="inlineStr">
        <is>
          <t>CNF_UNIT_FILTERING_TBL</t>
        </is>
      </c>
      <c r="T34" s="15" t="inlineStr">
        <is>
          <t>VALUES(</t>
        </is>
      </c>
      <c r="U34" s="15" t="inlineStr">
        <is>
          <t>580 , 11</t>
        </is>
      </c>
      <c r="V34" s="15" t="inlineStr">
        <is>
          <t>);</t>
        </is>
      </c>
      <c r="X34" s="18">
        <f>EXACT(TRIM(L34&amp;""),O34&amp;"")</f>
        <v/>
      </c>
      <c r="Y34" s="18">
        <f>EXACT(TRIM(E34&amp;""),P34&amp;"")</f>
        <v/>
      </c>
      <c r="Z34" s="18">
        <f>AND(X34:Y34)</f>
        <v/>
      </c>
      <c r="AA34" s="19">
        <f>TRIM(IF(X34,"",$X$3&amp;" ")&amp;IF(Y34,"",$Y$3&amp;" "))</f>
        <v/>
      </c>
      <c r="AB34" s="18">
        <f>EXACT(SUBSTITUTE(M34," ",""),SUBSTITUTE(R34&amp;S34&amp;T34&amp;U34&amp;V34," ",""))</f>
        <v/>
      </c>
    </row>
    <row r="35">
      <c r="A35" s="15" t="inlineStr">
        <is>
          <t>INSERT INTO CNF_UNIT_FILTERING_TBL SELECT UNIT_ID, 12 FROM MST_UNIT_TBL WHERE UNIT_CODE = 'LF003';</t>
        </is>
      </c>
      <c r="B35" s="16" t="n"/>
      <c r="C35" s="15" t="inlineStr">
        <is>
          <t>CNF_UNIT_FILTERING_TBL</t>
        </is>
      </c>
      <c r="D35" s="15" t="inlineStr">
        <is>
          <t>UNIT_ID</t>
        </is>
      </c>
      <c r="E35" s="15" t="inlineStr">
        <is>
          <t>12</t>
        </is>
      </c>
      <c r="F35" s="15" t="inlineStr">
        <is>
          <t>MST_UNIT_TBL</t>
        </is>
      </c>
      <c r="G35" s="15" t="inlineStr">
        <is>
          <t>UNIT_CODE</t>
        </is>
      </c>
      <c r="H35" s="15" t="inlineStr">
        <is>
          <t>LF003</t>
        </is>
      </c>
      <c r="J35" s="15" t="inlineStr">
        <is>
          <t>LF003</t>
        </is>
      </c>
      <c r="K35" s="15" t="inlineStr">
        <is>
          <t>経営企画部</t>
        </is>
      </c>
      <c r="L35" s="15" t="inlineStr">
        <is>
          <t>580</t>
        </is>
      </c>
      <c r="M35" s="19">
        <f>"INSERT INTO "&amp;C35&amp;" VALUES("&amp;L35&amp;" , "&amp;E35&amp;");"</f>
        <v/>
      </c>
      <c r="O35" s="17" t="inlineStr">
        <is>
          <t>580</t>
        </is>
      </c>
      <c r="P35" s="17" t="inlineStr">
        <is>
          <t>12</t>
        </is>
      </c>
      <c r="R35" s="15" t="inlineStr">
        <is>
          <t>INSERT INTO</t>
        </is>
      </c>
      <c r="S35" s="15" t="inlineStr">
        <is>
          <t>CNF_UNIT_FILTERING_TBL</t>
        </is>
      </c>
      <c r="T35" s="15" t="inlineStr">
        <is>
          <t>VALUES(</t>
        </is>
      </c>
      <c r="U35" s="15" t="inlineStr">
        <is>
          <t>580 , 12</t>
        </is>
      </c>
      <c r="V35" s="15" t="inlineStr">
        <is>
          <t>);</t>
        </is>
      </c>
      <c r="X35" s="18">
        <f>EXACT(TRIM(L35&amp;""),O35&amp;"")</f>
        <v/>
      </c>
      <c r="Y35" s="18">
        <f>EXACT(TRIM(E35&amp;""),P35&amp;"")</f>
        <v/>
      </c>
      <c r="Z35" s="18">
        <f>AND(X35:Y35)</f>
        <v/>
      </c>
      <c r="AA35" s="19">
        <f>TRIM(IF(X35,"",$X$3&amp;" ")&amp;IF(Y35,"",$Y$3&amp;" "))</f>
        <v/>
      </c>
      <c r="AB35" s="18">
        <f>EXACT(SUBSTITUTE(M35," ",""),SUBSTITUTE(R35&amp;S35&amp;T35&amp;U35&amp;V35," ",""))</f>
        <v/>
      </c>
    </row>
    <row r="36">
      <c r="A36" s="15" t="inlineStr">
        <is>
          <t>INSERT INTO CNF_UNIT_FILTERING_TBL SELECT UNIT_ID, 13 FROM MST_UNIT_TBL WHERE UNIT_CODE = 'LF003';</t>
        </is>
      </c>
      <c r="B36" s="16" t="n"/>
      <c r="C36" s="15" t="inlineStr">
        <is>
          <t>CNF_UNIT_FILTERING_TBL</t>
        </is>
      </c>
      <c r="D36" s="15" t="inlineStr">
        <is>
          <t>UNIT_ID</t>
        </is>
      </c>
      <c r="E36" s="15" t="inlineStr">
        <is>
          <t>13</t>
        </is>
      </c>
      <c r="F36" s="15" t="inlineStr">
        <is>
          <t>MST_UNIT_TBL</t>
        </is>
      </c>
      <c r="G36" s="15" t="inlineStr">
        <is>
          <t>UNIT_CODE</t>
        </is>
      </c>
      <c r="H36" s="15" t="inlineStr">
        <is>
          <t>LF003</t>
        </is>
      </c>
      <c r="J36" s="15" t="inlineStr">
        <is>
          <t>LF003</t>
        </is>
      </c>
      <c r="K36" s="15" t="inlineStr">
        <is>
          <t>経営企画部</t>
        </is>
      </c>
      <c r="L36" s="15" t="inlineStr">
        <is>
          <t>580</t>
        </is>
      </c>
      <c r="M36" s="19">
        <f>"INSERT INTO "&amp;C36&amp;" VALUES("&amp;L36&amp;" , "&amp;E36&amp;");"</f>
        <v/>
      </c>
      <c r="O36" s="17" t="inlineStr">
        <is>
          <t>580</t>
        </is>
      </c>
      <c r="P36" s="17" t="inlineStr">
        <is>
          <t>13</t>
        </is>
      </c>
      <c r="R36" s="15" t="inlineStr">
        <is>
          <t>INSERT INTO</t>
        </is>
      </c>
      <c r="S36" s="15" t="inlineStr">
        <is>
          <t>CNF_UNIT_FILTERING_TBL</t>
        </is>
      </c>
      <c r="T36" s="15" t="inlineStr">
        <is>
          <t>VALUES(</t>
        </is>
      </c>
      <c r="U36" s="15" t="inlineStr">
        <is>
          <t>580 , 13</t>
        </is>
      </c>
      <c r="V36" s="15" t="inlineStr">
        <is>
          <t>);</t>
        </is>
      </c>
      <c r="X36" s="18">
        <f>EXACT(TRIM(L36&amp;""),O36&amp;"")</f>
        <v/>
      </c>
      <c r="Y36" s="18">
        <f>EXACT(TRIM(E36&amp;""),P36&amp;"")</f>
        <v/>
      </c>
      <c r="Z36" s="18">
        <f>AND(X36:Y36)</f>
        <v/>
      </c>
      <c r="AA36" s="19">
        <f>TRIM(IF(X36,"",$X$3&amp;" ")&amp;IF(Y36,"",$Y$3&amp;" "))</f>
        <v/>
      </c>
      <c r="AB36" s="18">
        <f>EXACT(SUBSTITUTE(M36," ",""),SUBSTITUTE(R36&amp;S36&amp;T36&amp;U36&amp;V36," ",""))</f>
        <v/>
      </c>
    </row>
    <row r="37">
      <c r="A37" s="15" t="inlineStr">
        <is>
          <t>INSERT INTO CNF_UNIT_FILTERING_TBL SELECT UNIT_ID, 14 FROM MST_UNIT_TBL WHERE UNIT_CODE = 'LF003';</t>
        </is>
      </c>
      <c r="B37" s="16" t="n"/>
      <c r="C37" s="15" t="inlineStr">
        <is>
          <t>CNF_UNIT_FILTERING_TBL</t>
        </is>
      </c>
      <c r="D37" s="15" t="inlineStr">
        <is>
          <t>UNIT_ID</t>
        </is>
      </c>
      <c r="E37" s="15" t="inlineStr">
        <is>
          <t>14</t>
        </is>
      </c>
      <c r="F37" s="15" t="inlineStr">
        <is>
          <t>MST_UNIT_TBL</t>
        </is>
      </c>
      <c r="G37" s="15" t="inlineStr">
        <is>
          <t>UNIT_CODE</t>
        </is>
      </c>
      <c r="H37" s="15" t="inlineStr">
        <is>
          <t>LF003</t>
        </is>
      </c>
      <c r="J37" s="15" t="inlineStr">
        <is>
          <t>LF003</t>
        </is>
      </c>
      <c r="K37" s="15" t="inlineStr">
        <is>
          <t>経営企画部</t>
        </is>
      </c>
      <c r="L37" s="15" t="inlineStr">
        <is>
          <t>580</t>
        </is>
      </c>
      <c r="M37" s="19">
        <f>"INSERT INTO "&amp;C37&amp;" VALUES("&amp;L37&amp;" , "&amp;E37&amp;");"</f>
        <v/>
      </c>
      <c r="O37" s="17" t="inlineStr">
        <is>
          <t>580</t>
        </is>
      </c>
      <c r="P37" s="17" t="inlineStr">
        <is>
          <t>14</t>
        </is>
      </c>
      <c r="R37" s="15" t="inlineStr">
        <is>
          <t>INSERT INTO</t>
        </is>
      </c>
      <c r="S37" s="15" t="inlineStr">
        <is>
          <t>CNF_UNIT_FILTERING_TBL</t>
        </is>
      </c>
      <c r="T37" s="15" t="inlineStr">
        <is>
          <t>VALUES(</t>
        </is>
      </c>
      <c r="U37" s="15" t="inlineStr">
        <is>
          <t>580 , 14</t>
        </is>
      </c>
      <c r="V37" s="15" t="inlineStr">
        <is>
          <t>);</t>
        </is>
      </c>
      <c r="X37" s="18">
        <f>EXACT(TRIM(L37&amp;""),O37&amp;"")</f>
        <v/>
      </c>
      <c r="Y37" s="18">
        <f>EXACT(TRIM(E37&amp;""),P37&amp;"")</f>
        <v/>
      </c>
      <c r="Z37" s="18">
        <f>AND(X37:Y37)</f>
        <v/>
      </c>
      <c r="AA37" s="19">
        <f>TRIM(IF(X37,"",$X$3&amp;" ")&amp;IF(Y37,"",$Y$3&amp;" "))</f>
        <v/>
      </c>
      <c r="AB37" s="18">
        <f>EXACT(SUBSTITUTE(M37," ",""),SUBSTITUTE(R37&amp;S37&amp;T37&amp;U37&amp;V37," ",""))</f>
        <v/>
      </c>
    </row>
    <row r="38">
      <c r="A38" s="15" t="inlineStr">
        <is>
          <t>INSERT INTO CNF_UNIT_FILTERING_TBL SELECT UNIT_ID, 15 FROM MST_UNIT_TBL WHERE UNIT_CODE = 'LF003';</t>
        </is>
      </c>
      <c r="B38" s="16" t="n"/>
      <c r="C38" s="15" t="inlineStr">
        <is>
          <t>CNF_UNIT_FILTERING_TBL</t>
        </is>
      </c>
      <c r="D38" s="15" t="inlineStr">
        <is>
          <t>UNIT_ID</t>
        </is>
      </c>
      <c r="E38" s="15" t="inlineStr">
        <is>
          <t>15</t>
        </is>
      </c>
      <c r="F38" s="15" t="inlineStr">
        <is>
          <t>MST_UNIT_TBL</t>
        </is>
      </c>
      <c r="G38" s="15" t="inlineStr">
        <is>
          <t>UNIT_CODE</t>
        </is>
      </c>
      <c r="H38" s="15" t="inlineStr">
        <is>
          <t>LF003</t>
        </is>
      </c>
      <c r="J38" s="15" t="inlineStr">
        <is>
          <t>LF003</t>
        </is>
      </c>
      <c r="K38" s="15" t="inlineStr">
        <is>
          <t>経営企画部</t>
        </is>
      </c>
      <c r="L38" s="15" t="inlineStr">
        <is>
          <t>580</t>
        </is>
      </c>
      <c r="M38" s="19">
        <f>"INSERT INTO "&amp;C38&amp;" VALUES("&amp;L38&amp;" , "&amp;E38&amp;");"</f>
        <v/>
      </c>
      <c r="O38" s="17" t="inlineStr">
        <is>
          <t>580</t>
        </is>
      </c>
      <c r="P38" s="17" t="inlineStr">
        <is>
          <t>15</t>
        </is>
      </c>
      <c r="R38" s="15" t="inlineStr">
        <is>
          <t>INSERT INTO</t>
        </is>
      </c>
      <c r="S38" s="15" t="inlineStr">
        <is>
          <t>CNF_UNIT_FILTERING_TBL</t>
        </is>
      </c>
      <c r="T38" s="15" t="inlineStr">
        <is>
          <t>VALUES(</t>
        </is>
      </c>
      <c r="U38" s="15" t="inlineStr">
        <is>
          <t>580 , 15</t>
        </is>
      </c>
      <c r="V38" s="15" t="inlineStr">
        <is>
          <t>);</t>
        </is>
      </c>
      <c r="X38" s="18">
        <f>EXACT(TRIM(L38&amp;""),O38&amp;"")</f>
        <v/>
      </c>
      <c r="Y38" s="18">
        <f>EXACT(TRIM(E38&amp;""),P38&amp;"")</f>
        <v/>
      </c>
      <c r="Z38" s="18">
        <f>AND(X38:Y38)</f>
        <v/>
      </c>
      <c r="AA38" s="19">
        <f>TRIM(IF(X38,"",$X$3&amp;" ")&amp;IF(Y38,"",$Y$3&amp;" "))</f>
        <v/>
      </c>
      <c r="AB38" s="18">
        <f>EXACT(SUBSTITUTE(M38," ",""),SUBSTITUTE(R38&amp;S38&amp;T38&amp;U38&amp;V38," ",""))</f>
        <v/>
      </c>
    </row>
    <row r="39">
      <c r="A39" s="15" t="inlineStr">
        <is>
          <t>INSERT INTO CNF_UNIT_FILTERING_TBL SELECT UNIT_ID, 16 FROM MST_UNIT_TBL WHERE UNIT_CODE = 'LF003';</t>
        </is>
      </c>
      <c r="B39" s="16" t="n"/>
      <c r="C39" s="15" t="inlineStr">
        <is>
          <t>CNF_UNIT_FILTERING_TBL</t>
        </is>
      </c>
      <c r="D39" s="15" t="inlineStr">
        <is>
          <t>UNIT_ID</t>
        </is>
      </c>
      <c r="E39" s="15" t="inlineStr">
        <is>
          <t>16</t>
        </is>
      </c>
      <c r="F39" s="15" t="inlineStr">
        <is>
          <t>MST_UNIT_TBL</t>
        </is>
      </c>
      <c r="G39" s="15" t="inlineStr">
        <is>
          <t>UNIT_CODE</t>
        </is>
      </c>
      <c r="H39" s="15" t="inlineStr">
        <is>
          <t>LF003</t>
        </is>
      </c>
      <c r="J39" s="15" t="inlineStr">
        <is>
          <t>LF003</t>
        </is>
      </c>
      <c r="K39" s="15" t="inlineStr">
        <is>
          <t>経営企画部</t>
        </is>
      </c>
      <c r="L39" s="15" t="inlineStr">
        <is>
          <t>580</t>
        </is>
      </c>
      <c r="M39" s="19">
        <f>"INSERT INTO "&amp;C39&amp;" VALUES("&amp;L39&amp;" , "&amp;E39&amp;");"</f>
        <v/>
      </c>
      <c r="O39" s="17" t="inlineStr">
        <is>
          <t>580</t>
        </is>
      </c>
      <c r="P39" s="17" t="inlineStr">
        <is>
          <t>16</t>
        </is>
      </c>
      <c r="R39" s="15" t="inlineStr">
        <is>
          <t>INSERT INTO</t>
        </is>
      </c>
      <c r="S39" s="15" t="inlineStr">
        <is>
          <t>CNF_UNIT_FILTERING_TBL</t>
        </is>
      </c>
      <c r="T39" s="15" t="inlineStr">
        <is>
          <t>VALUES(</t>
        </is>
      </c>
      <c r="U39" s="15" t="inlineStr">
        <is>
          <t>580 , 16</t>
        </is>
      </c>
      <c r="V39" s="15" t="inlineStr">
        <is>
          <t>);</t>
        </is>
      </c>
      <c r="X39" s="18">
        <f>EXACT(TRIM(L39&amp;""),O39&amp;"")</f>
        <v/>
      </c>
      <c r="Y39" s="18">
        <f>EXACT(TRIM(E39&amp;""),P39&amp;"")</f>
        <v/>
      </c>
      <c r="Z39" s="18">
        <f>AND(X39:Y39)</f>
        <v/>
      </c>
      <c r="AA39" s="19">
        <f>TRIM(IF(X39,"",$X$3&amp;" ")&amp;IF(Y39,"",$Y$3&amp;" "))</f>
        <v/>
      </c>
      <c r="AB39" s="18">
        <f>EXACT(SUBSTITUTE(M39," ",""),SUBSTITUTE(R39&amp;S39&amp;T39&amp;U39&amp;V39," ",""))</f>
        <v/>
      </c>
    </row>
    <row r="40">
      <c r="A40" s="15" t="inlineStr">
        <is>
          <t>INSERT INTO CNF_UNIT_FILTERING_TBL SELECT UNIT_ID, 1 FROM MST_UNIT_TBL WHERE UNIT_CODE = 'LF004';</t>
        </is>
      </c>
      <c r="B40" s="16" t="n"/>
      <c r="C40" s="15" t="inlineStr">
        <is>
          <t>CNF_UNIT_FILTERING_TBL</t>
        </is>
      </c>
      <c r="D40" s="15" t="inlineStr">
        <is>
          <t>UNIT_ID</t>
        </is>
      </c>
      <c r="E40" s="15" t="inlineStr">
        <is>
          <t>1</t>
        </is>
      </c>
      <c r="F40" s="15" t="inlineStr">
        <is>
          <t>MST_UNIT_TBL</t>
        </is>
      </c>
      <c r="G40" s="15" t="inlineStr">
        <is>
          <t>UNIT_CODE</t>
        </is>
      </c>
      <c r="H40" s="15" t="inlineStr">
        <is>
          <t>LF004</t>
        </is>
      </c>
      <c r="J40" s="15" t="inlineStr">
        <is>
          <t>LF004</t>
        </is>
      </c>
      <c r="K40" s="15" t="inlineStr">
        <is>
          <t>業務改革室</t>
        </is>
      </c>
      <c r="L40" s="15" t="inlineStr">
        <is>
          <t>581</t>
        </is>
      </c>
      <c r="M40" s="19">
        <f>"INSERT INTO "&amp;C40&amp;" VALUES("&amp;L40&amp;" , "&amp;E40&amp;");"</f>
        <v/>
      </c>
      <c r="O40" s="17" t="inlineStr">
        <is>
          <t>581</t>
        </is>
      </c>
      <c r="P40" s="17" t="inlineStr">
        <is>
          <t>1</t>
        </is>
      </c>
      <c r="R40" s="15" t="inlineStr">
        <is>
          <t>INSERT INTO</t>
        </is>
      </c>
      <c r="S40" s="15" t="inlineStr">
        <is>
          <t>CNF_UNIT_FILTERING_TBL</t>
        </is>
      </c>
      <c r="T40" s="15" t="inlineStr">
        <is>
          <t>VALUES(</t>
        </is>
      </c>
      <c r="U40" s="15" t="inlineStr">
        <is>
          <t>581 , 1</t>
        </is>
      </c>
      <c r="V40" s="15" t="inlineStr">
        <is>
          <t>);</t>
        </is>
      </c>
      <c r="X40" s="18">
        <f>EXACT(TRIM(L40&amp;""),O40&amp;"")</f>
        <v/>
      </c>
      <c r="Y40" s="18">
        <f>EXACT(TRIM(E40&amp;""),P40&amp;"")</f>
        <v/>
      </c>
      <c r="Z40" s="18">
        <f>AND(X40:Y40)</f>
        <v/>
      </c>
      <c r="AA40" s="19">
        <f>TRIM(IF(X40,"",$X$3&amp;" ")&amp;IF(Y40,"",$Y$3&amp;" "))</f>
        <v/>
      </c>
      <c r="AB40" s="18">
        <f>EXACT(SUBSTITUTE(M40," ",""),SUBSTITUTE(R40&amp;S40&amp;T40&amp;U40&amp;V40," ",""))</f>
        <v/>
      </c>
    </row>
    <row r="41">
      <c r="A41" s="15" t="inlineStr">
        <is>
          <t>INSERT INTO CNF_UNIT_FILTERING_TBL SELECT UNIT_ID, 4 FROM MST_UNIT_TBL WHERE UNIT_CODE = 'LF004';</t>
        </is>
      </c>
      <c r="B41" s="16" t="n"/>
      <c r="C41" s="15" t="inlineStr">
        <is>
          <t>CNF_UNIT_FILTERING_TBL</t>
        </is>
      </c>
      <c r="D41" s="15" t="inlineStr">
        <is>
          <t>UNIT_ID</t>
        </is>
      </c>
      <c r="E41" s="15" t="inlineStr">
        <is>
          <t>4</t>
        </is>
      </c>
      <c r="F41" s="15" t="inlineStr">
        <is>
          <t>MST_UNIT_TBL</t>
        </is>
      </c>
      <c r="G41" s="15" t="inlineStr">
        <is>
          <t>UNIT_CODE</t>
        </is>
      </c>
      <c r="H41" s="15" t="inlineStr">
        <is>
          <t>LF004</t>
        </is>
      </c>
      <c r="J41" s="15" t="inlineStr">
        <is>
          <t>LF004</t>
        </is>
      </c>
      <c r="K41" s="15" t="inlineStr">
        <is>
          <t>業務改革室</t>
        </is>
      </c>
      <c r="L41" s="15" t="inlineStr">
        <is>
          <t>581</t>
        </is>
      </c>
      <c r="M41" s="19">
        <f>"INSERT INTO "&amp;C41&amp;" VALUES("&amp;L41&amp;" , "&amp;E41&amp;");"</f>
        <v/>
      </c>
      <c r="O41" s="17" t="inlineStr">
        <is>
          <t>581</t>
        </is>
      </c>
      <c r="P41" s="17" t="inlineStr">
        <is>
          <t>4</t>
        </is>
      </c>
      <c r="R41" s="15" t="inlineStr">
        <is>
          <t>INSERT INTO</t>
        </is>
      </c>
      <c r="S41" s="15" t="inlineStr">
        <is>
          <t>CNF_UNIT_FILTERING_TBL</t>
        </is>
      </c>
      <c r="T41" s="15" t="inlineStr">
        <is>
          <t>VALUES(</t>
        </is>
      </c>
      <c r="U41" s="15" t="inlineStr">
        <is>
          <t>581 , 4</t>
        </is>
      </c>
      <c r="V41" s="15" t="inlineStr">
        <is>
          <t>);</t>
        </is>
      </c>
      <c r="X41" s="18">
        <f>EXACT(TRIM(L41&amp;""),O41&amp;"")</f>
        <v/>
      </c>
      <c r="Y41" s="18">
        <f>EXACT(TRIM(E41&amp;""),P41&amp;"")</f>
        <v/>
      </c>
      <c r="Z41" s="18">
        <f>AND(X41:Y41)</f>
        <v/>
      </c>
      <c r="AA41" s="19">
        <f>TRIM(IF(X41,"",$X$3&amp;" ")&amp;IF(Y41,"",$Y$3&amp;" "))</f>
        <v/>
      </c>
      <c r="AB41" s="18">
        <f>EXACT(SUBSTITUTE(M41," ",""),SUBSTITUTE(R41&amp;S41&amp;T41&amp;U41&amp;V41," ",""))</f>
        <v/>
      </c>
    </row>
    <row r="42">
      <c r="A42" s="15" t="inlineStr">
        <is>
          <t>INSERT INTO CNF_UNIT_FILTERING_TBL SELECT UNIT_ID, 5 FROM MST_UNIT_TBL WHERE UNIT_CODE = 'LF004';</t>
        </is>
      </c>
      <c r="B42" s="16" t="n"/>
      <c r="C42" s="15" t="inlineStr">
        <is>
          <t>CNF_UNIT_FILTERING_TBL</t>
        </is>
      </c>
      <c r="D42" s="15" t="inlineStr">
        <is>
          <t>UNIT_ID</t>
        </is>
      </c>
      <c r="E42" s="15" t="inlineStr">
        <is>
          <t>5</t>
        </is>
      </c>
      <c r="F42" s="15" t="inlineStr">
        <is>
          <t>MST_UNIT_TBL</t>
        </is>
      </c>
      <c r="G42" s="15" t="inlineStr">
        <is>
          <t>UNIT_CODE</t>
        </is>
      </c>
      <c r="H42" s="15" t="inlineStr">
        <is>
          <t>LF004</t>
        </is>
      </c>
      <c r="J42" s="15" t="inlineStr">
        <is>
          <t>LF004</t>
        </is>
      </c>
      <c r="K42" s="15" t="inlineStr">
        <is>
          <t>業務改革室</t>
        </is>
      </c>
      <c r="L42" s="15" t="inlineStr">
        <is>
          <t>581</t>
        </is>
      </c>
      <c r="M42" s="19">
        <f>"INSERT INTO "&amp;C42&amp;" VALUES("&amp;L42&amp;" , "&amp;E42&amp;");"</f>
        <v/>
      </c>
      <c r="O42" s="17" t="inlineStr">
        <is>
          <t>581</t>
        </is>
      </c>
      <c r="P42" s="17" t="inlineStr">
        <is>
          <t>5</t>
        </is>
      </c>
      <c r="R42" s="15" t="inlineStr">
        <is>
          <t>INSERT INTO</t>
        </is>
      </c>
      <c r="S42" s="15" t="inlineStr">
        <is>
          <t>CNF_UNIT_FILTERING_TBL</t>
        </is>
      </c>
      <c r="T42" s="15" t="inlineStr">
        <is>
          <t>VALUES(</t>
        </is>
      </c>
      <c r="U42" s="15" t="inlineStr">
        <is>
          <t>581 , 5</t>
        </is>
      </c>
      <c r="V42" s="15" t="inlineStr">
        <is>
          <t>);</t>
        </is>
      </c>
      <c r="X42" s="18">
        <f>EXACT(TRIM(L42&amp;""),O42&amp;"")</f>
        <v/>
      </c>
      <c r="Y42" s="18">
        <f>EXACT(TRIM(E42&amp;""),P42&amp;"")</f>
        <v/>
      </c>
      <c r="Z42" s="18">
        <f>AND(X42:Y42)</f>
        <v/>
      </c>
      <c r="AA42" s="19">
        <f>TRIM(IF(X42,"",$X$3&amp;" ")&amp;IF(Y42,"",$Y$3&amp;" "))</f>
        <v/>
      </c>
      <c r="AB42" s="18">
        <f>EXACT(SUBSTITUTE(M42," ",""),SUBSTITUTE(R42&amp;S42&amp;T42&amp;U42&amp;V42," ",""))</f>
        <v/>
      </c>
    </row>
    <row r="43">
      <c r="A43" s="15" t="inlineStr">
        <is>
          <t>INSERT INTO CNF_UNIT_FILTERING_TBL SELECT UNIT_ID, 7 FROM MST_UNIT_TBL WHERE UNIT_CODE = 'LF004';</t>
        </is>
      </c>
      <c r="B43" s="16" t="n"/>
      <c r="C43" s="15" t="inlineStr">
        <is>
          <t>CNF_UNIT_FILTERING_TBL</t>
        </is>
      </c>
      <c r="D43" s="15" t="inlineStr">
        <is>
          <t>UNIT_ID</t>
        </is>
      </c>
      <c r="E43" s="15" t="inlineStr">
        <is>
          <t>7</t>
        </is>
      </c>
      <c r="F43" s="15" t="inlineStr">
        <is>
          <t>MST_UNIT_TBL</t>
        </is>
      </c>
      <c r="G43" s="15" t="inlineStr">
        <is>
          <t>UNIT_CODE</t>
        </is>
      </c>
      <c r="H43" s="15" t="inlineStr">
        <is>
          <t>LF004</t>
        </is>
      </c>
      <c r="J43" s="15" t="inlineStr">
        <is>
          <t>LF004</t>
        </is>
      </c>
      <c r="K43" s="15" t="inlineStr">
        <is>
          <t>業務改革室</t>
        </is>
      </c>
      <c r="L43" s="15" t="inlineStr">
        <is>
          <t>581</t>
        </is>
      </c>
      <c r="M43" s="19">
        <f>"INSERT INTO "&amp;C43&amp;" VALUES("&amp;L43&amp;" , "&amp;E43&amp;");"</f>
        <v/>
      </c>
      <c r="O43" s="17" t="inlineStr">
        <is>
          <t>581</t>
        </is>
      </c>
      <c r="P43" s="17" t="inlineStr">
        <is>
          <t>7</t>
        </is>
      </c>
      <c r="R43" s="15" t="inlineStr">
        <is>
          <t>INSERT INTO</t>
        </is>
      </c>
      <c r="S43" s="15" t="inlineStr">
        <is>
          <t>CNF_UNIT_FILTERING_TBL</t>
        </is>
      </c>
      <c r="T43" s="15" t="inlineStr">
        <is>
          <t>VALUES(</t>
        </is>
      </c>
      <c r="U43" s="15" t="inlineStr">
        <is>
          <t>581 , 7</t>
        </is>
      </c>
      <c r="V43" s="15" t="inlineStr">
        <is>
          <t>);</t>
        </is>
      </c>
      <c r="X43" s="18">
        <f>EXACT(TRIM(L43&amp;""),O43&amp;"")</f>
        <v/>
      </c>
      <c r="Y43" s="18">
        <f>EXACT(TRIM(E43&amp;""),P43&amp;"")</f>
        <v/>
      </c>
      <c r="Z43" s="18">
        <f>AND(X43:Y43)</f>
        <v/>
      </c>
      <c r="AA43" s="19">
        <f>TRIM(IF(X43,"",$X$3&amp;" ")&amp;IF(Y43,"",$Y$3&amp;" "))</f>
        <v/>
      </c>
      <c r="AB43" s="18">
        <f>EXACT(SUBSTITUTE(M43," ",""),SUBSTITUTE(R43&amp;S43&amp;T43&amp;U43&amp;V43," ",""))</f>
        <v/>
      </c>
    </row>
    <row r="44">
      <c r="A44" s="15" t="inlineStr">
        <is>
          <t>INSERT INTO CNF_UNIT_FILTERING_TBL SELECT UNIT_ID, 8 FROM MST_UNIT_TBL WHERE UNIT_CODE = 'LF004';</t>
        </is>
      </c>
      <c r="B44" s="16" t="n"/>
      <c r="C44" s="15" t="inlineStr">
        <is>
          <t>CNF_UNIT_FILTERING_TBL</t>
        </is>
      </c>
      <c r="D44" s="15" t="inlineStr">
        <is>
          <t>UNIT_ID</t>
        </is>
      </c>
      <c r="E44" s="15" t="inlineStr">
        <is>
          <t>8</t>
        </is>
      </c>
      <c r="F44" s="15" t="inlineStr">
        <is>
          <t>MST_UNIT_TBL</t>
        </is>
      </c>
      <c r="G44" s="15" t="inlineStr">
        <is>
          <t>UNIT_CODE</t>
        </is>
      </c>
      <c r="H44" s="15" t="inlineStr">
        <is>
          <t>LF004</t>
        </is>
      </c>
      <c r="J44" s="15" t="inlineStr">
        <is>
          <t>LF004</t>
        </is>
      </c>
      <c r="K44" s="15" t="inlineStr">
        <is>
          <t>業務改革室</t>
        </is>
      </c>
      <c r="L44" s="15" t="inlineStr">
        <is>
          <t>581</t>
        </is>
      </c>
      <c r="M44" s="19">
        <f>"INSERT INTO "&amp;C44&amp;" VALUES("&amp;L44&amp;" , "&amp;E44&amp;");"</f>
        <v/>
      </c>
      <c r="O44" s="17" t="inlineStr">
        <is>
          <t>581</t>
        </is>
      </c>
      <c r="P44" s="17" t="inlineStr">
        <is>
          <t>8</t>
        </is>
      </c>
      <c r="R44" s="15" t="inlineStr">
        <is>
          <t>INSERT INTO</t>
        </is>
      </c>
      <c r="S44" s="15" t="inlineStr">
        <is>
          <t>CNF_UNIT_FILTERING_TBL</t>
        </is>
      </c>
      <c r="T44" s="15" t="inlineStr">
        <is>
          <t>VALUES(</t>
        </is>
      </c>
      <c r="U44" s="15" t="inlineStr">
        <is>
          <t>581 , 8</t>
        </is>
      </c>
      <c r="V44" s="15" t="inlineStr">
        <is>
          <t>);</t>
        </is>
      </c>
      <c r="X44" s="18">
        <f>EXACT(TRIM(L44&amp;""),O44&amp;"")</f>
        <v/>
      </c>
      <c r="Y44" s="18">
        <f>EXACT(TRIM(E44&amp;""),P44&amp;"")</f>
        <v/>
      </c>
      <c r="Z44" s="18">
        <f>AND(X44:Y44)</f>
        <v/>
      </c>
      <c r="AA44" s="19">
        <f>TRIM(IF(X44,"",$X$3&amp;" ")&amp;IF(Y44,"",$Y$3&amp;" "))</f>
        <v/>
      </c>
      <c r="AB44" s="18">
        <f>EXACT(SUBSTITUTE(M44," ",""),SUBSTITUTE(R44&amp;S44&amp;T44&amp;U44&amp;V44," ",""))</f>
        <v/>
      </c>
    </row>
    <row r="45">
      <c r="A45" s="15" t="inlineStr">
        <is>
          <t>INSERT INTO CNF_UNIT_FILTERING_TBL SELECT UNIT_ID, 9 FROM MST_UNIT_TBL WHERE UNIT_CODE = 'LF004';</t>
        </is>
      </c>
      <c r="B45" s="16" t="n"/>
      <c r="C45" s="15" t="inlineStr">
        <is>
          <t>CNF_UNIT_FILTERING_TBL</t>
        </is>
      </c>
      <c r="D45" s="15" t="inlineStr">
        <is>
          <t>UNIT_ID</t>
        </is>
      </c>
      <c r="E45" s="15" t="inlineStr">
        <is>
          <t>9</t>
        </is>
      </c>
      <c r="F45" s="15" t="inlineStr">
        <is>
          <t>MST_UNIT_TBL</t>
        </is>
      </c>
      <c r="G45" s="15" t="inlineStr">
        <is>
          <t>UNIT_CODE</t>
        </is>
      </c>
      <c r="H45" s="15" t="inlineStr">
        <is>
          <t>LF004</t>
        </is>
      </c>
      <c r="J45" s="15" t="inlineStr">
        <is>
          <t>LF004</t>
        </is>
      </c>
      <c r="K45" s="15" t="inlineStr">
        <is>
          <t>業務改革室</t>
        </is>
      </c>
      <c r="L45" s="15" t="inlineStr">
        <is>
          <t>581</t>
        </is>
      </c>
      <c r="M45" s="19">
        <f>"INSERT INTO "&amp;C45&amp;" VALUES("&amp;L45&amp;" , "&amp;E45&amp;");"</f>
        <v/>
      </c>
      <c r="O45" s="17" t="inlineStr">
        <is>
          <t>581</t>
        </is>
      </c>
      <c r="P45" s="17" t="inlineStr">
        <is>
          <t>9</t>
        </is>
      </c>
      <c r="R45" s="15" t="inlineStr">
        <is>
          <t>INSERT INTO</t>
        </is>
      </c>
      <c r="S45" s="15" t="inlineStr">
        <is>
          <t>CNF_UNIT_FILTERING_TBL</t>
        </is>
      </c>
      <c r="T45" s="15" t="inlineStr">
        <is>
          <t>VALUES(</t>
        </is>
      </c>
      <c r="U45" s="15" t="inlineStr">
        <is>
          <t>581 , 9</t>
        </is>
      </c>
      <c r="V45" s="15" t="inlineStr">
        <is>
          <t>);</t>
        </is>
      </c>
      <c r="X45" s="18">
        <f>EXACT(TRIM(L45&amp;""),O45&amp;"")</f>
        <v/>
      </c>
      <c r="Y45" s="18">
        <f>EXACT(TRIM(E45&amp;""),P45&amp;"")</f>
        <v/>
      </c>
      <c r="Z45" s="18">
        <f>AND(X45:Y45)</f>
        <v/>
      </c>
      <c r="AA45" s="19">
        <f>TRIM(IF(X45,"",$X$3&amp;" ")&amp;IF(Y45,"",$Y$3&amp;" "))</f>
        <v/>
      </c>
      <c r="AB45" s="18">
        <f>EXACT(SUBSTITUTE(M45," ",""),SUBSTITUTE(R45&amp;S45&amp;T45&amp;U45&amp;V45," ",""))</f>
        <v/>
      </c>
    </row>
    <row r="46">
      <c r="A46" s="15" t="inlineStr">
        <is>
          <t>INSERT INTO CNF_UNIT_FILTERING_TBL SELECT UNIT_ID, 11 FROM MST_UNIT_TBL WHERE UNIT_CODE = 'LF004';</t>
        </is>
      </c>
      <c r="B46" s="16" t="n"/>
      <c r="C46" s="15" t="inlineStr">
        <is>
          <t>CNF_UNIT_FILTERING_TBL</t>
        </is>
      </c>
      <c r="D46" s="15" t="inlineStr">
        <is>
          <t>UNIT_ID</t>
        </is>
      </c>
      <c r="E46" s="15" t="inlineStr">
        <is>
          <t>11</t>
        </is>
      </c>
      <c r="F46" s="15" t="inlineStr">
        <is>
          <t>MST_UNIT_TBL</t>
        </is>
      </c>
      <c r="G46" s="15" t="inlineStr">
        <is>
          <t>UNIT_CODE</t>
        </is>
      </c>
      <c r="H46" s="15" t="inlineStr">
        <is>
          <t>LF004</t>
        </is>
      </c>
      <c r="J46" s="15" t="inlineStr">
        <is>
          <t>LF004</t>
        </is>
      </c>
      <c r="K46" s="15" t="inlineStr">
        <is>
          <t>業務改革室</t>
        </is>
      </c>
      <c r="L46" s="15" t="inlineStr">
        <is>
          <t>581</t>
        </is>
      </c>
      <c r="M46" s="19">
        <f>"INSERT INTO "&amp;C46&amp;" VALUES("&amp;L46&amp;" , "&amp;E46&amp;");"</f>
        <v/>
      </c>
      <c r="O46" s="17" t="inlineStr">
        <is>
          <t>581</t>
        </is>
      </c>
      <c r="P46" s="17" t="inlineStr">
        <is>
          <t>11</t>
        </is>
      </c>
      <c r="R46" s="15" t="inlineStr">
        <is>
          <t>INSERT INTO</t>
        </is>
      </c>
      <c r="S46" s="15" t="inlineStr">
        <is>
          <t>CNF_UNIT_FILTERING_TBL</t>
        </is>
      </c>
      <c r="T46" s="15" t="inlineStr">
        <is>
          <t>VALUES(</t>
        </is>
      </c>
      <c r="U46" s="15" t="inlineStr">
        <is>
          <t>581 , 11</t>
        </is>
      </c>
      <c r="V46" s="15" t="inlineStr">
        <is>
          <t>);</t>
        </is>
      </c>
      <c r="X46" s="18">
        <f>EXACT(TRIM(L46&amp;""),O46&amp;"")</f>
        <v/>
      </c>
      <c r="Y46" s="18">
        <f>EXACT(TRIM(E46&amp;""),P46&amp;"")</f>
        <v/>
      </c>
      <c r="Z46" s="18">
        <f>AND(X46:Y46)</f>
        <v/>
      </c>
      <c r="AA46" s="19">
        <f>TRIM(IF(X46,"",$X$3&amp;" ")&amp;IF(Y46,"",$Y$3&amp;" "))</f>
        <v/>
      </c>
      <c r="AB46" s="18">
        <f>EXACT(SUBSTITUTE(M46," ",""),SUBSTITUTE(R46&amp;S46&amp;T46&amp;U46&amp;V46," ",""))</f>
        <v/>
      </c>
    </row>
    <row r="47">
      <c r="A47" s="15" t="inlineStr">
        <is>
          <t>INSERT INTO CNF_UNIT_FILTERING_TBL SELECT UNIT_ID, 12 FROM MST_UNIT_TBL WHERE UNIT_CODE = 'LF004';</t>
        </is>
      </c>
      <c r="B47" s="16" t="n"/>
      <c r="C47" s="15" t="inlineStr">
        <is>
          <t>CNF_UNIT_FILTERING_TBL</t>
        </is>
      </c>
      <c r="D47" s="15" t="inlineStr">
        <is>
          <t>UNIT_ID</t>
        </is>
      </c>
      <c r="E47" s="15" t="inlineStr">
        <is>
          <t>12</t>
        </is>
      </c>
      <c r="F47" s="15" t="inlineStr">
        <is>
          <t>MST_UNIT_TBL</t>
        </is>
      </c>
      <c r="G47" s="15" t="inlineStr">
        <is>
          <t>UNIT_CODE</t>
        </is>
      </c>
      <c r="H47" s="15" t="inlineStr">
        <is>
          <t>LF004</t>
        </is>
      </c>
      <c r="J47" s="15" t="inlineStr">
        <is>
          <t>LF004</t>
        </is>
      </c>
      <c r="K47" s="15" t="inlineStr">
        <is>
          <t>業務改革室</t>
        </is>
      </c>
      <c r="L47" s="15" t="inlineStr">
        <is>
          <t>581</t>
        </is>
      </c>
      <c r="M47" s="19">
        <f>"INSERT INTO "&amp;C47&amp;" VALUES("&amp;L47&amp;" , "&amp;E47&amp;");"</f>
        <v/>
      </c>
      <c r="O47" s="17" t="inlineStr">
        <is>
          <t>581</t>
        </is>
      </c>
      <c r="P47" s="17" t="inlineStr">
        <is>
          <t>12</t>
        </is>
      </c>
      <c r="R47" s="15" t="inlineStr">
        <is>
          <t>INSERT INTO</t>
        </is>
      </c>
      <c r="S47" s="15" t="inlineStr">
        <is>
          <t>CNF_UNIT_FILTERING_TBL</t>
        </is>
      </c>
      <c r="T47" s="15" t="inlineStr">
        <is>
          <t>VALUES(</t>
        </is>
      </c>
      <c r="U47" s="15" t="inlineStr">
        <is>
          <t>581 , 12</t>
        </is>
      </c>
      <c r="V47" s="15" t="inlineStr">
        <is>
          <t>);</t>
        </is>
      </c>
      <c r="X47" s="18">
        <f>EXACT(TRIM(L47&amp;""),O47&amp;"")</f>
        <v/>
      </c>
      <c r="Y47" s="18">
        <f>EXACT(TRIM(E47&amp;""),P47&amp;"")</f>
        <v/>
      </c>
      <c r="Z47" s="18">
        <f>AND(X47:Y47)</f>
        <v/>
      </c>
      <c r="AA47" s="19">
        <f>TRIM(IF(X47,"",$X$3&amp;" ")&amp;IF(Y47,"",$Y$3&amp;" "))</f>
        <v/>
      </c>
      <c r="AB47" s="18">
        <f>EXACT(SUBSTITUTE(M47," ",""),SUBSTITUTE(R47&amp;S47&amp;T47&amp;U47&amp;V47," ",""))</f>
        <v/>
      </c>
    </row>
    <row r="48">
      <c r="A48" s="15" t="inlineStr">
        <is>
          <t>INSERT INTO CNF_UNIT_FILTERING_TBL SELECT UNIT_ID, 13 FROM MST_UNIT_TBL WHERE UNIT_CODE = 'LF004';</t>
        </is>
      </c>
      <c r="B48" s="16" t="n"/>
      <c r="C48" s="15" t="inlineStr">
        <is>
          <t>CNF_UNIT_FILTERING_TBL</t>
        </is>
      </c>
      <c r="D48" s="15" t="inlineStr">
        <is>
          <t>UNIT_ID</t>
        </is>
      </c>
      <c r="E48" s="15" t="inlineStr">
        <is>
          <t>13</t>
        </is>
      </c>
      <c r="F48" s="15" t="inlineStr">
        <is>
          <t>MST_UNIT_TBL</t>
        </is>
      </c>
      <c r="G48" s="15" t="inlineStr">
        <is>
          <t>UNIT_CODE</t>
        </is>
      </c>
      <c r="H48" s="15" t="inlineStr">
        <is>
          <t>LF004</t>
        </is>
      </c>
      <c r="J48" s="15" t="inlineStr">
        <is>
          <t>LF004</t>
        </is>
      </c>
      <c r="K48" s="15" t="inlineStr">
        <is>
          <t>業務改革室</t>
        </is>
      </c>
      <c r="L48" s="15" t="inlineStr">
        <is>
          <t>581</t>
        </is>
      </c>
      <c r="M48" s="19">
        <f>"INSERT INTO "&amp;C48&amp;" VALUES("&amp;L48&amp;" , "&amp;E48&amp;");"</f>
        <v/>
      </c>
      <c r="O48" s="17" t="inlineStr">
        <is>
          <t>581</t>
        </is>
      </c>
      <c r="P48" s="17" t="inlineStr">
        <is>
          <t>13</t>
        </is>
      </c>
      <c r="R48" s="15" t="inlineStr">
        <is>
          <t>INSERT INTO</t>
        </is>
      </c>
      <c r="S48" s="15" t="inlineStr">
        <is>
          <t>CNF_UNIT_FILTERING_TBL</t>
        </is>
      </c>
      <c r="T48" s="15" t="inlineStr">
        <is>
          <t>VALUES(</t>
        </is>
      </c>
      <c r="U48" s="15" t="inlineStr">
        <is>
          <t>581 , 13</t>
        </is>
      </c>
      <c r="V48" s="15" t="inlineStr">
        <is>
          <t>);</t>
        </is>
      </c>
      <c r="X48" s="18">
        <f>EXACT(TRIM(L48&amp;""),O48&amp;"")</f>
        <v/>
      </c>
      <c r="Y48" s="18">
        <f>EXACT(TRIM(E48&amp;""),P48&amp;"")</f>
        <v/>
      </c>
      <c r="Z48" s="18">
        <f>AND(X48:Y48)</f>
        <v/>
      </c>
      <c r="AA48" s="19">
        <f>TRIM(IF(X48,"",$X$3&amp;" ")&amp;IF(Y48,"",$Y$3&amp;" "))</f>
        <v/>
      </c>
      <c r="AB48" s="18">
        <f>EXACT(SUBSTITUTE(M48," ",""),SUBSTITUTE(R48&amp;S48&amp;T48&amp;U48&amp;V48," ",""))</f>
        <v/>
      </c>
    </row>
    <row r="49">
      <c r="A49" s="15" t="inlineStr">
        <is>
          <t>INSERT INTO CNF_UNIT_FILTERING_TBL SELECT UNIT_ID, 14 FROM MST_UNIT_TBL WHERE UNIT_CODE = 'LF004';</t>
        </is>
      </c>
      <c r="B49" s="16" t="n"/>
      <c r="C49" s="15" t="inlineStr">
        <is>
          <t>CNF_UNIT_FILTERING_TBL</t>
        </is>
      </c>
      <c r="D49" s="15" t="inlineStr">
        <is>
          <t>UNIT_ID</t>
        </is>
      </c>
      <c r="E49" s="15" t="inlineStr">
        <is>
          <t>14</t>
        </is>
      </c>
      <c r="F49" s="15" t="inlineStr">
        <is>
          <t>MST_UNIT_TBL</t>
        </is>
      </c>
      <c r="G49" s="15" t="inlineStr">
        <is>
          <t>UNIT_CODE</t>
        </is>
      </c>
      <c r="H49" s="15" t="inlineStr">
        <is>
          <t>LF004</t>
        </is>
      </c>
      <c r="J49" s="15" t="inlineStr">
        <is>
          <t>LF004</t>
        </is>
      </c>
      <c r="K49" s="15" t="inlineStr">
        <is>
          <t>業務改革室</t>
        </is>
      </c>
      <c r="L49" s="15" t="inlineStr">
        <is>
          <t>581</t>
        </is>
      </c>
      <c r="M49" s="19">
        <f>"INSERT INTO "&amp;C49&amp;" VALUES("&amp;L49&amp;" , "&amp;E49&amp;");"</f>
        <v/>
      </c>
      <c r="O49" s="17" t="inlineStr">
        <is>
          <t>581</t>
        </is>
      </c>
      <c r="P49" s="17" t="inlineStr">
        <is>
          <t>14</t>
        </is>
      </c>
      <c r="R49" s="15" t="inlineStr">
        <is>
          <t>INSERT INTO</t>
        </is>
      </c>
      <c r="S49" s="15" t="inlineStr">
        <is>
          <t>CNF_UNIT_FILTERING_TBL</t>
        </is>
      </c>
      <c r="T49" s="15" t="inlineStr">
        <is>
          <t>VALUES(</t>
        </is>
      </c>
      <c r="U49" s="15" t="inlineStr">
        <is>
          <t>581 , 14</t>
        </is>
      </c>
      <c r="V49" s="15" t="inlineStr">
        <is>
          <t>);</t>
        </is>
      </c>
      <c r="X49" s="18">
        <f>EXACT(TRIM(L49&amp;""),O49&amp;"")</f>
        <v/>
      </c>
      <c r="Y49" s="18">
        <f>EXACT(TRIM(E49&amp;""),P49&amp;"")</f>
        <v/>
      </c>
      <c r="Z49" s="18">
        <f>AND(X49:Y49)</f>
        <v/>
      </c>
      <c r="AA49" s="19">
        <f>TRIM(IF(X49,"",$X$3&amp;" ")&amp;IF(Y49,"",$Y$3&amp;" "))</f>
        <v/>
      </c>
      <c r="AB49" s="18">
        <f>EXACT(SUBSTITUTE(M49," ",""),SUBSTITUTE(R49&amp;S49&amp;T49&amp;U49&amp;V49," ",""))</f>
        <v/>
      </c>
    </row>
    <row r="50">
      <c r="A50" s="15" t="inlineStr">
        <is>
          <t>INSERT INTO CNF_UNIT_FILTERING_TBL SELECT UNIT_ID, 15 FROM MST_UNIT_TBL WHERE UNIT_CODE = 'LF004';</t>
        </is>
      </c>
      <c r="B50" s="16" t="n"/>
      <c r="C50" s="15" t="inlineStr">
        <is>
          <t>CNF_UNIT_FILTERING_TBL</t>
        </is>
      </c>
      <c r="D50" s="15" t="inlineStr">
        <is>
          <t>UNIT_ID</t>
        </is>
      </c>
      <c r="E50" s="15" t="inlineStr">
        <is>
          <t>15</t>
        </is>
      </c>
      <c r="F50" s="15" t="inlineStr">
        <is>
          <t>MST_UNIT_TBL</t>
        </is>
      </c>
      <c r="G50" s="15" t="inlineStr">
        <is>
          <t>UNIT_CODE</t>
        </is>
      </c>
      <c r="H50" s="15" t="inlineStr">
        <is>
          <t>LF004</t>
        </is>
      </c>
      <c r="J50" s="15" t="inlineStr">
        <is>
          <t>LF004</t>
        </is>
      </c>
      <c r="K50" s="15" t="inlineStr">
        <is>
          <t>業務改革室</t>
        </is>
      </c>
      <c r="L50" s="15" t="inlineStr">
        <is>
          <t>581</t>
        </is>
      </c>
      <c r="M50" s="19">
        <f>"INSERT INTO "&amp;C50&amp;" VALUES("&amp;L50&amp;" , "&amp;E50&amp;");"</f>
        <v/>
      </c>
      <c r="O50" s="17" t="inlineStr">
        <is>
          <t>581</t>
        </is>
      </c>
      <c r="P50" s="17" t="inlineStr">
        <is>
          <t>15</t>
        </is>
      </c>
      <c r="R50" s="15" t="inlineStr">
        <is>
          <t>INSERT INTO</t>
        </is>
      </c>
      <c r="S50" s="15" t="inlineStr">
        <is>
          <t>CNF_UNIT_FILTERING_TBL</t>
        </is>
      </c>
      <c r="T50" s="15" t="inlineStr">
        <is>
          <t>VALUES(</t>
        </is>
      </c>
      <c r="U50" s="15" t="inlineStr">
        <is>
          <t>581 , 15</t>
        </is>
      </c>
      <c r="V50" s="15" t="inlineStr">
        <is>
          <t>);</t>
        </is>
      </c>
      <c r="X50" s="18">
        <f>EXACT(TRIM(L50&amp;""),O50&amp;"")</f>
        <v/>
      </c>
      <c r="Y50" s="18">
        <f>EXACT(TRIM(E50&amp;""),P50&amp;"")</f>
        <v/>
      </c>
      <c r="Z50" s="18">
        <f>AND(X50:Y50)</f>
        <v/>
      </c>
      <c r="AA50" s="19">
        <f>TRIM(IF(X50,"",$X$3&amp;" ")&amp;IF(Y50,"",$Y$3&amp;" "))</f>
        <v/>
      </c>
      <c r="AB50" s="18">
        <f>EXACT(SUBSTITUTE(M50," ",""),SUBSTITUTE(R50&amp;S50&amp;T50&amp;U50&amp;V50," ",""))</f>
        <v/>
      </c>
    </row>
    <row r="51">
      <c r="A51" s="15" t="inlineStr">
        <is>
          <t>INSERT INTO CNF_UNIT_FILTERING_TBL SELECT UNIT_ID, 16 FROM MST_UNIT_TBL WHERE UNIT_CODE = 'LF004';</t>
        </is>
      </c>
      <c r="B51" s="16" t="n"/>
      <c r="C51" s="15" t="inlineStr">
        <is>
          <t>CNF_UNIT_FILTERING_TBL</t>
        </is>
      </c>
      <c r="D51" s="15" t="inlineStr">
        <is>
          <t>UNIT_ID</t>
        </is>
      </c>
      <c r="E51" s="15" t="inlineStr">
        <is>
          <t>16</t>
        </is>
      </c>
      <c r="F51" s="15" t="inlineStr">
        <is>
          <t>MST_UNIT_TBL</t>
        </is>
      </c>
      <c r="G51" s="15" t="inlineStr">
        <is>
          <t>UNIT_CODE</t>
        </is>
      </c>
      <c r="H51" s="15" t="inlineStr">
        <is>
          <t>LF004</t>
        </is>
      </c>
      <c r="J51" s="15" t="inlineStr">
        <is>
          <t>LF004</t>
        </is>
      </c>
      <c r="K51" s="15" t="inlineStr">
        <is>
          <t>業務改革室</t>
        </is>
      </c>
      <c r="L51" s="15" t="inlineStr">
        <is>
          <t>581</t>
        </is>
      </c>
      <c r="M51" s="19">
        <f>"INSERT INTO "&amp;C51&amp;" VALUES("&amp;L51&amp;" , "&amp;E51&amp;");"</f>
        <v/>
      </c>
      <c r="O51" s="17" t="inlineStr">
        <is>
          <t>581</t>
        </is>
      </c>
      <c r="P51" s="17" t="inlineStr">
        <is>
          <t>16</t>
        </is>
      </c>
      <c r="R51" s="15" t="inlineStr">
        <is>
          <t>INSERT INTO</t>
        </is>
      </c>
      <c r="S51" s="15" t="inlineStr">
        <is>
          <t>CNF_UNIT_FILTERING_TBL</t>
        </is>
      </c>
      <c r="T51" s="15" t="inlineStr">
        <is>
          <t>VALUES(</t>
        </is>
      </c>
      <c r="U51" s="15" t="inlineStr">
        <is>
          <t>581 , 16</t>
        </is>
      </c>
      <c r="V51" s="15" t="inlineStr">
        <is>
          <t>);</t>
        </is>
      </c>
      <c r="X51" s="18">
        <f>EXACT(TRIM(L51&amp;""),O51&amp;"")</f>
        <v/>
      </c>
      <c r="Y51" s="18">
        <f>EXACT(TRIM(E51&amp;""),P51&amp;"")</f>
        <v/>
      </c>
      <c r="Z51" s="18">
        <f>AND(X51:Y51)</f>
        <v/>
      </c>
      <c r="AA51" s="19">
        <f>TRIM(IF(X51,"",$X$3&amp;" ")&amp;IF(Y51,"",$Y$3&amp;" "))</f>
        <v/>
      </c>
      <c r="AB51" s="18">
        <f>EXACT(SUBSTITUTE(M51," ",""),SUBSTITUTE(R51&amp;S51&amp;T51&amp;U51&amp;V51," ",""))</f>
        <v/>
      </c>
    </row>
    <row r="52">
      <c r="A52" s="15" t="inlineStr">
        <is>
          <t>INSERT INTO CNF_UNIT_FILTERING_TBL SELECT UNIT_ID, 1 FROM MST_UNIT_TBL WHERE UNIT_CODE = 'LF005';</t>
        </is>
      </c>
      <c r="B52" s="16" t="n"/>
      <c r="C52" s="15" t="inlineStr">
        <is>
          <t>CNF_UNIT_FILTERING_TBL</t>
        </is>
      </c>
      <c r="D52" s="15" t="inlineStr">
        <is>
          <t>UNIT_ID</t>
        </is>
      </c>
      <c r="E52" s="15" t="inlineStr">
        <is>
          <t>1</t>
        </is>
      </c>
      <c r="F52" s="15" t="inlineStr">
        <is>
          <t>MST_UNIT_TBL</t>
        </is>
      </c>
      <c r="G52" s="15" t="inlineStr">
        <is>
          <t>UNIT_CODE</t>
        </is>
      </c>
      <c r="H52" s="15" t="inlineStr">
        <is>
          <t>LF005</t>
        </is>
      </c>
      <c r="J52" s="15" t="inlineStr">
        <is>
          <t>LF005</t>
        </is>
      </c>
      <c r="K52" s="15" t="inlineStr">
        <is>
          <t>人財部</t>
        </is>
      </c>
      <c r="L52" s="15" t="inlineStr">
        <is>
          <t>582</t>
        </is>
      </c>
      <c r="M52" s="19">
        <f>"INSERT INTO "&amp;C52&amp;" VALUES("&amp;L52&amp;" , "&amp;E52&amp;");"</f>
        <v/>
      </c>
      <c r="O52" s="17" t="inlineStr">
        <is>
          <t>582</t>
        </is>
      </c>
      <c r="P52" s="17" t="inlineStr">
        <is>
          <t>1</t>
        </is>
      </c>
      <c r="R52" s="15" t="inlineStr">
        <is>
          <t>INSERT INTO</t>
        </is>
      </c>
      <c r="S52" s="15" t="inlineStr">
        <is>
          <t>CNF_UNIT_FILTERING_TBL</t>
        </is>
      </c>
      <c r="T52" s="15" t="inlineStr">
        <is>
          <t>VALUES(</t>
        </is>
      </c>
      <c r="U52" s="15" t="inlineStr">
        <is>
          <t>582 , 1</t>
        </is>
      </c>
      <c r="V52" s="15" t="inlineStr">
        <is>
          <t>);</t>
        </is>
      </c>
      <c r="X52" s="18">
        <f>EXACT(TRIM(L52&amp;""),O52&amp;"")</f>
        <v/>
      </c>
      <c r="Y52" s="18">
        <f>EXACT(TRIM(E52&amp;""),P52&amp;"")</f>
        <v/>
      </c>
      <c r="Z52" s="18">
        <f>AND(X52:Y52)</f>
        <v/>
      </c>
      <c r="AA52" s="19">
        <f>TRIM(IF(X52,"",$X$3&amp;" ")&amp;IF(Y52,"",$Y$3&amp;" "))</f>
        <v/>
      </c>
      <c r="AB52" s="18">
        <f>EXACT(SUBSTITUTE(M52," ",""),SUBSTITUTE(R52&amp;S52&amp;T52&amp;U52&amp;V52," ",""))</f>
        <v/>
      </c>
    </row>
    <row r="53">
      <c r="A53" s="15" t="inlineStr">
        <is>
          <t>INSERT INTO CNF_UNIT_FILTERING_TBL SELECT UNIT_ID, 4 FROM MST_UNIT_TBL WHERE UNIT_CODE = 'LF005';</t>
        </is>
      </c>
      <c r="B53" s="16" t="n"/>
      <c r="C53" s="15" t="inlineStr">
        <is>
          <t>CNF_UNIT_FILTERING_TBL</t>
        </is>
      </c>
      <c r="D53" s="15" t="inlineStr">
        <is>
          <t>UNIT_ID</t>
        </is>
      </c>
      <c r="E53" s="15" t="inlineStr">
        <is>
          <t>4</t>
        </is>
      </c>
      <c r="F53" s="15" t="inlineStr">
        <is>
          <t>MST_UNIT_TBL</t>
        </is>
      </c>
      <c r="G53" s="15" t="inlineStr">
        <is>
          <t>UNIT_CODE</t>
        </is>
      </c>
      <c r="H53" s="15" t="inlineStr">
        <is>
          <t>LF005</t>
        </is>
      </c>
      <c r="J53" s="15" t="inlineStr">
        <is>
          <t>LF005</t>
        </is>
      </c>
      <c r="K53" s="15" t="inlineStr">
        <is>
          <t>人財部</t>
        </is>
      </c>
      <c r="L53" s="15" t="inlineStr">
        <is>
          <t>582</t>
        </is>
      </c>
      <c r="M53" s="19">
        <f>"INSERT INTO "&amp;C53&amp;" VALUES("&amp;L53&amp;" , "&amp;E53&amp;");"</f>
        <v/>
      </c>
      <c r="O53" s="17" t="inlineStr">
        <is>
          <t>582</t>
        </is>
      </c>
      <c r="P53" s="17" t="inlineStr">
        <is>
          <t>4</t>
        </is>
      </c>
      <c r="R53" s="15" t="inlineStr">
        <is>
          <t>INSERT INTO</t>
        </is>
      </c>
      <c r="S53" s="15" t="inlineStr">
        <is>
          <t>CNF_UNIT_FILTERING_TBL</t>
        </is>
      </c>
      <c r="T53" s="15" t="inlineStr">
        <is>
          <t>VALUES(</t>
        </is>
      </c>
      <c r="U53" s="15" t="inlineStr">
        <is>
          <t>582 , 4</t>
        </is>
      </c>
      <c r="V53" s="15" t="inlineStr">
        <is>
          <t>);</t>
        </is>
      </c>
      <c r="X53" s="18">
        <f>EXACT(TRIM(L53&amp;""),O53&amp;"")</f>
        <v/>
      </c>
      <c r="Y53" s="18">
        <f>EXACT(TRIM(E53&amp;""),P53&amp;"")</f>
        <v/>
      </c>
      <c r="Z53" s="18">
        <f>AND(X53:Y53)</f>
        <v/>
      </c>
      <c r="AA53" s="19">
        <f>TRIM(IF(X53,"",$X$3&amp;" ")&amp;IF(Y53,"",$Y$3&amp;" "))</f>
        <v/>
      </c>
      <c r="AB53" s="18">
        <f>EXACT(SUBSTITUTE(M53," ",""),SUBSTITUTE(R53&amp;S53&amp;T53&amp;U53&amp;V53," ",""))</f>
        <v/>
      </c>
    </row>
    <row r="54">
      <c r="A54" s="15" t="inlineStr">
        <is>
          <t>INSERT INTO CNF_UNIT_FILTERING_TBL SELECT UNIT_ID, 5 FROM MST_UNIT_TBL WHERE UNIT_CODE = 'LF005';</t>
        </is>
      </c>
      <c r="B54" s="16" t="n"/>
      <c r="C54" s="15" t="inlineStr">
        <is>
          <t>CNF_UNIT_FILTERING_TBL</t>
        </is>
      </c>
      <c r="D54" s="15" t="inlineStr">
        <is>
          <t>UNIT_ID</t>
        </is>
      </c>
      <c r="E54" s="15" t="inlineStr">
        <is>
          <t>5</t>
        </is>
      </c>
      <c r="F54" s="15" t="inlineStr">
        <is>
          <t>MST_UNIT_TBL</t>
        </is>
      </c>
      <c r="G54" s="15" t="inlineStr">
        <is>
          <t>UNIT_CODE</t>
        </is>
      </c>
      <c r="H54" s="15" t="inlineStr">
        <is>
          <t>LF005</t>
        </is>
      </c>
      <c r="J54" s="15" t="inlineStr">
        <is>
          <t>LF005</t>
        </is>
      </c>
      <c r="K54" s="15" t="inlineStr">
        <is>
          <t>人財部</t>
        </is>
      </c>
      <c r="L54" s="15" t="inlineStr">
        <is>
          <t>582</t>
        </is>
      </c>
      <c r="M54" s="19">
        <f>"INSERT INTO "&amp;C54&amp;" VALUES("&amp;L54&amp;" , "&amp;E54&amp;");"</f>
        <v/>
      </c>
      <c r="O54" s="17" t="inlineStr">
        <is>
          <t>582</t>
        </is>
      </c>
      <c r="P54" s="17" t="inlineStr">
        <is>
          <t>5</t>
        </is>
      </c>
      <c r="R54" s="15" t="inlineStr">
        <is>
          <t>INSERT INTO</t>
        </is>
      </c>
      <c r="S54" s="15" t="inlineStr">
        <is>
          <t>CNF_UNIT_FILTERING_TBL</t>
        </is>
      </c>
      <c r="T54" s="15" t="inlineStr">
        <is>
          <t>VALUES(</t>
        </is>
      </c>
      <c r="U54" s="15" t="inlineStr">
        <is>
          <t>582 , 5</t>
        </is>
      </c>
      <c r="V54" s="15" t="inlineStr">
        <is>
          <t>);</t>
        </is>
      </c>
      <c r="X54" s="18">
        <f>EXACT(TRIM(L54&amp;""),O54&amp;"")</f>
        <v/>
      </c>
      <c r="Y54" s="18">
        <f>EXACT(TRIM(E54&amp;""),P54&amp;"")</f>
        <v/>
      </c>
      <c r="Z54" s="18">
        <f>AND(X54:Y54)</f>
        <v/>
      </c>
      <c r="AA54" s="19">
        <f>TRIM(IF(X54,"",$X$3&amp;" ")&amp;IF(Y54,"",$Y$3&amp;" "))</f>
        <v/>
      </c>
      <c r="AB54" s="18">
        <f>EXACT(SUBSTITUTE(M54," ",""),SUBSTITUTE(R54&amp;S54&amp;T54&amp;U54&amp;V54," ",""))</f>
        <v/>
      </c>
    </row>
    <row r="55">
      <c r="A55" s="15" t="inlineStr">
        <is>
          <t>INSERT INTO CNF_UNIT_FILTERING_TBL SELECT UNIT_ID, 7 FROM MST_UNIT_TBL WHERE UNIT_CODE = 'LF005';</t>
        </is>
      </c>
      <c r="B55" s="16" t="n"/>
      <c r="C55" s="15" t="inlineStr">
        <is>
          <t>CNF_UNIT_FILTERING_TBL</t>
        </is>
      </c>
      <c r="D55" s="15" t="inlineStr">
        <is>
          <t>UNIT_ID</t>
        </is>
      </c>
      <c r="E55" s="15" t="inlineStr">
        <is>
          <t>7</t>
        </is>
      </c>
      <c r="F55" s="15" t="inlineStr">
        <is>
          <t>MST_UNIT_TBL</t>
        </is>
      </c>
      <c r="G55" s="15" t="inlineStr">
        <is>
          <t>UNIT_CODE</t>
        </is>
      </c>
      <c r="H55" s="15" t="inlineStr">
        <is>
          <t>LF005</t>
        </is>
      </c>
      <c r="J55" s="15" t="inlineStr">
        <is>
          <t>LF005</t>
        </is>
      </c>
      <c r="K55" s="15" t="inlineStr">
        <is>
          <t>人財部</t>
        </is>
      </c>
      <c r="L55" s="15" t="inlineStr">
        <is>
          <t>582</t>
        </is>
      </c>
      <c r="M55" s="19">
        <f>"INSERT INTO "&amp;C55&amp;" VALUES("&amp;L55&amp;" , "&amp;E55&amp;");"</f>
        <v/>
      </c>
      <c r="O55" s="17" t="inlineStr">
        <is>
          <t>582</t>
        </is>
      </c>
      <c r="P55" s="17" t="inlineStr">
        <is>
          <t>7</t>
        </is>
      </c>
      <c r="R55" s="15" t="inlineStr">
        <is>
          <t>INSERT INTO</t>
        </is>
      </c>
      <c r="S55" s="15" t="inlineStr">
        <is>
          <t>CNF_UNIT_FILTERING_TBL</t>
        </is>
      </c>
      <c r="T55" s="15" t="inlineStr">
        <is>
          <t>VALUES(</t>
        </is>
      </c>
      <c r="U55" s="15" t="inlineStr">
        <is>
          <t>582 , 7</t>
        </is>
      </c>
      <c r="V55" s="15" t="inlineStr">
        <is>
          <t>);</t>
        </is>
      </c>
      <c r="X55" s="18">
        <f>EXACT(TRIM(L55&amp;""),O55&amp;"")</f>
        <v/>
      </c>
      <c r="Y55" s="18">
        <f>EXACT(TRIM(E55&amp;""),P55&amp;"")</f>
        <v/>
      </c>
      <c r="Z55" s="18">
        <f>AND(X55:Y55)</f>
        <v/>
      </c>
      <c r="AA55" s="19">
        <f>TRIM(IF(X55,"",$X$3&amp;" ")&amp;IF(Y55,"",$Y$3&amp;" "))</f>
        <v/>
      </c>
      <c r="AB55" s="18">
        <f>EXACT(SUBSTITUTE(M55," ",""),SUBSTITUTE(R55&amp;S55&amp;T55&amp;U55&amp;V55," ",""))</f>
        <v/>
      </c>
    </row>
    <row r="56">
      <c r="A56" s="15" t="inlineStr">
        <is>
          <t>INSERT INTO CNF_UNIT_FILTERING_TBL SELECT UNIT_ID, 8 FROM MST_UNIT_TBL WHERE UNIT_CODE = 'LF005';</t>
        </is>
      </c>
      <c r="B56" s="16" t="n"/>
      <c r="C56" s="15" t="inlineStr">
        <is>
          <t>CNF_UNIT_FILTERING_TBL</t>
        </is>
      </c>
      <c r="D56" s="15" t="inlineStr">
        <is>
          <t>UNIT_ID</t>
        </is>
      </c>
      <c r="E56" s="15" t="inlineStr">
        <is>
          <t>8</t>
        </is>
      </c>
      <c r="F56" s="15" t="inlineStr">
        <is>
          <t>MST_UNIT_TBL</t>
        </is>
      </c>
      <c r="G56" s="15" t="inlineStr">
        <is>
          <t>UNIT_CODE</t>
        </is>
      </c>
      <c r="H56" s="15" t="inlineStr">
        <is>
          <t>LF005</t>
        </is>
      </c>
      <c r="J56" s="15" t="inlineStr">
        <is>
          <t>LF005</t>
        </is>
      </c>
      <c r="K56" s="15" t="inlineStr">
        <is>
          <t>人財部</t>
        </is>
      </c>
      <c r="L56" s="15" t="inlineStr">
        <is>
          <t>582</t>
        </is>
      </c>
      <c r="M56" s="19">
        <f>"INSERT INTO "&amp;C56&amp;" VALUES("&amp;L56&amp;" , "&amp;E56&amp;");"</f>
        <v/>
      </c>
      <c r="O56" s="17" t="inlineStr">
        <is>
          <t>582</t>
        </is>
      </c>
      <c r="P56" s="17" t="inlineStr">
        <is>
          <t>8</t>
        </is>
      </c>
      <c r="R56" s="15" t="inlineStr">
        <is>
          <t>INSERT INTO</t>
        </is>
      </c>
      <c r="S56" s="15" t="inlineStr">
        <is>
          <t>CNF_UNIT_FILTERING_TBL</t>
        </is>
      </c>
      <c r="T56" s="15" t="inlineStr">
        <is>
          <t>VALUES(</t>
        </is>
      </c>
      <c r="U56" s="15" t="inlineStr">
        <is>
          <t>582 , 8</t>
        </is>
      </c>
      <c r="V56" s="15" t="inlineStr">
        <is>
          <t>);</t>
        </is>
      </c>
      <c r="X56" s="18">
        <f>EXACT(TRIM(L56&amp;""),O56&amp;"")</f>
        <v/>
      </c>
      <c r="Y56" s="18">
        <f>EXACT(TRIM(E56&amp;""),P56&amp;"")</f>
        <v/>
      </c>
      <c r="Z56" s="18">
        <f>AND(X56:Y56)</f>
        <v/>
      </c>
      <c r="AA56" s="19">
        <f>TRIM(IF(X56,"",$X$3&amp;" ")&amp;IF(Y56,"",$Y$3&amp;" "))</f>
        <v/>
      </c>
      <c r="AB56" s="18">
        <f>EXACT(SUBSTITUTE(M56," ",""),SUBSTITUTE(R56&amp;S56&amp;T56&amp;U56&amp;V56," ",""))</f>
        <v/>
      </c>
    </row>
    <row r="57">
      <c r="A57" s="15" t="inlineStr">
        <is>
          <t>INSERT INTO CNF_UNIT_FILTERING_TBL SELECT UNIT_ID, 9 FROM MST_UNIT_TBL WHERE UNIT_CODE = 'LF005';</t>
        </is>
      </c>
      <c r="B57" s="16" t="n"/>
      <c r="C57" s="15" t="inlineStr">
        <is>
          <t>CNF_UNIT_FILTERING_TBL</t>
        </is>
      </c>
      <c r="D57" s="15" t="inlineStr">
        <is>
          <t>UNIT_ID</t>
        </is>
      </c>
      <c r="E57" s="15" t="inlineStr">
        <is>
          <t>9</t>
        </is>
      </c>
      <c r="F57" s="15" t="inlineStr">
        <is>
          <t>MST_UNIT_TBL</t>
        </is>
      </c>
      <c r="G57" s="15" t="inlineStr">
        <is>
          <t>UNIT_CODE</t>
        </is>
      </c>
      <c r="H57" s="15" t="inlineStr">
        <is>
          <t>LF005</t>
        </is>
      </c>
      <c r="J57" s="15" t="inlineStr">
        <is>
          <t>LF005</t>
        </is>
      </c>
      <c r="K57" s="15" t="inlineStr">
        <is>
          <t>人財部</t>
        </is>
      </c>
      <c r="L57" s="15" t="inlineStr">
        <is>
          <t>582</t>
        </is>
      </c>
      <c r="M57" s="19">
        <f>"INSERT INTO "&amp;C57&amp;" VALUES("&amp;L57&amp;" , "&amp;E57&amp;");"</f>
        <v/>
      </c>
      <c r="O57" s="17" t="inlineStr">
        <is>
          <t>582</t>
        </is>
      </c>
      <c r="P57" s="17" t="inlineStr">
        <is>
          <t>9</t>
        </is>
      </c>
      <c r="R57" s="15" t="inlineStr">
        <is>
          <t>INSERT INTO</t>
        </is>
      </c>
      <c r="S57" s="15" t="inlineStr">
        <is>
          <t>CNF_UNIT_FILTERING_TBL</t>
        </is>
      </c>
      <c r="T57" s="15" t="inlineStr">
        <is>
          <t>VALUES(</t>
        </is>
      </c>
      <c r="U57" s="15" t="inlineStr">
        <is>
          <t>582 , 9</t>
        </is>
      </c>
      <c r="V57" s="15" t="inlineStr">
        <is>
          <t>);</t>
        </is>
      </c>
      <c r="X57" s="18">
        <f>EXACT(TRIM(L57&amp;""),O57&amp;"")</f>
        <v/>
      </c>
      <c r="Y57" s="18">
        <f>EXACT(TRIM(E57&amp;""),P57&amp;"")</f>
        <v/>
      </c>
      <c r="Z57" s="18">
        <f>AND(X57:Y57)</f>
        <v/>
      </c>
      <c r="AA57" s="19">
        <f>TRIM(IF(X57,"",$X$3&amp;" ")&amp;IF(Y57,"",$Y$3&amp;" "))</f>
        <v/>
      </c>
      <c r="AB57" s="18">
        <f>EXACT(SUBSTITUTE(M57," ",""),SUBSTITUTE(R57&amp;S57&amp;T57&amp;U57&amp;V57," ",""))</f>
        <v/>
      </c>
    </row>
    <row r="58">
      <c r="A58" s="15" t="inlineStr">
        <is>
          <t>INSERT INTO CNF_UNIT_FILTERING_TBL SELECT UNIT_ID, 11 FROM MST_UNIT_TBL WHERE UNIT_CODE = 'LF005';</t>
        </is>
      </c>
      <c r="B58" s="16" t="n"/>
      <c r="C58" s="15" t="inlineStr">
        <is>
          <t>CNF_UNIT_FILTERING_TBL</t>
        </is>
      </c>
      <c r="D58" s="15" t="inlineStr">
        <is>
          <t>UNIT_ID</t>
        </is>
      </c>
      <c r="E58" s="15" t="inlineStr">
        <is>
          <t>11</t>
        </is>
      </c>
      <c r="F58" s="15" t="inlineStr">
        <is>
          <t>MST_UNIT_TBL</t>
        </is>
      </c>
      <c r="G58" s="15" t="inlineStr">
        <is>
          <t>UNIT_CODE</t>
        </is>
      </c>
      <c r="H58" s="15" t="inlineStr">
        <is>
          <t>LF005</t>
        </is>
      </c>
      <c r="J58" s="15" t="inlineStr">
        <is>
          <t>LF005</t>
        </is>
      </c>
      <c r="K58" s="15" t="inlineStr">
        <is>
          <t>人財部</t>
        </is>
      </c>
      <c r="L58" s="15" t="inlineStr">
        <is>
          <t>582</t>
        </is>
      </c>
      <c r="M58" s="19">
        <f>"INSERT INTO "&amp;C58&amp;" VALUES("&amp;L58&amp;" , "&amp;E58&amp;");"</f>
        <v/>
      </c>
      <c r="O58" s="17" t="inlineStr">
        <is>
          <t>582</t>
        </is>
      </c>
      <c r="P58" s="17" t="inlineStr">
        <is>
          <t>11</t>
        </is>
      </c>
      <c r="R58" s="15" t="inlineStr">
        <is>
          <t>INSERT INTO</t>
        </is>
      </c>
      <c r="S58" s="15" t="inlineStr">
        <is>
          <t>CNF_UNIT_FILTERING_TBL</t>
        </is>
      </c>
      <c r="T58" s="15" t="inlineStr">
        <is>
          <t>VALUES(</t>
        </is>
      </c>
      <c r="U58" s="15" t="inlineStr">
        <is>
          <t>582 , 11</t>
        </is>
      </c>
      <c r="V58" s="15" t="inlineStr">
        <is>
          <t>);</t>
        </is>
      </c>
      <c r="X58" s="18">
        <f>EXACT(TRIM(L58&amp;""),O58&amp;"")</f>
        <v/>
      </c>
      <c r="Y58" s="18">
        <f>EXACT(TRIM(E58&amp;""),P58&amp;"")</f>
        <v/>
      </c>
      <c r="Z58" s="18">
        <f>AND(X58:Y58)</f>
        <v/>
      </c>
      <c r="AA58" s="19">
        <f>TRIM(IF(X58,"",$X$3&amp;" ")&amp;IF(Y58,"",$Y$3&amp;" "))</f>
        <v/>
      </c>
      <c r="AB58" s="18">
        <f>EXACT(SUBSTITUTE(M58," ",""),SUBSTITUTE(R58&amp;S58&amp;T58&amp;U58&amp;V58," ",""))</f>
        <v/>
      </c>
    </row>
    <row r="59">
      <c r="A59" s="15" t="inlineStr">
        <is>
          <t>INSERT INTO CNF_UNIT_FILTERING_TBL SELECT UNIT_ID, 12 FROM MST_UNIT_TBL WHERE UNIT_CODE = 'LF005';</t>
        </is>
      </c>
      <c r="B59" s="16" t="n"/>
      <c r="C59" s="15" t="inlineStr">
        <is>
          <t>CNF_UNIT_FILTERING_TBL</t>
        </is>
      </c>
      <c r="D59" s="15" t="inlineStr">
        <is>
          <t>UNIT_ID</t>
        </is>
      </c>
      <c r="E59" s="15" t="inlineStr">
        <is>
          <t>12</t>
        </is>
      </c>
      <c r="F59" s="15" t="inlineStr">
        <is>
          <t>MST_UNIT_TBL</t>
        </is>
      </c>
      <c r="G59" s="15" t="inlineStr">
        <is>
          <t>UNIT_CODE</t>
        </is>
      </c>
      <c r="H59" s="15" t="inlineStr">
        <is>
          <t>LF005</t>
        </is>
      </c>
      <c r="J59" s="15" t="inlineStr">
        <is>
          <t>LF005</t>
        </is>
      </c>
      <c r="K59" s="15" t="inlineStr">
        <is>
          <t>人財部</t>
        </is>
      </c>
      <c r="L59" s="15" t="inlineStr">
        <is>
          <t>582</t>
        </is>
      </c>
      <c r="M59" s="19">
        <f>"INSERT INTO "&amp;C59&amp;" VALUES("&amp;L59&amp;" , "&amp;E59&amp;");"</f>
        <v/>
      </c>
      <c r="O59" s="17" t="inlineStr">
        <is>
          <t>582</t>
        </is>
      </c>
      <c r="P59" s="17" t="inlineStr">
        <is>
          <t>12</t>
        </is>
      </c>
      <c r="R59" s="15" t="inlineStr">
        <is>
          <t>INSERT INTO</t>
        </is>
      </c>
      <c r="S59" s="15" t="inlineStr">
        <is>
          <t>CNF_UNIT_FILTERING_TBL</t>
        </is>
      </c>
      <c r="T59" s="15" t="inlineStr">
        <is>
          <t>VALUES(</t>
        </is>
      </c>
      <c r="U59" s="15" t="inlineStr">
        <is>
          <t>582 , 12</t>
        </is>
      </c>
      <c r="V59" s="15" t="inlineStr">
        <is>
          <t>);</t>
        </is>
      </c>
      <c r="X59" s="18">
        <f>EXACT(TRIM(L59&amp;""),O59&amp;"")</f>
        <v/>
      </c>
      <c r="Y59" s="18">
        <f>EXACT(TRIM(E59&amp;""),P59&amp;"")</f>
        <v/>
      </c>
      <c r="Z59" s="18">
        <f>AND(X59:Y59)</f>
        <v/>
      </c>
      <c r="AA59" s="19">
        <f>TRIM(IF(X59,"",$X$3&amp;" ")&amp;IF(Y59,"",$Y$3&amp;" "))</f>
        <v/>
      </c>
      <c r="AB59" s="18">
        <f>EXACT(SUBSTITUTE(M59," ",""),SUBSTITUTE(R59&amp;S59&amp;T59&amp;U59&amp;V59," ",""))</f>
        <v/>
      </c>
    </row>
    <row r="60">
      <c r="A60" s="15" t="inlineStr">
        <is>
          <t>INSERT INTO CNF_UNIT_FILTERING_TBL SELECT UNIT_ID, 13 FROM MST_UNIT_TBL WHERE UNIT_CODE = 'LF005';</t>
        </is>
      </c>
      <c r="B60" s="16" t="n"/>
      <c r="C60" s="15" t="inlineStr">
        <is>
          <t>CNF_UNIT_FILTERING_TBL</t>
        </is>
      </c>
      <c r="D60" s="15" t="inlineStr">
        <is>
          <t>UNIT_ID</t>
        </is>
      </c>
      <c r="E60" s="15" t="inlineStr">
        <is>
          <t>13</t>
        </is>
      </c>
      <c r="F60" s="15" t="inlineStr">
        <is>
          <t>MST_UNIT_TBL</t>
        </is>
      </c>
      <c r="G60" s="15" t="inlineStr">
        <is>
          <t>UNIT_CODE</t>
        </is>
      </c>
      <c r="H60" s="15" t="inlineStr">
        <is>
          <t>LF005</t>
        </is>
      </c>
      <c r="J60" s="15" t="inlineStr">
        <is>
          <t>LF005</t>
        </is>
      </c>
      <c r="K60" s="15" t="inlineStr">
        <is>
          <t>人財部</t>
        </is>
      </c>
      <c r="L60" s="15" t="inlineStr">
        <is>
          <t>582</t>
        </is>
      </c>
      <c r="M60" s="19">
        <f>"INSERT INTO "&amp;C60&amp;" VALUES("&amp;L60&amp;" , "&amp;E60&amp;");"</f>
        <v/>
      </c>
      <c r="O60" s="17" t="inlineStr">
        <is>
          <t>582</t>
        </is>
      </c>
      <c r="P60" s="17" t="inlineStr">
        <is>
          <t>13</t>
        </is>
      </c>
      <c r="R60" s="15" t="inlineStr">
        <is>
          <t>INSERT INTO</t>
        </is>
      </c>
      <c r="S60" s="15" t="inlineStr">
        <is>
          <t>CNF_UNIT_FILTERING_TBL</t>
        </is>
      </c>
      <c r="T60" s="15" t="inlineStr">
        <is>
          <t>VALUES(</t>
        </is>
      </c>
      <c r="U60" s="15" t="inlineStr">
        <is>
          <t>582 , 13</t>
        </is>
      </c>
      <c r="V60" s="15" t="inlineStr">
        <is>
          <t>);</t>
        </is>
      </c>
      <c r="X60" s="18">
        <f>EXACT(TRIM(L60&amp;""),O60&amp;"")</f>
        <v/>
      </c>
      <c r="Y60" s="18">
        <f>EXACT(TRIM(E60&amp;""),P60&amp;"")</f>
        <v/>
      </c>
      <c r="Z60" s="18">
        <f>AND(X60:Y60)</f>
        <v/>
      </c>
      <c r="AA60" s="19">
        <f>TRIM(IF(X60,"",$X$3&amp;" ")&amp;IF(Y60,"",$Y$3&amp;" "))</f>
        <v/>
      </c>
      <c r="AB60" s="18">
        <f>EXACT(SUBSTITUTE(M60," ",""),SUBSTITUTE(R60&amp;S60&amp;T60&amp;U60&amp;V60," ",""))</f>
        <v/>
      </c>
    </row>
    <row r="61">
      <c r="A61" s="15" t="inlineStr">
        <is>
          <t>INSERT INTO CNF_UNIT_FILTERING_TBL SELECT UNIT_ID, 14 FROM MST_UNIT_TBL WHERE UNIT_CODE = 'LF005';</t>
        </is>
      </c>
      <c r="B61" s="16" t="n"/>
      <c r="C61" s="15" t="inlineStr">
        <is>
          <t>CNF_UNIT_FILTERING_TBL</t>
        </is>
      </c>
      <c r="D61" s="15" t="inlineStr">
        <is>
          <t>UNIT_ID</t>
        </is>
      </c>
      <c r="E61" s="15" t="inlineStr">
        <is>
          <t>14</t>
        </is>
      </c>
      <c r="F61" s="15" t="inlineStr">
        <is>
          <t>MST_UNIT_TBL</t>
        </is>
      </c>
      <c r="G61" s="15" t="inlineStr">
        <is>
          <t>UNIT_CODE</t>
        </is>
      </c>
      <c r="H61" s="15" t="inlineStr">
        <is>
          <t>LF005</t>
        </is>
      </c>
      <c r="J61" s="15" t="inlineStr">
        <is>
          <t>LF005</t>
        </is>
      </c>
      <c r="K61" s="15" t="inlineStr">
        <is>
          <t>人財部</t>
        </is>
      </c>
      <c r="L61" s="15" t="inlineStr">
        <is>
          <t>582</t>
        </is>
      </c>
      <c r="M61" s="19">
        <f>"INSERT INTO "&amp;C61&amp;" VALUES("&amp;L61&amp;" , "&amp;E61&amp;");"</f>
        <v/>
      </c>
      <c r="O61" s="17" t="inlineStr">
        <is>
          <t>582</t>
        </is>
      </c>
      <c r="P61" s="17" t="inlineStr">
        <is>
          <t>14</t>
        </is>
      </c>
      <c r="R61" s="15" t="inlineStr">
        <is>
          <t>INSERT INTO</t>
        </is>
      </c>
      <c r="S61" s="15" t="inlineStr">
        <is>
          <t>CNF_UNIT_FILTERING_TBL</t>
        </is>
      </c>
      <c r="T61" s="15" t="inlineStr">
        <is>
          <t>VALUES(</t>
        </is>
      </c>
      <c r="U61" s="15" t="inlineStr">
        <is>
          <t>582 , 14</t>
        </is>
      </c>
      <c r="V61" s="15" t="inlineStr">
        <is>
          <t>);</t>
        </is>
      </c>
      <c r="X61" s="18">
        <f>EXACT(TRIM(L61&amp;""),O61&amp;"")</f>
        <v/>
      </c>
      <c r="Y61" s="18">
        <f>EXACT(TRIM(E61&amp;""),P61&amp;"")</f>
        <v/>
      </c>
      <c r="Z61" s="18">
        <f>AND(X61:Y61)</f>
        <v/>
      </c>
      <c r="AA61" s="19">
        <f>TRIM(IF(X61,"",$X$3&amp;" ")&amp;IF(Y61,"",$Y$3&amp;" "))</f>
        <v/>
      </c>
      <c r="AB61" s="18">
        <f>EXACT(SUBSTITUTE(M61," ",""),SUBSTITUTE(R61&amp;S61&amp;T61&amp;U61&amp;V61," ",""))</f>
        <v/>
      </c>
    </row>
    <row r="62">
      <c r="A62" s="15" t="inlineStr">
        <is>
          <t>INSERT INTO CNF_UNIT_FILTERING_TBL SELECT UNIT_ID, 15 FROM MST_UNIT_TBL WHERE UNIT_CODE = 'LF005';</t>
        </is>
      </c>
      <c r="B62" s="16" t="n"/>
      <c r="C62" s="15" t="inlineStr">
        <is>
          <t>CNF_UNIT_FILTERING_TBL</t>
        </is>
      </c>
      <c r="D62" s="15" t="inlineStr">
        <is>
          <t>UNIT_ID</t>
        </is>
      </c>
      <c r="E62" s="15" t="inlineStr">
        <is>
          <t>15</t>
        </is>
      </c>
      <c r="F62" s="15" t="inlineStr">
        <is>
          <t>MST_UNIT_TBL</t>
        </is>
      </c>
      <c r="G62" s="15" t="inlineStr">
        <is>
          <t>UNIT_CODE</t>
        </is>
      </c>
      <c r="H62" s="15" t="inlineStr">
        <is>
          <t>LF005</t>
        </is>
      </c>
      <c r="J62" s="15" t="inlineStr">
        <is>
          <t>LF005</t>
        </is>
      </c>
      <c r="K62" s="15" t="inlineStr">
        <is>
          <t>人財部</t>
        </is>
      </c>
      <c r="L62" s="15" t="inlineStr">
        <is>
          <t>582</t>
        </is>
      </c>
      <c r="M62" s="19">
        <f>"INSERT INTO "&amp;C62&amp;" VALUES("&amp;L62&amp;" , "&amp;E62&amp;");"</f>
        <v/>
      </c>
      <c r="O62" s="17" t="inlineStr">
        <is>
          <t>582</t>
        </is>
      </c>
      <c r="P62" s="17" t="inlineStr">
        <is>
          <t>15</t>
        </is>
      </c>
      <c r="R62" s="15" t="inlineStr">
        <is>
          <t>INSERT INTO</t>
        </is>
      </c>
      <c r="S62" s="15" t="inlineStr">
        <is>
          <t>CNF_UNIT_FILTERING_TBL</t>
        </is>
      </c>
      <c r="T62" s="15" t="inlineStr">
        <is>
          <t>VALUES(</t>
        </is>
      </c>
      <c r="U62" s="15" t="inlineStr">
        <is>
          <t>582 , 15</t>
        </is>
      </c>
      <c r="V62" s="15" t="inlineStr">
        <is>
          <t>);</t>
        </is>
      </c>
      <c r="X62" s="18">
        <f>EXACT(TRIM(L62&amp;""),O62&amp;"")</f>
        <v/>
      </c>
      <c r="Y62" s="18">
        <f>EXACT(TRIM(E62&amp;""),P62&amp;"")</f>
        <v/>
      </c>
      <c r="Z62" s="18">
        <f>AND(X62:Y62)</f>
        <v/>
      </c>
      <c r="AA62" s="19">
        <f>TRIM(IF(X62,"",$X$3&amp;" ")&amp;IF(Y62,"",$Y$3&amp;" "))</f>
        <v/>
      </c>
      <c r="AB62" s="18">
        <f>EXACT(SUBSTITUTE(M62," ",""),SUBSTITUTE(R62&amp;S62&amp;T62&amp;U62&amp;V62," ",""))</f>
        <v/>
      </c>
    </row>
    <row r="63">
      <c r="A63" s="15" t="inlineStr">
        <is>
          <t>INSERT INTO CNF_UNIT_FILTERING_TBL SELECT UNIT_ID, 16 FROM MST_UNIT_TBL WHERE UNIT_CODE = 'LF005';</t>
        </is>
      </c>
      <c r="B63" s="16" t="n"/>
      <c r="C63" s="15" t="inlineStr">
        <is>
          <t>CNF_UNIT_FILTERING_TBL</t>
        </is>
      </c>
      <c r="D63" s="15" t="inlineStr">
        <is>
          <t>UNIT_ID</t>
        </is>
      </c>
      <c r="E63" s="15" t="inlineStr">
        <is>
          <t>16</t>
        </is>
      </c>
      <c r="F63" s="15" t="inlineStr">
        <is>
          <t>MST_UNIT_TBL</t>
        </is>
      </c>
      <c r="G63" s="15" t="inlineStr">
        <is>
          <t>UNIT_CODE</t>
        </is>
      </c>
      <c r="H63" s="15" t="inlineStr">
        <is>
          <t>LF005</t>
        </is>
      </c>
      <c r="J63" s="15" t="inlineStr">
        <is>
          <t>LF005</t>
        </is>
      </c>
      <c r="K63" s="15" t="inlineStr">
        <is>
          <t>人財部</t>
        </is>
      </c>
      <c r="L63" s="15" t="inlineStr">
        <is>
          <t>582</t>
        </is>
      </c>
      <c r="M63" s="19">
        <f>"INSERT INTO "&amp;C63&amp;" VALUES("&amp;L63&amp;" , "&amp;E63&amp;");"</f>
        <v/>
      </c>
      <c r="O63" s="17" t="inlineStr">
        <is>
          <t>582</t>
        </is>
      </c>
      <c r="P63" s="17" t="inlineStr">
        <is>
          <t>16</t>
        </is>
      </c>
      <c r="R63" s="15" t="inlineStr">
        <is>
          <t>INSERT INTO</t>
        </is>
      </c>
      <c r="S63" s="15" t="inlineStr">
        <is>
          <t>CNF_UNIT_FILTERING_TBL</t>
        </is>
      </c>
      <c r="T63" s="15" t="inlineStr">
        <is>
          <t>VALUES(</t>
        </is>
      </c>
      <c r="U63" s="15" t="inlineStr">
        <is>
          <t>582 , 16</t>
        </is>
      </c>
      <c r="V63" s="15" t="inlineStr">
        <is>
          <t>);</t>
        </is>
      </c>
      <c r="X63" s="18">
        <f>EXACT(TRIM(L63&amp;""),O63&amp;"")</f>
        <v/>
      </c>
      <c r="Y63" s="18">
        <f>EXACT(TRIM(E63&amp;""),P63&amp;"")</f>
        <v/>
      </c>
      <c r="Z63" s="18">
        <f>AND(X63:Y63)</f>
        <v/>
      </c>
      <c r="AA63" s="19">
        <f>TRIM(IF(X63,"",$X$3&amp;" ")&amp;IF(Y63,"",$Y$3&amp;" "))</f>
        <v/>
      </c>
      <c r="AB63" s="18">
        <f>EXACT(SUBSTITUTE(M63," ",""),SUBSTITUTE(R63&amp;S63&amp;T63&amp;U63&amp;V63," ",""))</f>
        <v/>
      </c>
    </row>
    <row r="64">
      <c r="A64" s="15" t="inlineStr">
        <is>
          <t>INSERT INTO CNF_UNIT_FILTERING_TBL SELECT UNIT_ID, 1 FROM MST_UNIT_TBL WHERE UNIT_CODE = 'LF006';</t>
        </is>
      </c>
      <c r="B64" s="16" t="n"/>
      <c r="C64" s="15" t="inlineStr">
        <is>
          <t>CNF_UNIT_FILTERING_TBL</t>
        </is>
      </c>
      <c r="D64" s="15" t="inlineStr">
        <is>
          <t>UNIT_ID</t>
        </is>
      </c>
      <c r="E64" s="15" t="inlineStr">
        <is>
          <t>1</t>
        </is>
      </c>
      <c r="F64" s="15" t="inlineStr">
        <is>
          <t>MST_UNIT_TBL</t>
        </is>
      </c>
      <c r="G64" s="15" t="inlineStr">
        <is>
          <t>UNIT_CODE</t>
        </is>
      </c>
      <c r="H64" s="15" t="inlineStr">
        <is>
          <t>LF006</t>
        </is>
      </c>
      <c r="J64" s="15" t="inlineStr">
        <is>
          <t>LF006</t>
        </is>
      </c>
      <c r="K64" s="15" t="inlineStr">
        <is>
          <t>リスク管理部</t>
        </is>
      </c>
      <c r="L64" s="15" t="inlineStr">
        <is>
          <t>583</t>
        </is>
      </c>
      <c r="M64" s="19">
        <f>"INSERT INTO "&amp;C64&amp;" VALUES("&amp;L64&amp;" , "&amp;E64&amp;");"</f>
        <v/>
      </c>
      <c r="O64" s="17" t="inlineStr">
        <is>
          <t>583</t>
        </is>
      </c>
      <c r="P64" s="17" t="inlineStr">
        <is>
          <t>1</t>
        </is>
      </c>
      <c r="R64" s="15" t="inlineStr">
        <is>
          <t>INSERT INTO</t>
        </is>
      </c>
      <c r="S64" s="15" t="inlineStr">
        <is>
          <t>CNF_UNIT_FILTERING_TBL</t>
        </is>
      </c>
      <c r="T64" s="15" t="inlineStr">
        <is>
          <t>VALUES(</t>
        </is>
      </c>
      <c r="U64" s="15" t="inlineStr">
        <is>
          <t>583 , 1</t>
        </is>
      </c>
      <c r="V64" s="15" t="inlineStr">
        <is>
          <t>);</t>
        </is>
      </c>
      <c r="X64" s="18">
        <f>EXACT(TRIM(L64&amp;""),O64&amp;"")</f>
        <v/>
      </c>
      <c r="Y64" s="18">
        <f>EXACT(TRIM(E64&amp;""),P64&amp;"")</f>
        <v/>
      </c>
      <c r="Z64" s="18">
        <f>AND(X64:Y64)</f>
        <v/>
      </c>
      <c r="AA64" s="19">
        <f>TRIM(IF(X64,"",$X$3&amp;" ")&amp;IF(Y64,"",$Y$3&amp;" "))</f>
        <v/>
      </c>
      <c r="AB64" s="18">
        <f>EXACT(SUBSTITUTE(M64," ",""),SUBSTITUTE(R64&amp;S64&amp;T64&amp;U64&amp;V64," ",""))</f>
        <v/>
      </c>
    </row>
    <row r="65">
      <c r="A65" s="15" t="inlineStr">
        <is>
          <t>INSERT INTO CNF_UNIT_FILTERING_TBL SELECT UNIT_ID, 4 FROM MST_UNIT_TBL WHERE UNIT_CODE = 'LF006';</t>
        </is>
      </c>
      <c r="B65" s="16" t="n"/>
      <c r="C65" s="15" t="inlineStr">
        <is>
          <t>CNF_UNIT_FILTERING_TBL</t>
        </is>
      </c>
      <c r="D65" s="15" t="inlineStr">
        <is>
          <t>UNIT_ID</t>
        </is>
      </c>
      <c r="E65" s="15" t="inlineStr">
        <is>
          <t>4</t>
        </is>
      </c>
      <c r="F65" s="15" t="inlineStr">
        <is>
          <t>MST_UNIT_TBL</t>
        </is>
      </c>
      <c r="G65" s="15" t="inlineStr">
        <is>
          <t>UNIT_CODE</t>
        </is>
      </c>
      <c r="H65" s="15" t="inlineStr">
        <is>
          <t>LF006</t>
        </is>
      </c>
      <c r="J65" s="15" t="inlineStr">
        <is>
          <t>LF006</t>
        </is>
      </c>
      <c r="K65" s="15" t="inlineStr">
        <is>
          <t>リスク管理部</t>
        </is>
      </c>
      <c r="L65" s="15" t="inlineStr">
        <is>
          <t>583</t>
        </is>
      </c>
      <c r="M65" s="19">
        <f>"INSERT INTO "&amp;C65&amp;" VALUES("&amp;L65&amp;" , "&amp;E65&amp;");"</f>
        <v/>
      </c>
      <c r="O65" s="17" t="inlineStr">
        <is>
          <t>583</t>
        </is>
      </c>
      <c r="P65" s="17" t="inlineStr">
        <is>
          <t>4</t>
        </is>
      </c>
      <c r="R65" s="15" t="inlineStr">
        <is>
          <t>INSERT INTO</t>
        </is>
      </c>
      <c r="S65" s="15" t="inlineStr">
        <is>
          <t>CNF_UNIT_FILTERING_TBL</t>
        </is>
      </c>
      <c r="T65" s="15" t="inlineStr">
        <is>
          <t>VALUES(</t>
        </is>
      </c>
      <c r="U65" s="15" t="inlineStr">
        <is>
          <t>583 , 4</t>
        </is>
      </c>
      <c r="V65" s="15" t="inlineStr">
        <is>
          <t>);</t>
        </is>
      </c>
      <c r="X65" s="18">
        <f>EXACT(TRIM(L65&amp;""),O65&amp;"")</f>
        <v/>
      </c>
      <c r="Y65" s="18">
        <f>EXACT(TRIM(E65&amp;""),P65&amp;"")</f>
        <v/>
      </c>
      <c r="Z65" s="18">
        <f>AND(X65:Y65)</f>
        <v/>
      </c>
      <c r="AA65" s="19">
        <f>TRIM(IF(X65,"",$X$3&amp;" ")&amp;IF(Y65,"",$Y$3&amp;" "))</f>
        <v/>
      </c>
      <c r="AB65" s="18">
        <f>EXACT(SUBSTITUTE(M65," ",""),SUBSTITUTE(R65&amp;S65&amp;T65&amp;U65&amp;V65," ",""))</f>
        <v/>
      </c>
    </row>
    <row r="66">
      <c r="A66" s="15" t="inlineStr">
        <is>
          <t>INSERT INTO CNF_UNIT_FILTERING_TBL SELECT UNIT_ID, 5 FROM MST_UNIT_TBL WHERE UNIT_CODE = 'LF006';</t>
        </is>
      </c>
      <c r="B66" s="16" t="n"/>
      <c r="C66" s="15" t="inlineStr">
        <is>
          <t>CNF_UNIT_FILTERING_TBL</t>
        </is>
      </c>
      <c r="D66" s="15" t="inlineStr">
        <is>
          <t>UNIT_ID</t>
        </is>
      </c>
      <c r="E66" s="15" t="inlineStr">
        <is>
          <t>5</t>
        </is>
      </c>
      <c r="F66" s="15" t="inlineStr">
        <is>
          <t>MST_UNIT_TBL</t>
        </is>
      </c>
      <c r="G66" s="15" t="inlineStr">
        <is>
          <t>UNIT_CODE</t>
        </is>
      </c>
      <c r="H66" s="15" t="inlineStr">
        <is>
          <t>LF006</t>
        </is>
      </c>
      <c r="J66" s="15" t="inlineStr">
        <is>
          <t>LF006</t>
        </is>
      </c>
      <c r="K66" s="15" t="inlineStr">
        <is>
          <t>リスク管理部</t>
        </is>
      </c>
      <c r="L66" s="15" t="inlineStr">
        <is>
          <t>583</t>
        </is>
      </c>
      <c r="M66" s="19">
        <f>"INSERT INTO "&amp;C66&amp;" VALUES("&amp;L66&amp;" , "&amp;E66&amp;");"</f>
        <v/>
      </c>
      <c r="O66" s="17" t="inlineStr">
        <is>
          <t>583</t>
        </is>
      </c>
      <c r="P66" s="17" t="inlineStr">
        <is>
          <t>5</t>
        </is>
      </c>
      <c r="R66" s="15" t="inlineStr">
        <is>
          <t>INSERT INTO</t>
        </is>
      </c>
      <c r="S66" s="15" t="inlineStr">
        <is>
          <t>CNF_UNIT_FILTERING_TBL</t>
        </is>
      </c>
      <c r="T66" s="15" t="inlineStr">
        <is>
          <t>VALUES(</t>
        </is>
      </c>
      <c r="U66" s="15" t="inlineStr">
        <is>
          <t>583 , 5</t>
        </is>
      </c>
      <c r="V66" s="15" t="inlineStr">
        <is>
          <t>);</t>
        </is>
      </c>
      <c r="X66" s="18">
        <f>EXACT(TRIM(L66&amp;""),O66&amp;"")</f>
        <v/>
      </c>
      <c r="Y66" s="18">
        <f>EXACT(TRIM(E66&amp;""),P66&amp;"")</f>
        <v/>
      </c>
      <c r="Z66" s="18">
        <f>AND(X66:Y66)</f>
        <v/>
      </c>
      <c r="AA66" s="19">
        <f>TRIM(IF(X66,"",$X$3&amp;" ")&amp;IF(Y66,"",$Y$3&amp;" "))</f>
        <v/>
      </c>
      <c r="AB66" s="18">
        <f>EXACT(SUBSTITUTE(M66," ",""),SUBSTITUTE(R66&amp;S66&amp;T66&amp;U66&amp;V66," ",""))</f>
        <v/>
      </c>
    </row>
    <row r="67">
      <c r="A67" s="15" t="inlineStr">
        <is>
          <t>INSERT INTO CNF_UNIT_FILTERING_TBL SELECT UNIT_ID, 7 FROM MST_UNIT_TBL WHERE UNIT_CODE = 'LF006';</t>
        </is>
      </c>
      <c r="B67" s="16" t="n"/>
      <c r="C67" s="15" t="inlineStr">
        <is>
          <t>CNF_UNIT_FILTERING_TBL</t>
        </is>
      </c>
      <c r="D67" s="15" t="inlineStr">
        <is>
          <t>UNIT_ID</t>
        </is>
      </c>
      <c r="E67" s="15" t="inlineStr">
        <is>
          <t>7</t>
        </is>
      </c>
      <c r="F67" s="15" t="inlineStr">
        <is>
          <t>MST_UNIT_TBL</t>
        </is>
      </c>
      <c r="G67" s="15" t="inlineStr">
        <is>
          <t>UNIT_CODE</t>
        </is>
      </c>
      <c r="H67" s="15" t="inlineStr">
        <is>
          <t>LF006</t>
        </is>
      </c>
      <c r="J67" s="15" t="inlineStr">
        <is>
          <t>LF006</t>
        </is>
      </c>
      <c r="K67" s="15" t="inlineStr">
        <is>
          <t>リスク管理部</t>
        </is>
      </c>
      <c r="L67" s="15" t="inlineStr">
        <is>
          <t>583</t>
        </is>
      </c>
      <c r="M67" s="19">
        <f>"INSERT INTO "&amp;C67&amp;" VALUES("&amp;L67&amp;" , "&amp;E67&amp;");"</f>
        <v/>
      </c>
      <c r="O67" s="17" t="inlineStr">
        <is>
          <t>583</t>
        </is>
      </c>
      <c r="P67" s="17" t="inlineStr">
        <is>
          <t>7</t>
        </is>
      </c>
      <c r="R67" s="15" t="inlineStr">
        <is>
          <t>INSERT INTO</t>
        </is>
      </c>
      <c r="S67" s="15" t="inlineStr">
        <is>
          <t>CNF_UNIT_FILTERING_TBL</t>
        </is>
      </c>
      <c r="T67" s="15" t="inlineStr">
        <is>
          <t>VALUES(</t>
        </is>
      </c>
      <c r="U67" s="15" t="inlineStr">
        <is>
          <t>583 , 7</t>
        </is>
      </c>
      <c r="V67" s="15" t="inlineStr">
        <is>
          <t>);</t>
        </is>
      </c>
      <c r="X67" s="18">
        <f>EXACT(TRIM(L67&amp;""),O67&amp;"")</f>
        <v/>
      </c>
      <c r="Y67" s="18">
        <f>EXACT(TRIM(E67&amp;""),P67&amp;"")</f>
        <v/>
      </c>
      <c r="Z67" s="18">
        <f>AND(X67:Y67)</f>
        <v/>
      </c>
      <c r="AA67" s="19">
        <f>TRIM(IF(X67,"",$X$3&amp;" ")&amp;IF(Y67,"",$Y$3&amp;" "))</f>
        <v/>
      </c>
      <c r="AB67" s="18">
        <f>EXACT(SUBSTITUTE(M67," ",""),SUBSTITUTE(R67&amp;S67&amp;T67&amp;U67&amp;V67," ",""))</f>
        <v/>
      </c>
    </row>
    <row r="68">
      <c r="A68" s="15" t="inlineStr">
        <is>
          <t>INSERT INTO CNF_UNIT_FILTERING_TBL SELECT UNIT_ID, 8 FROM MST_UNIT_TBL WHERE UNIT_CODE = 'LF006';</t>
        </is>
      </c>
      <c r="B68" s="16" t="n"/>
      <c r="C68" s="15" t="inlineStr">
        <is>
          <t>CNF_UNIT_FILTERING_TBL</t>
        </is>
      </c>
      <c r="D68" s="15" t="inlineStr">
        <is>
          <t>UNIT_ID</t>
        </is>
      </c>
      <c r="E68" s="15" t="inlineStr">
        <is>
          <t>8</t>
        </is>
      </c>
      <c r="F68" s="15" t="inlineStr">
        <is>
          <t>MST_UNIT_TBL</t>
        </is>
      </c>
      <c r="G68" s="15" t="inlineStr">
        <is>
          <t>UNIT_CODE</t>
        </is>
      </c>
      <c r="H68" s="15" t="inlineStr">
        <is>
          <t>LF006</t>
        </is>
      </c>
      <c r="J68" s="15" t="inlineStr">
        <is>
          <t>LF006</t>
        </is>
      </c>
      <c r="K68" s="15" t="inlineStr">
        <is>
          <t>リスク管理部</t>
        </is>
      </c>
      <c r="L68" s="15" t="inlineStr">
        <is>
          <t>583</t>
        </is>
      </c>
      <c r="M68" s="19">
        <f>"INSERT INTO "&amp;C68&amp;" VALUES("&amp;L68&amp;" , "&amp;E68&amp;");"</f>
        <v/>
      </c>
      <c r="O68" s="17" t="inlineStr">
        <is>
          <t>583</t>
        </is>
      </c>
      <c r="P68" s="17" t="inlineStr">
        <is>
          <t>8</t>
        </is>
      </c>
      <c r="R68" s="15" t="inlineStr">
        <is>
          <t>INSERT INTO</t>
        </is>
      </c>
      <c r="S68" s="15" t="inlineStr">
        <is>
          <t>CNF_UNIT_FILTERING_TBL</t>
        </is>
      </c>
      <c r="T68" s="15" t="inlineStr">
        <is>
          <t>VALUES(</t>
        </is>
      </c>
      <c r="U68" s="15" t="inlineStr">
        <is>
          <t>583 , 8</t>
        </is>
      </c>
      <c r="V68" s="15" t="inlineStr">
        <is>
          <t>);</t>
        </is>
      </c>
      <c r="X68" s="18">
        <f>EXACT(TRIM(L68&amp;""),O68&amp;"")</f>
        <v/>
      </c>
      <c r="Y68" s="18">
        <f>EXACT(TRIM(E68&amp;""),P68&amp;"")</f>
        <v/>
      </c>
      <c r="Z68" s="18">
        <f>AND(X68:Y68)</f>
        <v/>
      </c>
      <c r="AA68" s="19">
        <f>TRIM(IF(X68,"",$X$3&amp;" ")&amp;IF(Y68,"",$Y$3&amp;" "))</f>
        <v/>
      </c>
      <c r="AB68" s="18">
        <f>EXACT(SUBSTITUTE(M68," ",""),SUBSTITUTE(R68&amp;S68&amp;T68&amp;U68&amp;V68," ",""))</f>
        <v/>
      </c>
    </row>
    <row r="69">
      <c r="A69" s="15" t="inlineStr">
        <is>
          <t>INSERT INTO CNF_UNIT_FILTERING_TBL SELECT UNIT_ID, 9 FROM MST_UNIT_TBL WHERE UNIT_CODE = 'LF006';</t>
        </is>
      </c>
      <c r="B69" s="16" t="n"/>
      <c r="C69" s="15" t="inlineStr">
        <is>
          <t>CNF_UNIT_FILTERING_TBL</t>
        </is>
      </c>
      <c r="D69" s="15" t="inlineStr">
        <is>
          <t>UNIT_ID</t>
        </is>
      </c>
      <c r="E69" s="15" t="inlineStr">
        <is>
          <t>9</t>
        </is>
      </c>
      <c r="F69" s="15" t="inlineStr">
        <is>
          <t>MST_UNIT_TBL</t>
        </is>
      </c>
      <c r="G69" s="15" t="inlineStr">
        <is>
          <t>UNIT_CODE</t>
        </is>
      </c>
      <c r="H69" s="15" t="inlineStr">
        <is>
          <t>LF006</t>
        </is>
      </c>
      <c r="J69" s="15" t="inlineStr">
        <is>
          <t>LF006</t>
        </is>
      </c>
      <c r="K69" s="15" t="inlineStr">
        <is>
          <t>リスク管理部</t>
        </is>
      </c>
      <c r="L69" s="15" t="inlineStr">
        <is>
          <t>583</t>
        </is>
      </c>
      <c r="M69" s="19">
        <f>"INSERT INTO "&amp;C69&amp;" VALUES("&amp;L69&amp;" , "&amp;E69&amp;");"</f>
        <v/>
      </c>
      <c r="O69" s="17" t="inlineStr">
        <is>
          <t>583</t>
        </is>
      </c>
      <c r="P69" s="17" t="inlineStr">
        <is>
          <t>9</t>
        </is>
      </c>
      <c r="R69" s="15" t="inlineStr">
        <is>
          <t>INSERT INTO</t>
        </is>
      </c>
      <c r="S69" s="15" t="inlineStr">
        <is>
          <t>CNF_UNIT_FILTERING_TBL</t>
        </is>
      </c>
      <c r="T69" s="15" t="inlineStr">
        <is>
          <t>VALUES(</t>
        </is>
      </c>
      <c r="U69" s="15" t="inlineStr">
        <is>
          <t>583 , 9</t>
        </is>
      </c>
      <c r="V69" s="15" t="inlineStr">
        <is>
          <t>);</t>
        </is>
      </c>
      <c r="X69" s="18">
        <f>EXACT(TRIM(L69&amp;""),O69&amp;"")</f>
        <v/>
      </c>
      <c r="Y69" s="18">
        <f>EXACT(TRIM(E69&amp;""),P69&amp;"")</f>
        <v/>
      </c>
      <c r="Z69" s="18">
        <f>AND(X69:Y69)</f>
        <v/>
      </c>
      <c r="AA69" s="19">
        <f>TRIM(IF(X69,"",$X$3&amp;" ")&amp;IF(Y69,"",$Y$3&amp;" "))</f>
        <v/>
      </c>
      <c r="AB69" s="18">
        <f>EXACT(SUBSTITUTE(M69," ",""),SUBSTITUTE(R69&amp;S69&amp;T69&amp;U69&amp;V69," ",""))</f>
        <v/>
      </c>
    </row>
    <row r="70">
      <c r="A70" s="15" t="inlineStr">
        <is>
          <t>INSERT INTO CNF_UNIT_FILTERING_TBL SELECT UNIT_ID, 11 FROM MST_UNIT_TBL WHERE UNIT_CODE = 'LF006';</t>
        </is>
      </c>
      <c r="B70" s="16" t="n"/>
      <c r="C70" s="15" t="inlineStr">
        <is>
          <t>CNF_UNIT_FILTERING_TBL</t>
        </is>
      </c>
      <c r="D70" s="15" t="inlineStr">
        <is>
          <t>UNIT_ID</t>
        </is>
      </c>
      <c r="E70" s="15" t="inlineStr">
        <is>
          <t>11</t>
        </is>
      </c>
      <c r="F70" s="15" t="inlineStr">
        <is>
          <t>MST_UNIT_TBL</t>
        </is>
      </c>
      <c r="G70" s="15" t="inlineStr">
        <is>
          <t>UNIT_CODE</t>
        </is>
      </c>
      <c r="H70" s="15" t="inlineStr">
        <is>
          <t>LF006</t>
        </is>
      </c>
      <c r="J70" s="15" t="inlineStr">
        <is>
          <t>LF006</t>
        </is>
      </c>
      <c r="K70" s="15" t="inlineStr">
        <is>
          <t>リスク管理部</t>
        </is>
      </c>
      <c r="L70" s="15" t="inlineStr">
        <is>
          <t>583</t>
        </is>
      </c>
      <c r="M70" s="19">
        <f>"INSERT INTO "&amp;C70&amp;" VALUES("&amp;L70&amp;" , "&amp;E70&amp;");"</f>
        <v/>
      </c>
      <c r="O70" s="17" t="inlineStr">
        <is>
          <t>583</t>
        </is>
      </c>
      <c r="P70" s="17" t="inlineStr">
        <is>
          <t>11</t>
        </is>
      </c>
      <c r="R70" s="15" t="inlineStr">
        <is>
          <t>INSERT INTO</t>
        </is>
      </c>
      <c r="S70" s="15" t="inlineStr">
        <is>
          <t>CNF_UNIT_FILTERING_TBL</t>
        </is>
      </c>
      <c r="T70" s="15" t="inlineStr">
        <is>
          <t>VALUES(</t>
        </is>
      </c>
      <c r="U70" s="15" t="inlineStr">
        <is>
          <t>583 , 11</t>
        </is>
      </c>
      <c r="V70" s="15" t="inlineStr">
        <is>
          <t>);</t>
        </is>
      </c>
      <c r="X70" s="18">
        <f>EXACT(TRIM(L70&amp;""),O70&amp;"")</f>
        <v/>
      </c>
      <c r="Y70" s="18">
        <f>EXACT(TRIM(E70&amp;""),P70&amp;"")</f>
        <v/>
      </c>
      <c r="Z70" s="18">
        <f>AND(X70:Y70)</f>
        <v/>
      </c>
      <c r="AA70" s="19">
        <f>TRIM(IF(X70,"",$X$3&amp;" ")&amp;IF(Y70,"",$Y$3&amp;" "))</f>
        <v/>
      </c>
      <c r="AB70" s="18">
        <f>EXACT(SUBSTITUTE(M70," ",""),SUBSTITUTE(R70&amp;S70&amp;T70&amp;U70&amp;V70," ",""))</f>
        <v/>
      </c>
    </row>
    <row r="71">
      <c r="A71" s="15" t="inlineStr">
        <is>
          <t>INSERT INTO CNF_UNIT_FILTERING_TBL SELECT UNIT_ID, 12 FROM MST_UNIT_TBL WHERE UNIT_CODE = 'LF006';</t>
        </is>
      </c>
      <c r="B71" s="16" t="n"/>
      <c r="C71" s="15" t="inlineStr">
        <is>
          <t>CNF_UNIT_FILTERING_TBL</t>
        </is>
      </c>
      <c r="D71" s="15" t="inlineStr">
        <is>
          <t>UNIT_ID</t>
        </is>
      </c>
      <c r="E71" s="15" t="inlineStr">
        <is>
          <t>12</t>
        </is>
      </c>
      <c r="F71" s="15" t="inlineStr">
        <is>
          <t>MST_UNIT_TBL</t>
        </is>
      </c>
      <c r="G71" s="15" t="inlineStr">
        <is>
          <t>UNIT_CODE</t>
        </is>
      </c>
      <c r="H71" s="15" t="inlineStr">
        <is>
          <t>LF006</t>
        </is>
      </c>
      <c r="J71" s="15" t="inlineStr">
        <is>
          <t>LF006</t>
        </is>
      </c>
      <c r="K71" s="15" t="inlineStr">
        <is>
          <t>リスク管理部</t>
        </is>
      </c>
      <c r="L71" s="15" t="inlineStr">
        <is>
          <t>583</t>
        </is>
      </c>
      <c r="M71" s="19">
        <f>"INSERT INTO "&amp;C71&amp;" VALUES("&amp;L71&amp;" , "&amp;E71&amp;");"</f>
        <v/>
      </c>
      <c r="O71" s="17" t="inlineStr">
        <is>
          <t>583</t>
        </is>
      </c>
      <c r="P71" s="17" t="inlineStr">
        <is>
          <t>12</t>
        </is>
      </c>
      <c r="R71" s="15" t="inlineStr">
        <is>
          <t>INSERT INTO</t>
        </is>
      </c>
      <c r="S71" s="15" t="inlineStr">
        <is>
          <t>CNF_UNIT_FILTERING_TBL</t>
        </is>
      </c>
      <c r="T71" s="15" t="inlineStr">
        <is>
          <t>VALUES(</t>
        </is>
      </c>
      <c r="U71" s="15" t="inlineStr">
        <is>
          <t>583 , 12</t>
        </is>
      </c>
      <c r="V71" s="15" t="inlineStr">
        <is>
          <t>);</t>
        </is>
      </c>
      <c r="X71" s="18">
        <f>EXACT(TRIM(L71&amp;""),O71&amp;"")</f>
        <v/>
      </c>
      <c r="Y71" s="18">
        <f>EXACT(TRIM(E71&amp;""),P71&amp;"")</f>
        <v/>
      </c>
      <c r="Z71" s="18">
        <f>AND(X71:Y71)</f>
        <v/>
      </c>
      <c r="AA71" s="19">
        <f>TRIM(IF(X71,"",$X$3&amp;" ")&amp;IF(Y71,"",$Y$3&amp;" "))</f>
        <v/>
      </c>
      <c r="AB71" s="18">
        <f>EXACT(SUBSTITUTE(M71," ",""),SUBSTITUTE(R71&amp;S71&amp;T71&amp;U71&amp;V71," ",""))</f>
        <v/>
      </c>
    </row>
    <row r="72">
      <c r="A72" s="15" t="inlineStr">
        <is>
          <t>INSERT INTO CNF_UNIT_FILTERING_TBL SELECT UNIT_ID, 13 FROM MST_UNIT_TBL WHERE UNIT_CODE = 'LF006';</t>
        </is>
      </c>
      <c r="B72" s="16" t="n"/>
      <c r="C72" s="15" t="inlineStr">
        <is>
          <t>CNF_UNIT_FILTERING_TBL</t>
        </is>
      </c>
      <c r="D72" s="15" t="inlineStr">
        <is>
          <t>UNIT_ID</t>
        </is>
      </c>
      <c r="E72" s="15" t="inlineStr">
        <is>
          <t>13</t>
        </is>
      </c>
      <c r="F72" s="15" t="inlineStr">
        <is>
          <t>MST_UNIT_TBL</t>
        </is>
      </c>
      <c r="G72" s="15" t="inlineStr">
        <is>
          <t>UNIT_CODE</t>
        </is>
      </c>
      <c r="H72" s="15" t="inlineStr">
        <is>
          <t>LF006</t>
        </is>
      </c>
      <c r="J72" s="15" t="inlineStr">
        <is>
          <t>LF006</t>
        </is>
      </c>
      <c r="K72" s="15" t="inlineStr">
        <is>
          <t>リスク管理部</t>
        </is>
      </c>
      <c r="L72" s="15" t="inlineStr">
        <is>
          <t>583</t>
        </is>
      </c>
      <c r="M72" s="19">
        <f>"INSERT INTO "&amp;C72&amp;" VALUES("&amp;L72&amp;" , "&amp;E72&amp;");"</f>
        <v/>
      </c>
      <c r="O72" s="17" t="inlineStr">
        <is>
          <t>583</t>
        </is>
      </c>
      <c r="P72" s="17" t="inlineStr">
        <is>
          <t>13</t>
        </is>
      </c>
      <c r="R72" s="15" t="inlineStr">
        <is>
          <t>INSERT INTO</t>
        </is>
      </c>
      <c r="S72" s="15" t="inlineStr">
        <is>
          <t>CNF_UNIT_FILTERING_TBL</t>
        </is>
      </c>
      <c r="T72" s="15" t="inlineStr">
        <is>
          <t>VALUES(</t>
        </is>
      </c>
      <c r="U72" s="15" t="inlineStr">
        <is>
          <t>583 , 13</t>
        </is>
      </c>
      <c r="V72" s="15" t="inlineStr">
        <is>
          <t>);</t>
        </is>
      </c>
      <c r="X72" s="18">
        <f>EXACT(TRIM(L72&amp;""),O72&amp;"")</f>
        <v/>
      </c>
      <c r="Y72" s="18">
        <f>EXACT(TRIM(E72&amp;""),P72&amp;"")</f>
        <v/>
      </c>
      <c r="Z72" s="18">
        <f>AND(X72:Y72)</f>
        <v/>
      </c>
      <c r="AA72" s="19">
        <f>TRIM(IF(X72,"",$X$3&amp;" ")&amp;IF(Y72,"",$Y$3&amp;" "))</f>
        <v/>
      </c>
      <c r="AB72" s="18">
        <f>EXACT(SUBSTITUTE(M72," ",""),SUBSTITUTE(R72&amp;S72&amp;T72&amp;U72&amp;V72," ",""))</f>
        <v/>
      </c>
    </row>
    <row r="73">
      <c r="A73" s="15" t="inlineStr">
        <is>
          <t>INSERT INTO CNF_UNIT_FILTERING_TBL SELECT UNIT_ID, 14 FROM MST_UNIT_TBL WHERE UNIT_CODE = 'LF006';</t>
        </is>
      </c>
      <c r="B73" s="16" t="n"/>
      <c r="C73" s="15" t="inlineStr">
        <is>
          <t>CNF_UNIT_FILTERING_TBL</t>
        </is>
      </c>
      <c r="D73" s="15" t="inlineStr">
        <is>
          <t>UNIT_ID</t>
        </is>
      </c>
      <c r="E73" s="15" t="inlineStr">
        <is>
          <t>14</t>
        </is>
      </c>
      <c r="F73" s="15" t="inlineStr">
        <is>
          <t>MST_UNIT_TBL</t>
        </is>
      </c>
      <c r="G73" s="15" t="inlineStr">
        <is>
          <t>UNIT_CODE</t>
        </is>
      </c>
      <c r="H73" s="15" t="inlineStr">
        <is>
          <t>LF006</t>
        </is>
      </c>
      <c r="J73" s="15" t="inlineStr">
        <is>
          <t>LF006</t>
        </is>
      </c>
      <c r="K73" s="15" t="inlineStr">
        <is>
          <t>リスク管理部</t>
        </is>
      </c>
      <c r="L73" s="15" t="inlineStr">
        <is>
          <t>583</t>
        </is>
      </c>
      <c r="M73" s="19">
        <f>"INSERT INTO "&amp;C73&amp;" VALUES("&amp;L73&amp;" , "&amp;E73&amp;");"</f>
        <v/>
      </c>
      <c r="O73" s="17" t="inlineStr">
        <is>
          <t>583</t>
        </is>
      </c>
      <c r="P73" s="17" t="inlineStr">
        <is>
          <t>14</t>
        </is>
      </c>
      <c r="R73" s="15" t="inlineStr">
        <is>
          <t>INSERT INTO</t>
        </is>
      </c>
      <c r="S73" s="15" t="inlineStr">
        <is>
          <t>CNF_UNIT_FILTERING_TBL</t>
        </is>
      </c>
      <c r="T73" s="15" t="inlineStr">
        <is>
          <t>VALUES(</t>
        </is>
      </c>
      <c r="U73" s="15" t="inlineStr">
        <is>
          <t>583 , 14</t>
        </is>
      </c>
      <c r="V73" s="15" t="inlineStr">
        <is>
          <t>);</t>
        </is>
      </c>
      <c r="X73" s="18">
        <f>EXACT(TRIM(L73&amp;""),O73&amp;"")</f>
        <v/>
      </c>
      <c r="Y73" s="18">
        <f>EXACT(TRIM(E73&amp;""),P73&amp;"")</f>
        <v/>
      </c>
      <c r="Z73" s="18">
        <f>AND(X73:Y73)</f>
        <v/>
      </c>
      <c r="AA73" s="19">
        <f>TRIM(IF(X73,"",$X$3&amp;" ")&amp;IF(Y73,"",$Y$3&amp;" "))</f>
        <v/>
      </c>
      <c r="AB73" s="18">
        <f>EXACT(SUBSTITUTE(M73," ",""),SUBSTITUTE(R73&amp;S73&amp;T73&amp;U73&amp;V73," ",""))</f>
        <v/>
      </c>
    </row>
    <row r="74">
      <c r="A74" s="15" t="inlineStr">
        <is>
          <t>INSERT INTO CNF_UNIT_FILTERING_TBL SELECT UNIT_ID, 15 FROM MST_UNIT_TBL WHERE UNIT_CODE = 'LF006';</t>
        </is>
      </c>
      <c r="B74" s="16" t="n"/>
      <c r="C74" s="15" t="inlineStr">
        <is>
          <t>CNF_UNIT_FILTERING_TBL</t>
        </is>
      </c>
      <c r="D74" s="15" t="inlineStr">
        <is>
          <t>UNIT_ID</t>
        </is>
      </c>
      <c r="E74" s="15" t="inlineStr">
        <is>
          <t>15</t>
        </is>
      </c>
      <c r="F74" s="15" t="inlineStr">
        <is>
          <t>MST_UNIT_TBL</t>
        </is>
      </c>
      <c r="G74" s="15" t="inlineStr">
        <is>
          <t>UNIT_CODE</t>
        </is>
      </c>
      <c r="H74" s="15" t="inlineStr">
        <is>
          <t>LF006</t>
        </is>
      </c>
      <c r="J74" s="15" t="inlineStr">
        <is>
          <t>LF006</t>
        </is>
      </c>
      <c r="K74" s="15" t="inlineStr">
        <is>
          <t>リスク管理部</t>
        </is>
      </c>
      <c r="L74" s="15" t="inlineStr">
        <is>
          <t>583</t>
        </is>
      </c>
      <c r="M74" s="19">
        <f>"INSERT INTO "&amp;C74&amp;" VALUES("&amp;L74&amp;" , "&amp;E74&amp;");"</f>
        <v/>
      </c>
      <c r="O74" s="17" t="inlineStr">
        <is>
          <t>583</t>
        </is>
      </c>
      <c r="P74" s="17" t="inlineStr">
        <is>
          <t>15</t>
        </is>
      </c>
      <c r="R74" s="15" t="inlineStr">
        <is>
          <t>INSERT INTO</t>
        </is>
      </c>
      <c r="S74" s="15" t="inlineStr">
        <is>
          <t>CNF_UNIT_FILTERING_TBL</t>
        </is>
      </c>
      <c r="T74" s="15" t="inlineStr">
        <is>
          <t>VALUES(</t>
        </is>
      </c>
      <c r="U74" s="15" t="inlineStr">
        <is>
          <t>583 , 15</t>
        </is>
      </c>
      <c r="V74" s="15" t="inlineStr">
        <is>
          <t>);</t>
        </is>
      </c>
      <c r="X74" s="18">
        <f>EXACT(TRIM(L74&amp;""),O74&amp;"")</f>
        <v/>
      </c>
      <c r="Y74" s="18">
        <f>EXACT(TRIM(E74&amp;""),P74&amp;"")</f>
        <v/>
      </c>
      <c r="Z74" s="18">
        <f>AND(X74:Y74)</f>
        <v/>
      </c>
      <c r="AA74" s="19">
        <f>TRIM(IF(X74,"",$X$3&amp;" ")&amp;IF(Y74,"",$Y$3&amp;" "))</f>
        <v/>
      </c>
      <c r="AB74" s="18">
        <f>EXACT(SUBSTITUTE(M74," ",""),SUBSTITUTE(R74&amp;S74&amp;T74&amp;U74&amp;V74," ",""))</f>
        <v/>
      </c>
    </row>
    <row r="75">
      <c r="A75" s="15" t="inlineStr">
        <is>
          <t>INSERT INTO CNF_UNIT_FILTERING_TBL SELECT UNIT_ID, 16 FROM MST_UNIT_TBL WHERE UNIT_CODE = 'LF006';</t>
        </is>
      </c>
      <c r="B75" s="16" t="n"/>
      <c r="C75" s="15" t="inlineStr">
        <is>
          <t>CNF_UNIT_FILTERING_TBL</t>
        </is>
      </c>
      <c r="D75" s="15" t="inlineStr">
        <is>
          <t>UNIT_ID</t>
        </is>
      </c>
      <c r="E75" s="15" t="inlineStr">
        <is>
          <t>16</t>
        </is>
      </c>
      <c r="F75" s="15" t="inlineStr">
        <is>
          <t>MST_UNIT_TBL</t>
        </is>
      </c>
      <c r="G75" s="15" t="inlineStr">
        <is>
          <t>UNIT_CODE</t>
        </is>
      </c>
      <c r="H75" s="15" t="inlineStr">
        <is>
          <t>LF006</t>
        </is>
      </c>
      <c r="J75" s="15" t="inlineStr">
        <is>
          <t>LF006</t>
        </is>
      </c>
      <c r="K75" s="15" t="inlineStr">
        <is>
          <t>リスク管理部</t>
        </is>
      </c>
      <c r="L75" s="15" t="inlineStr">
        <is>
          <t>583</t>
        </is>
      </c>
      <c r="M75" s="19">
        <f>"INSERT INTO "&amp;C75&amp;" VALUES("&amp;L75&amp;" , "&amp;E75&amp;");"</f>
        <v/>
      </c>
      <c r="O75" s="17" t="inlineStr">
        <is>
          <t>583</t>
        </is>
      </c>
      <c r="P75" s="17" t="inlineStr">
        <is>
          <t>16</t>
        </is>
      </c>
      <c r="R75" s="15" t="inlineStr">
        <is>
          <t>INSERT INTO</t>
        </is>
      </c>
      <c r="S75" s="15" t="inlineStr">
        <is>
          <t>CNF_UNIT_FILTERING_TBL</t>
        </is>
      </c>
      <c r="T75" s="15" t="inlineStr">
        <is>
          <t>VALUES(</t>
        </is>
      </c>
      <c r="U75" s="15" t="inlineStr">
        <is>
          <t>583 , 16</t>
        </is>
      </c>
      <c r="V75" s="15" t="inlineStr">
        <is>
          <t>);</t>
        </is>
      </c>
      <c r="X75" s="18">
        <f>EXACT(TRIM(L75&amp;""),O75&amp;"")</f>
        <v/>
      </c>
      <c r="Y75" s="18">
        <f>EXACT(TRIM(E75&amp;""),P75&amp;"")</f>
        <v/>
      </c>
      <c r="Z75" s="18">
        <f>AND(X75:Y75)</f>
        <v/>
      </c>
      <c r="AA75" s="19">
        <f>TRIM(IF(X75,"",$X$3&amp;" ")&amp;IF(Y75,"",$Y$3&amp;" "))</f>
        <v/>
      </c>
      <c r="AB75" s="18">
        <f>EXACT(SUBSTITUTE(M75," ",""),SUBSTITUTE(R75&amp;S75&amp;T75&amp;U75&amp;V75," ",""))</f>
        <v/>
      </c>
    </row>
    <row r="76">
      <c r="A76" s="15" t="inlineStr">
        <is>
          <t>INSERT INTO CNF_UNIT_FILTERING_TBL SELECT UNIT_ID, 1 FROM MST_UNIT_TBL WHERE UNIT_CODE = 'LF007';</t>
        </is>
      </c>
      <c r="B76" s="16" t="n"/>
      <c r="C76" s="15" t="inlineStr">
        <is>
          <t>CNF_UNIT_FILTERING_TBL</t>
        </is>
      </c>
      <c r="D76" s="15" t="inlineStr">
        <is>
          <t>UNIT_ID</t>
        </is>
      </c>
      <c r="E76" s="15" t="inlineStr">
        <is>
          <t>1</t>
        </is>
      </c>
      <c r="F76" s="15" t="inlineStr">
        <is>
          <t>MST_UNIT_TBL</t>
        </is>
      </c>
      <c r="G76" s="15" t="inlineStr">
        <is>
          <t>UNIT_CODE</t>
        </is>
      </c>
      <c r="H76" s="15" t="inlineStr">
        <is>
          <t>LF007</t>
        </is>
      </c>
      <c r="J76" s="15" t="inlineStr">
        <is>
          <t>LF007</t>
        </is>
      </c>
      <c r="K76" s="15" t="inlineStr">
        <is>
          <t>財務経理部</t>
        </is>
      </c>
      <c r="L76" s="15" t="inlineStr">
        <is>
          <t>584</t>
        </is>
      </c>
      <c r="M76" s="19">
        <f>"INSERT INTO "&amp;C76&amp;" VALUES("&amp;L76&amp;" , "&amp;E76&amp;");"</f>
        <v/>
      </c>
      <c r="O76" s="17" t="inlineStr">
        <is>
          <t>584</t>
        </is>
      </c>
      <c r="P76" s="17" t="inlineStr">
        <is>
          <t>1</t>
        </is>
      </c>
      <c r="R76" s="15" t="inlineStr">
        <is>
          <t>INSERT INTO</t>
        </is>
      </c>
      <c r="S76" s="15" t="inlineStr">
        <is>
          <t>CNF_UNIT_FILTERING_TBL</t>
        </is>
      </c>
      <c r="T76" s="15" t="inlineStr">
        <is>
          <t>VALUES(</t>
        </is>
      </c>
      <c r="U76" s="15" t="inlineStr">
        <is>
          <t>584 , 1</t>
        </is>
      </c>
      <c r="V76" s="15" t="inlineStr">
        <is>
          <t>);</t>
        </is>
      </c>
      <c r="X76" s="18">
        <f>EXACT(TRIM(L76&amp;""),O76&amp;"")</f>
        <v/>
      </c>
      <c r="Y76" s="18">
        <f>EXACT(TRIM(E76&amp;""),P76&amp;"")</f>
        <v/>
      </c>
      <c r="Z76" s="18">
        <f>AND(X76:Y76)</f>
        <v/>
      </c>
      <c r="AA76" s="19">
        <f>TRIM(IF(X76,"",$X$3&amp;" ")&amp;IF(Y76,"",$Y$3&amp;" "))</f>
        <v/>
      </c>
      <c r="AB76" s="18">
        <f>EXACT(SUBSTITUTE(M76," ",""),SUBSTITUTE(R76&amp;S76&amp;T76&amp;U76&amp;V76," ",""))</f>
        <v/>
      </c>
    </row>
    <row r="77">
      <c r="A77" s="15" t="inlineStr">
        <is>
          <t>INSERT INTO CNF_UNIT_FILTERING_TBL SELECT UNIT_ID, 4 FROM MST_UNIT_TBL WHERE UNIT_CODE = 'LF007';</t>
        </is>
      </c>
      <c r="B77" s="16" t="n"/>
      <c r="C77" s="15" t="inlineStr">
        <is>
          <t>CNF_UNIT_FILTERING_TBL</t>
        </is>
      </c>
      <c r="D77" s="15" t="inlineStr">
        <is>
          <t>UNIT_ID</t>
        </is>
      </c>
      <c r="E77" s="15" t="inlineStr">
        <is>
          <t>4</t>
        </is>
      </c>
      <c r="F77" s="15" t="inlineStr">
        <is>
          <t>MST_UNIT_TBL</t>
        </is>
      </c>
      <c r="G77" s="15" t="inlineStr">
        <is>
          <t>UNIT_CODE</t>
        </is>
      </c>
      <c r="H77" s="15" t="inlineStr">
        <is>
          <t>LF007</t>
        </is>
      </c>
      <c r="J77" s="15" t="inlineStr">
        <is>
          <t>LF007</t>
        </is>
      </c>
      <c r="K77" s="15" t="inlineStr">
        <is>
          <t>財務経理部</t>
        </is>
      </c>
      <c r="L77" s="15" t="inlineStr">
        <is>
          <t>584</t>
        </is>
      </c>
      <c r="M77" s="19">
        <f>"INSERT INTO "&amp;C77&amp;" VALUES("&amp;L77&amp;" , "&amp;E77&amp;");"</f>
        <v/>
      </c>
      <c r="O77" s="17" t="inlineStr">
        <is>
          <t>584</t>
        </is>
      </c>
      <c r="P77" s="17" t="inlineStr">
        <is>
          <t>4</t>
        </is>
      </c>
      <c r="R77" s="15" t="inlineStr">
        <is>
          <t>INSERT INTO</t>
        </is>
      </c>
      <c r="S77" s="15" t="inlineStr">
        <is>
          <t>CNF_UNIT_FILTERING_TBL</t>
        </is>
      </c>
      <c r="T77" s="15" t="inlineStr">
        <is>
          <t>VALUES(</t>
        </is>
      </c>
      <c r="U77" s="15" t="inlineStr">
        <is>
          <t>584 , 4</t>
        </is>
      </c>
      <c r="V77" s="15" t="inlineStr">
        <is>
          <t>);</t>
        </is>
      </c>
      <c r="X77" s="18">
        <f>EXACT(TRIM(L77&amp;""),O77&amp;"")</f>
        <v/>
      </c>
      <c r="Y77" s="18">
        <f>EXACT(TRIM(E77&amp;""),P77&amp;"")</f>
        <v/>
      </c>
      <c r="Z77" s="18">
        <f>AND(X77:Y77)</f>
        <v/>
      </c>
      <c r="AA77" s="19">
        <f>TRIM(IF(X77,"",$X$3&amp;" ")&amp;IF(Y77,"",$Y$3&amp;" "))</f>
        <v/>
      </c>
      <c r="AB77" s="18">
        <f>EXACT(SUBSTITUTE(M77," ",""),SUBSTITUTE(R77&amp;S77&amp;T77&amp;U77&amp;V77," ",""))</f>
        <v/>
      </c>
    </row>
    <row r="78">
      <c r="A78" s="15" t="inlineStr">
        <is>
          <t>INSERT INTO CNF_UNIT_FILTERING_TBL SELECT UNIT_ID, 5 FROM MST_UNIT_TBL WHERE UNIT_CODE = 'LF007';</t>
        </is>
      </c>
      <c r="B78" s="16" t="n"/>
      <c r="C78" s="15" t="inlineStr">
        <is>
          <t>CNF_UNIT_FILTERING_TBL</t>
        </is>
      </c>
      <c r="D78" s="15" t="inlineStr">
        <is>
          <t>UNIT_ID</t>
        </is>
      </c>
      <c r="E78" s="15" t="inlineStr">
        <is>
          <t>5</t>
        </is>
      </c>
      <c r="F78" s="15" t="inlineStr">
        <is>
          <t>MST_UNIT_TBL</t>
        </is>
      </c>
      <c r="G78" s="15" t="inlineStr">
        <is>
          <t>UNIT_CODE</t>
        </is>
      </c>
      <c r="H78" s="15" t="inlineStr">
        <is>
          <t>LF007</t>
        </is>
      </c>
      <c r="J78" s="15" t="inlineStr">
        <is>
          <t>LF007</t>
        </is>
      </c>
      <c r="K78" s="15" t="inlineStr">
        <is>
          <t>財務経理部</t>
        </is>
      </c>
      <c r="L78" s="15" t="inlineStr">
        <is>
          <t>584</t>
        </is>
      </c>
      <c r="M78" s="19">
        <f>"INSERT INTO "&amp;C78&amp;" VALUES("&amp;L78&amp;" , "&amp;E78&amp;");"</f>
        <v/>
      </c>
      <c r="O78" s="17" t="inlineStr">
        <is>
          <t>584</t>
        </is>
      </c>
      <c r="P78" s="17" t="inlineStr">
        <is>
          <t>5</t>
        </is>
      </c>
      <c r="R78" s="15" t="inlineStr">
        <is>
          <t>INSERT INTO</t>
        </is>
      </c>
      <c r="S78" s="15" t="inlineStr">
        <is>
          <t>CNF_UNIT_FILTERING_TBL</t>
        </is>
      </c>
      <c r="T78" s="15" t="inlineStr">
        <is>
          <t>VALUES(</t>
        </is>
      </c>
      <c r="U78" s="15" t="inlineStr">
        <is>
          <t>584 , 5</t>
        </is>
      </c>
      <c r="V78" s="15" t="inlineStr">
        <is>
          <t>);</t>
        </is>
      </c>
      <c r="X78" s="18">
        <f>EXACT(TRIM(L78&amp;""),O78&amp;"")</f>
        <v/>
      </c>
      <c r="Y78" s="18">
        <f>EXACT(TRIM(E78&amp;""),P78&amp;"")</f>
        <v/>
      </c>
      <c r="Z78" s="18">
        <f>AND(X78:Y78)</f>
        <v/>
      </c>
      <c r="AA78" s="19">
        <f>TRIM(IF(X78,"",$X$3&amp;" ")&amp;IF(Y78,"",$Y$3&amp;" "))</f>
        <v/>
      </c>
      <c r="AB78" s="18">
        <f>EXACT(SUBSTITUTE(M78," ",""),SUBSTITUTE(R78&amp;S78&amp;T78&amp;U78&amp;V78," ",""))</f>
        <v/>
      </c>
    </row>
    <row r="79">
      <c r="A79" s="15" t="inlineStr">
        <is>
          <t>INSERT INTO CNF_UNIT_FILTERING_TBL SELECT UNIT_ID, 7 FROM MST_UNIT_TBL WHERE UNIT_CODE = 'LF007';</t>
        </is>
      </c>
      <c r="B79" s="16" t="n"/>
      <c r="C79" s="15" t="inlineStr">
        <is>
          <t>CNF_UNIT_FILTERING_TBL</t>
        </is>
      </c>
      <c r="D79" s="15" t="inlineStr">
        <is>
          <t>UNIT_ID</t>
        </is>
      </c>
      <c r="E79" s="15" t="inlineStr">
        <is>
          <t>7</t>
        </is>
      </c>
      <c r="F79" s="15" t="inlineStr">
        <is>
          <t>MST_UNIT_TBL</t>
        </is>
      </c>
      <c r="G79" s="15" t="inlineStr">
        <is>
          <t>UNIT_CODE</t>
        </is>
      </c>
      <c r="H79" s="15" t="inlineStr">
        <is>
          <t>LF007</t>
        </is>
      </c>
      <c r="J79" s="15" t="inlineStr">
        <is>
          <t>LF007</t>
        </is>
      </c>
      <c r="K79" s="15" t="inlineStr">
        <is>
          <t>財務経理部</t>
        </is>
      </c>
      <c r="L79" s="15" t="inlineStr">
        <is>
          <t>584</t>
        </is>
      </c>
      <c r="M79" s="19">
        <f>"INSERT INTO "&amp;C79&amp;" VALUES("&amp;L79&amp;" , "&amp;E79&amp;");"</f>
        <v/>
      </c>
      <c r="O79" s="17" t="inlineStr">
        <is>
          <t>584</t>
        </is>
      </c>
      <c r="P79" s="17" t="inlineStr">
        <is>
          <t>7</t>
        </is>
      </c>
      <c r="R79" s="15" t="inlineStr">
        <is>
          <t>INSERT INTO</t>
        </is>
      </c>
      <c r="S79" s="15" t="inlineStr">
        <is>
          <t>CNF_UNIT_FILTERING_TBL</t>
        </is>
      </c>
      <c r="T79" s="15" t="inlineStr">
        <is>
          <t>VALUES(</t>
        </is>
      </c>
      <c r="U79" s="15" t="inlineStr">
        <is>
          <t>584 , 7</t>
        </is>
      </c>
      <c r="V79" s="15" t="inlineStr">
        <is>
          <t>);</t>
        </is>
      </c>
      <c r="X79" s="18">
        <f>EXACT(TRIM(L79&amp;""),O79&amp;"")</f>
        <v/>
      </c>
      <c r="Y79" s="18">
        <f>EXACT(TRIM(E79&amp;""),P79&amp;"")</f>
        <v/>
      </c>
      <c r="Z79" s="18">
        <f>AND(X79:Y79)</f>
        <v/>
      </c>
      <c r="AA79" s="19">
        <f>TRIM(IF(X79,"",$X$3&amp;" ")&amp;IF(Y79,"",$Y$3&amp;" "))</f>
        <v/>
      </c>
      <c r="AB79" s="18">
        <f>EXACT(SUBSTITUTE(M79," ",""),SUBSTITUTE(R79&amp;S79&amp;T79&amp;U79&amp;V79," ",""))</f>
        <v/>
      </c>
    </row>
    <row r="80">
      <c r="A80" s="15" t="inlineStr">
        <is>
          <t>INSERT INTO CNF_UNIT_FILTERING_TBL SELECT UNIT_ID, 8 FROM MST_UNIT_TBL WHERE UNIT_CODE = 'LF007';</t>
        </is>
      </c>
      <c r="B80" s="16" t="n"/>
      <c r="C80" s="15" t="inlineStr">
        <is>
          <t>CNF_UNIT_FILTERING_TBL</t>
        </is>
      </c>
      <c r="D80" s="15" t="inlineStr">
        <is>
          <t>UNIT_ID</t>
        </is>
      </c>
      <c r="E80" s="15" t="inlineStr">
        <is>
          <t>8</t>
        </is>
      </c>
      <c r="F80" s="15" t="inlineStr">
        <is>
          <t>MST_UNIT_TBL</t>
        </is>
      </c>
      <c r="G80" s="15" t="inlineStr">
        <is>
          <t>UNIT_CODE</t>
        </is>
      </c>
      <c r="H80" s="15" t="inlineStr">
        <is>
          <t>LF007</t>
        </is>
      </c>
      <c r="J80" s="15" t="inlineStr">
        <is>
          <t>LF007</t>
        </is>
      </c>
      <c r="K80" s="15" t="inlineStr">
        <is>
          <t>財務経理部</t>
        </is>
      </c>
      <c r="L80" s="15" t="inlineStr">
        <is>
          <t>584</t>
        </is>
      </c>
      <c r="M80" s="19">
        <f>"INSERT INTO "&amp;C80&amp;" VALUES("&amp;L80&amp;" , "&amp;E80&amp;");"</f>
        <v/>
      </c>
      <c r="O80" s="17" t="inlineStr">
        <is>
          <t>584</t>
        </is>
      </c>
      <c r="P80" s="17" t="inlineStr">
        <is>
          <t>8</t>
        </is>
      </c>
      <c r="R80" s="15" t="inlineStr">
        <is>
          <t>INSERT INTO</t>
        </is>
      </c>
      <c r="S80" s="15" t="inlineStr">
        <is>
          <t>CNF_UNIT_FILTERING_TBL</t>
        </is>
      </c>
      <c r="T80" s="15" t="inlineStr">
        <is>
          <t>VALUES(</t>
        </is>
      </c>
      <c r="U80" s="15" t="inlineStr">
        <is>
          <t>584 , 8</t>
        </is>
      </c>
      <c r="V80" s="15" t="inlineStr">
        <is>
          <t>);</t>
        </is>
      </c>
      <c r="X80" s="18">
        <f>EXACT(TRIM(L80&amp;""),O80&amp;"")</f>
        <v/>
      </c>
      <c r="Y80" s="18">
        <f>EXACT(TRIM(E80&amp;""),P80&amp;"")</f>
        <v/>
      </c>
      <c r="Z80" s="18">
        <f>AND(X80:Y80)</f>
        <v/>
      </c>
      <c r="AA80" s="19">
        <f>TRIM(IF(X80,"",$X$3&amp;" ")&amp;IF(Y80,"",$Y$3&amp;" "))</f>
        <v/>
      </c>
      <c r="AB80" s="18">
        <f>EXACT(SUBSTITUTE(M80," ",""),SUBSTITUTE(R80&amp;S80&amp;T80&amp;U80&amp;V80," ",""))</f>
        <v/>
      </c>
    </row>
    <row r="81">
      <c r="A81" s="15" t="inlineStr">
        <is>
          <t>INSERT INTO CNF_UNIT_FILTERING_TBL SELECT UNIT_ID, 9 FROM MST_UNIT_TBL WHERE UNIT_CODE = 'LF007';</t>
        </is>
      </c>
      <c r="B81" s="16" t="n"/>
      <c r="C81" s="15" t="inlineStr">
        <is>
          <t>CNF_UNIT_FILTERING_TBL</t>
        </is>
      </c>
      <c r="D81" s="15" t="inlineStr">
        <is>
          <t>UNIT_ID</t>
        </is>
      </c>
      <c r="E81" s="15" t="inlineStr">
        <is>
          <t>9</t>
        </is>
      </c>
      <c r="F81" s="15" t="inlineStr">
        <is>
          <t>MST_UNIT_TBL</t>
        </is>
      </c>
      <c r="G81" s="15" t="inlineStr">
        <is>
          <t>UNIT_CODE</t>
        </is>
      </c>
      <c r="H81" s="15" t="inlineStr">
        <is>
          <t>LF007</t>
        </is>
      </c>
      <c r="J81" s="15" t="inlineStr">
        <is>
          <t>LF007</t>
        </is>
      </c>
      <c r="K81" s="15" t="inlineStr">
        <is>
          <t>財務経理部</t>
        </is>
      </c>
      <c r="L81" s="15" t="inlineStr">
        <is>
          <t>584</t>
        </is>
      </c>
      <c r="M81" s="19">
        <f>"INSERT INTO "&amp;C81&amp;" VALUES("&amp;L81&amp;" , "&amp;E81&amp;");"</f>
        <v/>
      </c>
      <c r="O81" s="17" t="inlineStr">
        <is>
          <t>584</t>
        </is>
      </c>
      <c r="P81" s="17" t="inlineStr">
        <is>
          <t>9</t>
        </is>
      </c>
      <c r="R81" s="15" t="inlineStr">
        <is>
          <t>INSERT INTO</t>
        </is>
      </c>
      <c r="S81" s="15" t="inlineStr">
        <is>
          <t>CNF_UNIT_FILTERING_TBL</t>
        </is>
      </c>
      <c r="T81" s="15" t="inlineStr">
        <is>
          <t>VALUES(</t>
        </is>
      </c>
      <c r="U81" s="15" t="inlineStr">
        <is>
          <t>584 , 9</t>
        </is>
      </c>
      <c r="V81" s="15" t="inlineStr">
        <is>
          <t>);</t>
        </is>
      </c>
      <c r="X81" s="18">
        <f>EXACT(TRIM(L81&amp;""),O81&amp;"")</f>
        <v/>
      </c>
      <c r="Y81" s="18">
        <f>EXACT(TRIM(E81&amp;""),P81&amp;"")</f>
        <v/>
      </c>
      <c r="Z81" s="18">
        <f>AND(X81:Y81)</f>
        <v/>
      </c>
      <c r="AA81" s="19">
        <f>TRIM(IF(X81,"",$X$3&amp;" ")&amp;IF(Y81,"",$Y$3&amp;" "))</f>
        <v/>
      </c>
      <c r="AB81" s="18">
        <f>EXACT(SUBSTITUTE(M81," ",""),SUBSTITUTE(R81&amp;S81&amp;T81&amp;U81&amp;V81," ",""))</f>
        <v/>
      </c>
    </row>
    <row r="82">
      <c r="A82" s="15" t="inlineStr">
        <is>
          <t>INSERT INTO CNF_UNIT_FILTERING_TBL SELECT UNIT_ID, 11 FROM MST_UNIT_TBL WHERE UNIT_CODE = 'LF007';</t>
        </is>
      </c>
      <c r="B82" s="16" t="n"/>
      <c r="C82" s="15" t="inlineStr">
        <is>
          <t>CNF_UNIT_FILTERING_TBL</t>
        </is>
      </c>
      <c r="D82" s="15" t="inlineStr">
        <is>
          <t>UNIT_ID</t>
        </is>
      </c>
      <c r="E82" s="15" t="inlineStr">
        <is>
          <t>11</t>
        </is>
      </c>
      <c r="F82" s="15" t="inlineStr">
        <is>
          <t>MST_UNIT_TBL</t>
        </is>
      </c>
      <c r="G82" s="15" t="inlineStr">
        <is>
          <t>UNIT_CODE</t>
        </is>
      </c>
      <c r="H82" s="15" t="inlineStr">
        <is>
          <t>LF007</t>
        </is>
      </c>
      <c r="J82" s="15" t="inlineStr">
        <is>
          <t>LF007</t>
        </is>
      </c>
      <c r="K82" s="15" t="inlineStr">
        <is>
          <t>財務経理部</t>
        </is>
      </c>
      <c r="L82" s="15" t="inlineStr">
        <is>
          <t>584</t>
        </is>
      </c>
      <c r="M82" s="19">
        <f>"INSERT INTO "&amp;C82&amp;" VALUES("&amp;L82&amp;" , "&amp;E82&amp;");"</f>
        <v/>
      </c>
      <c r="O82" s="17" t="inlineStr">
        <is>
          <t>584</t>
        </is>
      </c>
      <c r="P82" s="17" t="inlineStr">
        <is>
          <t>11</t>
        </is>
      </c>
      <c r="R82" s="15" t="inlineStr">
        <is>
          <t>INSERT INTO</t>
        </is>
      </c>
      <c r="S82" s="15" t="inlineStr">
        <is>
          <t>CNF_UNIT_FILTERING_TBL</t>
        </is>
      </c>
      <c r="T82" s="15" t="inlineStr">
        <is>
          <t>VALUES(</t>
        </is>
      </c>
      <c r="U82" s="15" t="inlineStr">
        <is>
          <t>584 , 11</t>
        </is>
      </c>
      <c r="V82" s="15" t="inlineStr">
        <is>
          <t>);</t>
        </is>
      </c>
      <c r="X82" s="18">
        <f>EXACT(TRIM(L82&amp;""),O82&amp;"")</f>
        <v/>
      </c>
      <c r="Y82" s="18">
        <f>EXACT(TRIM(E82&amp;""),P82&amp;"")</f>
        <v/>
      </c>
      <c r="Z82" s="18">
        <f>AND(X82:Y82)</f>
        <v/>
      </c>
      <c r="AA82" s="19">
        <f>TRIM(IF(X82,"",$X$3&amp;" ")&amp;IF(Y82,"",$Y$3&amp;" "))</f>
        <v/>
      </c>
      <c r="AB82" s="18">
        <f>EXACT(SUBSTITUTE(M82," ",""),SUBSTITUTE(R82&amp;S82&amp;T82&amp;U82&amp;V82," ",""))</f>
        <v/>
      </c>
    </row>
    <row r="83">
      <c r="A83" s="15" t="inlineStr">
        <is>
          <t>INSERT INTO CNF_UNIT_FILTERING_TBL SELECT UNIT_ID, 12 FROM MST_UNIT_TBL WHERE UNIT_CODE = 'LF007';</t>
        </is>
      </c>
      <c r="B83" s="16" t="n"/>
      <c r="C83" s="15" t="inlineStr">
        <is>
          <t>CNF_UNIT_FILTERING_TBL</t>
        </is>
      </c>
      <c r="D83" s="15" t="inlineStr">
        <is>
          <t>UNIT_ID</t>
        </is>
      </c>
      <c r="E83" s="15" t="inlineStr">
        <is>
          <t>12</t>
        </is>
      </c>
      <c r="F83" s="15" t="inlineStr">
        <is>
          <t>MST_UNIT_TBL</t>
        </is>
      </c>
      <c r="G83" s="15" t="inlineStr">
        <is>
          <t>UNIT_CODE</t>
        </is>
      </c>
      <c r="H83" s="15" t="inlineStr">
        <is>
          <t>LF007</t>
        </is>
      </c>
      <c r="J83" s="15" t="inlineStr">
        <is>
          <t>LF007</t>
        </is>
      </c>
      <c r="K83" s="15" t="inlineStr">
        <is>
          <t>財務経理部</t>
        </is>
      </c>
      <c r="L83" s="15" t="inlineStr">
        <is>
          <t>584</t>
        </is>
      </c>
      <c r="M83" s="19">
        <f>"INSERT INTO "&amp;C83&amp;" VALUES("&amp;L83&amp;" , "&amp;E83&amp;");"</f>
        <v/>
      </c>
      <c r="O83" s="17" t="inlineStr">
        <is>
          <t>584</t>
        </is>
      </c>
      <c r="P83" s="17" t="inlineStr">
        <is>
          <t>12</t>
        </is>
      </c>
      <c r="R83" s="15" t="inlineStr">
        <is>
          <t>INSERT INTO</t>
        </is>
      </c>
      <c r="S83" s="15" t="inlineStr">
        <is>
          <t>CNF_UNIT_FILTERING_TBL</t>
        </is>
      </c>
      <c r="T83" s="15" t="inlineStr">
        <is>
          <t>VALUES(</t>
        </is>
      </c>
      <c r="U83" s="15" t="inlineStr">
        <is>
          <t>584 , 12</t>
        </is>
      </c>
      <c r="V83" s="15" t="inlineStr">
        <is>
          <t>);</t>
        </is>
      </c>
      <c r="X83" s="18">
        <f>EXACT(TRIM(L83&amp;""),O83&amp;"")</f>
        <v/>
      </c>
      <c r="Y83" s="18">
        <f>EXACT(TRIM(E83&amp;""),P83&amp;"")</f>
        <v/>
      </c>
      <c r="Z83" s="18">
        <f>AND(X83:Y83)</f>
        <v/>
      </c>
      <c r="AA83" s="19">
        <f>TRIM(IF(X83,"",$X$3&amp;" ")&amp;IF(Y83,"",$Y$3&amp;" "))</f>
        <v/>
      </c>
      <c r="AB83" s="18">
        <f>EXACT(SUBSTITUTE(M83," ",""),SUBSTITUTE(R83&amp;S83&amp;T83&amp;U83&amp;V83," ",""))</f>
        <v/>
      </c>
    </row>
    <row r="84">
      <c r="A84" s="15" t="inlineStr">
        <is>
          <t>INSERT INTO CNF_UNIT_FILTERING_TBL SELECT UNIT_ID, 13 FROM MST_UNIT_TBL WHERE UNIT_CODE = 'LF007';</t>
        </is>
      </c>
      <c r="B84" s="16" t="n"/>
      <c r="C84" s="15" t="inlineStr">
        <is>
          <t>CNF_UNIT_FILTERING_TBL</t>
        </is>
      </c>
      <c r="D84" s="15" t="inlineStr">
        <is>
          <t>UNIT_ID</t>
        </is>
      </c>
      <c r="E84" s="15" t="inlineStr">
        <is>
          <t>13</t>
        </is>
      </c>
      <c r="F84" s="15" t="inlineStr">
        <is>
          <t>MST_UNIT_TBL</t>
        </is>
      </c>
      <c r="G84" s="15" t="inlineStr">
        <is>
          <t>UNIT_CODE</t>
        </is>
      </c>
      <c r="H84" s="15" t="inlineStr">
        <is>
          <t>LF007</t>
        </is>
      </c>
      <c r="J84" s="15" t="inlineStr">
        <is>
          <t>LF007</t>
        </is>
      </c>
      <c r="K84" s="15" t="inlineStr">
        <is>
          <t>財務経理部</t>
        </is>
      </c>
      <c r="L84" s="15" t="inlineStr">
        <is>
          <t>584</t>
        </is>
      </c>
      <c r="M84" s="19">
        <f>"INSERT INTO "&amp;C84&amp;" VALUES("&amp;L84&amp;" , "&amp;E84&amp;");"</f>
        <v/>
      </c>
      <c r="O84" s="17" t="inlineStr">
        <is>
          <t>584</t>
        </is>
      </c>
      <c r="P84" s="17" t="inlineStr">
        <is>
          <t>13</t>
        </is>
      </c>
      <c r="R84" s="15" t="inlineStr">
        <is>
          <t>INSERT INTO</t>
        </is>
      </c>
      <c r="S84" s="15" t="inlineStr">
        <is>
          <t>CNF_UNIT_FILTERING_TBL</t>
        </is>
      </c>
      <c r="T84" s="15" t="inlineStr">
        <is>
          <t>VALUES(</t>
        </is>
      </c>
      <c r="U84" s="15" t="inlineStr">
        <is>
          <t>584 , 13</t>
        </is>
      </c>
      <c r="V84" s="15" t="inlineStr">
        <is>
          <t>);</t>
        </is>
      </c>
      <c r="X84" s="18">
        <f>EXACT(TRIM(L84&amp;""),O84&amp;"")</f>
        <v/>
      </c>
      <c r="Y84" s="18">
        <f>EXACT(TRIM(E84&amp;""),P84&amp;"")</f>
        <v/>
      </c>
      <c r="Z84" s="18">
        <f>AND(X84:Y84)</f>
        <v/>
      </c>
      <c r="AA84" s="19">
        <f>TRIM(IF(X84,"",$X$3&amp;" ")&amp;IF(Y84,"",$Y$3&amp;" "))</f>
        <v/>
      </c>
      <c r="AB84" s="18">
        <f>EXACT(SUBSTITUTE(M84," ",""),SUBSTITUTE(R84&amp;S84&amp;T84&amp;U84&amp;V84," ",""))</f>
        <v/>
      </c>
    </row>
    <row r="85">
      <c r="A85" s="15" t="inlineStr">
        <is>
          <t>INSERT INTO CNF_UNIT_FILTERING_TBL SELECT UNIT_ID, 14 FROM MST_UNIT_TBL WHERE UNIT_CODE = 'LF007';</t>
        </is>
      </c>
      <c r="B85" s="16" t="n"/>
      <c r="C85" s="15" t="inlineStr">
        <is>
          <t>CNF_UNIT_FILTERING_TBL</t>
        </is>
      </c>
      <c r="D85" s="15" t="inlineStr">
        <is>
          <t>UNIT_ID</t>
        </is>
      </c>
      <c r="E85" s="15" t="inlineStr">
        <is>
          <t>14</t>
        </is>
      </c>
      <c r="F85" s="15" t="inlineStr">
        <is>
          <t>MST_UNIT_TBL</t>
        </is>
      </c>
      <c r="G85" s="15" t="inlineStr">
        <is>
          <t>UNIT_CODE</t>
        </is>
      </c>
      <c r="H85" s="15" t="inlineStr">
        <is>
          <t>LF007</t>
        </is>
      </c>
      <c r="J85" s="15" t="inlineStr">
        <is>
          <t>LF007</t>
        </is>
      </c>
      <c r="K85" s="15" t="inlineStr">
        <is>
          <t>財務経理部</t>
        </is>
      </c>
      <c r="L85" s="15" t="inlineStr">
        <is>
          <t>584</t>
        </is>
      </c>
      <c r="M85" s="19">
        <f>"INSERT INTO "&amp;C85&amp;" VALUES("&amp;L85&amp;" , "&amp;E85&amp;");"</f>
        <v/>
      </c>
      <c r="O85" s="17" t="inlineStr">
        <is>
          <t>584</t>
        </is>
      </c>
      <c r="P85" s="17" t="inlineStr">
        <is>
          <t>14</t>
        </is>
      </c>
      <c r="R85" s="15" t="inlineStr">
        <is>
          <t>INSERT INTO</t>
        </is>
      </c>
      <c r="S85" s="15" t="inlineStr">
        <is>
          <t>CNF_UNIT_FILTERING_TBL</t>
        </is>
      </c>
      <c r="T85" s="15" t="inlineStr">
        <is>
          <t>VALUES(</t>
        </is>
      </c>
      <c r="U85" s="15" t="inlineStr">
        <is>
          <t>584 , 14</t>
        </is>
      </c>
      <c r="V85" s="15" t="inlineStr">
        <is>
          <t>);</t>
        </is>
      </c>
      <c r="X85" s="18">
        <f>EXACT(TRIM(L85&amp;""),O85&amp;"")</f>
        <v/>
      </c>
      <c r="Y85" s="18">
        <f>EXACT(TRIM(E85&amp;""),P85&amp;"")</f>
        <v/>
      </c>
      <c r="Z85" s="18">
        <f>AND(X85:Y85)</f>
        <v/>
      </c>
      <c r="AA85" s="19">
        <f>TRIM(IF(X85,"",$X$3&amp;" ")&amp;IF(Y85,"",$Y$3&amp;" "))</f>
        <v/>
      </c>
      <c r="AB85" s="18">
        <f>EXACT(SUBSTITUTE(M85," ",""),SUBSTITUTE(R85&amp;S85&amp;T85&amp;U85&amp;V85," ",""))</f>
        <v/>
      </c>
    </row>
    <row r="86">
      <c r="A86" s="15" t="inlineStr">
        <is>
          <t>INSERT INTO CNF_UNIT_FILTERING_TBL SELECT UNIT_ID, 15 FROM MST_UNIT_TBL WHERE UNIT_CODE = 'LF007';</t>
        </is>
      </c>
      <c r="B86" s="16" t="n"/>
      <c r="C86" s="15" t="inlineStr">
        <is>
          <t>CNF_UNIT_FILTERING_TBL</t>
        </is>
      </c>
      <c r="D86" s="15" t="inlineStr">
        <is>
          <t>UNIT_ID</t>
        </is>
      </c>
      <c r="E86" s="15" t="inlineStr">
        <is>
          <t>15</t>
        </is>
      </c>
      <c r="F86" s="15" t="inlineStr">
        <is>
          <t>MST_UNIT_TBL</t>
        </is>
      </c>
      <c r="G86" s="15" t="inlineStr">
        <is>
          <t>UNIT_CODE</t>
        </is>
      </c>
      <c r="H86" s="15" t="inlineStr">
        <is>
          <t>LF007</t>
        </is>
      </c>
      <c r="J86" s="15" t="inlineStr">
        <is>
          <t>LF007</t>
        </is>
      </c>
      <c r="K86" s="15" t="inlineStr">
        <is>
          <t>財務経理部</t>
        </is>
      </c>
      <c r="L86" s="15" t="inlineStr">
        <is>
          <t>584</t>
        </is>
      </c>
      <c r="M86" s="19">
        <f>"INSERT INTO "&amp;C86&amp;" VALUES("&amp;L86&amp;" , "&amp;E86&amp;");"</f>
        <v/>
      </c>
      <c r="O86" s="17" t="inlineStr">
        <is>
          <t>584</t>
        </is>
      </c>
      <c r="P86" s="17" t="inlineStr">
        <is>
          <t>15</t>
        </is>
      </c>
      <c r="R86" s="15" t="inlineStr">
        <is>
          <t>INSERT INTO</t>
        </is>
      </c>
      <c r="S86" s="15" t="inlineStr">
        <is>
          <t>CNF_UNIT_FILTERING_TBL</t>
        </is>
      </c>
      <c r="T86" s="15" t="inlineStr">
        <is>
          <t>VALUES(</t>
        </is>
      </c>
      <c r="U86" s="15" t="inlineStr">
        <is>
          <t>584 , 15</t>
        </is>
      </c>
      <c r="V86" s="15" t="inlineStr">
        <is>
          <t>);</t>
        </is>
      </c>
      <c r="X86" s="18">
        <f>EXACT(TRIM(L86&amp;""),O86&amp;"")</f>
        <v/>
      </c>
      <c r="Y86" s="18">
        <f>EXACT(TRIM(E86&amp;""),P86&amp;"")</f>
        <v/>
      </c>
      <c r="Z86" s="18">
        <f>AND(X86:Y86)</f>
        <v/>
      </c>
      <c r="AA86" s="19">
        <f>TRIM(IF(X86,"",$X$3&amp;" ")&amp;IF(Y86,"",$Y$3&amp;" "))</f>
        <v/>
      </c>
      <c r="AB86" s="18">
        <f>EXACT(SUBSTITUTE(M86," ",""),SUBSTITUTE(R86&amp;S86&amp;T86&amp;U86&amp;V86," ",""))</f>
        <v/>
      </c>
    </row>
    <row r="87">
      <c r="A87" s="15" t="inlineStr">
        <is>
          <t>INSERT INTO CNF_UNIT_FILTERING_TBL SELECT UNIT_ID, 16 FROM MST_UNIT_TBL WHERE UNIT_CODE = 'LF007';</t>
        </is>
      </c>
      <c r="B87" s="16" t="n"/>
      <c r="C87" s="15" t="inlineStr">
        <is>
          <t>CNF_UNIT_FILTERING_TBL</t>
        </is>
      </c>
      <c r="D87" s="15" t="inlineStr">
        <is>
          <t>UNIT_ID</t>
        </is>
      </c>
      <c r="E87" s="15" t="inlineStr">
        <is>
          <t>16</t>
        </is>
      </c>
      <c r="F87" s="15" t="inlineStr">
        <is>
          <t>MST_UNIT_TBL</t>
        </is>
      </c>
      <c r="G87" s="15" t="inlineStr">
        <is>
          <t>UNIT_CODE</t>
        </is>
      </c>
      <c r="H87" s="15" t="inlineStr">
        <is>
          <t>LF007</t>
        </is>
      </c>
      <c r="J87" s="15" t="inlineStr">
        <is>
          <t>LF007</t>
        </is>
      </c>
      <c r="K87" s="15" t="inlineStr">
        <is>
          <t>財務経理部</t>
        </is>
      </c>
      <c r="L87" s="15" t="inlineStr">
        <is>
          <t>584</t>
        </is>
      </c>
      <c r="M87" s="19">
        <f>"INSERT INTO "&amp;C87&amp;" VALUES("&amp;L87&amp;" , "&amp;E87&amp;");"</f>
        <v/>
      </c>
      <c r="O87" s="17" t="inlineStr">
        <is>
          <t>584</t>
        </is>
      </c>
      <c r="P87" s="17" t="inlineStr">
        <is>
          <t>16</t>
        </is>
      </c>
      <c r="R87" s="15" t="inlineStr">
        <is>
          <t>INSERT INTO</t>
        </is>
      </c>
      <c r="S87" s="15" t="inlineStr">
        <is>
          <t>CNF_UNIT_FILTERING_TBL</t>
        </is>
      </c>
      <c r="T87" s="15" t="inlineStr">
        <is>
          <t>VALUES(</t>
        </is>
      </c>
      <c r="U87" s="15" t="inlineStr">
        <is>
          <t>584 , 16</t>
        </is>
      </c>
      <c r="V87" s="15" t="inlineStr">
        <is>
          <t>);</t>
        </is>
      </c>
      <c r="X87" s="18">
        <f>EXACT(TRIM(L87&amp;""),O87&amp;"")</f>
        <v/>
      </c>
      <c r="Y87" s="18">
        <f>EXACT(TRIM(E87&amp;""),P87&amp;"")</f>
        <v/>
      </c>
      <c r="Z87" s="18">
        <f>AND(X87:Y87)</f>
        <v/>
      </c>
      <c r="AA87" s="19">
        <f>TRIM(IF(X87,"",$X$3&amp;" ")&amp;IF(Y87,"",$Y$3&amp;" "))</f>
        <v/>
      </c>
      <c r="AB87" s="18">
        <f>EXACT(SUBSTITUTE(M87," ",""),SUBSTITUTE(R87&amp;S87&amp;T87&amp;U87&amp;V87," ",""))</f>
        <v/>
      </c>
    </row>
    <row r="88">
      <c r="A88" s="15" t="inlineStr">
        <is>
          <t>INSERT INTO CNF_UNIT_FILTERING_TBL SELECT UNIT_ID, 1 FROM MST_UNIT_TBL WHERE UNIT_CODE = 'LF008';</t>
        </is>
      </c>
      <c r="B88" s="16" t="n"/>
      <c r="C88" s="15" t="inlineStr">
        <is>
          <t>CNF_UNIT_FILTERING_TBL</t>
        </is>
      </c>
      <c r="D88" s="15" t="inlineStr">
        <is>
          <t>UNIT_ID</t>
        </is>
      </c>
      <c r="E88" s="15" t="inlineStr">
        <is>
          <t>1</t>
        </is>
      </c>
      <c r="F88" s="15" t="inlineStr">
        <is>
          <t>MST_UNIT_TBL</t>
        </is>
      </c>
      <c r="G88" s="15" t="inlineStr">
        <is>
          <t>UNIT_CODE</t>
        </is>
      </c>
      <c r="H88" s="15" t="inlineStr">
        <is>
          <t>LF008</t>
        </is>
      </c>
      <c r="J88" s="15" t="inlineStr">
        <is>
          <t>LF008</t>
        </is>
      </c>
      <c r="K88" s="15" t="inlineStr">
        <is>
          <t>ＩＴソリューション部</t>
        </is>
      </c>
      <c r="L88" s="15" t="inlineStr">
        <is>
          <t>585</t>
        </is>
      </c>
      <c r="M88" s="19">
        <f>"INSERT INTO "&amp;C88&amp;" VALUES("&amp;L88&amp;" , "&amp;E88&amp;");"</f>
        <v/>
      </c>
      <c r="O88" s="17" t="inlineStr">
        <is>
          <t>585</t>
        </is>
      </c>
      <c r="P88" s="17" t="inlineStr">
        <is>
          <t>1</t>
        </is>
      </c>
      <c r="R88" s="15" t="inlineStr">
        <is>
          <t>INSERT INTO</t>
        </is>
      </c>
      <c r="S88" s="15" t="inlineStr">
        <is>
          <t>CNF_UNIT_FILTERING_TBL</t>
        </is>
      </c>
      <c r="T88" s="15" t="inlineStr">
        <is>
          <t>VALUES(</t>
        </is>
      </c>
      <c r="U88" s="15" t="inlineStr">
        <is>
          <t>585 , 1</t>
        </is>
      </c>
      <c r="V88" s="15" t="inlineStr">
        <is>
          <t>);</t>
        </is>
      </c>
      <c r="X88" s="18">
        <f>EXACT(TRIM(L88&amp;""),O88&amp;"")</f>
        <v/>
      </c>
      <c r="Y88" s="18">
        <f>EXACT(TRIM(E88&amp;""),P88&amp;"")</f>
        <v/>
      </c>
      <c r="Z88" s="18">
        <f>AND(X88:Y88)</f>
        <v/>
      </c>
      <c r="AA88" s="19">
        <f>TRIM(IF(X88,"",$X$3&amp;" ")&amp;IF(Y88,"",$Y$3&amp;" "))</f>
        <v/>
      </c>
      <c r="AB88" s="18">
        <f>EXACT(SUBSTITUTE(M88," ",""),SUBSTITUTE(R88&amp;S88&amp;T88&amp;U88&amp;V88," ",""))</f>
        <v/>
      </c>
    </row>
    <row r="89">
      <c r="A89" s="15" t="inlineStr">
        <is>
          <t>INSERT INTO CNF_UNIT_FILTERING_TBL SELECT UNIT_ID, 4 FROM MST_UNIT_TBL WHERE UNIT_CODE = 'LF008';</t>
        </is>
      </c>
      <c r="B89" s="16" t="n"/>
      <c r="C89" s="15" t="inlineStr">
        <is>
          <t>CNF_UNIT_FILTERING_TBL</t>
        </is>
      </c>
      <c r="D89" s="15" t="inlineStr">
        <is>
          <t>UNIT_ID</t>
        </is>
      </c>
      <c r="E89" s="15" t="inlineStr">
        <is>
          <t>4</t>
        </is>
      </c>
      <c r="F89" s="15" t="inlineStr">
        <is>
          <t>MST_UNIT_TBL</t>
        </is>
      </c>
      <c r="G89" s="15" t="inlineStr">
        <is>
          <t>UNIT_CODE</t>
        </is>
      </c>
      <c r="H89" s="15" t="inlineStr">
        <is>
          <t>LF008</t>
        </is>
      </c>
      <c r="J89" s="15" t="inlineStr">
        <is>
          <t>LF008</t>
        </is>
      </c>
      <c r="K89" s="15" t="inlineStr">
        <is>
          <t>ＩＴソリューション部</t>
        </is>
      </c>
      <c r="L89" s="15" t="inlineStr">
        <is>
          <t>585</t>
        </is>
      </c>
      <c r="M89" s="19">
        <f>"INSERT INTO "&amp;C89&amp;" VALUES("&amp;L89&amp;" , "&amp;E89&amp;");"</f>
        <v/>
      </c>
      <c r="O89" s="17" t="inlineStr">
        <is>
          <t>585</t>
        </is>
      </c>
      <c r="P89" s="17" t="inlineStr">
        <is>
          <t>4</t>
        </is>
      </c>
      <c r="R89" s="15" t="inlineStr">
        <is>
          <t>INSERT INTO</t>
        </is>
      </c>
      <c r="S89" s="15" t="inlineStr">
        <is>
          <t>CNF_UNIT_FILTERING_TBL</t>
        </is>
      </c>
      <c r="T89" s="15" t="inlineStr">
        <is>
          <t>VALUES(</t>
        </is>
      </c>
      <c r="U89" s="15" t="inlineStr">
        <is>
          <t>585 , 4</t>
        </is>
      </c>
      <c r="V89" s="15" t="inlineStr">
        <is>
          <t>);</t>
        </is>
      </c>
      <c r="X89" s="18">
        <f>EXACT(TRIM(L89&amp;""),O89&amp;"")</f>
        <v/>
      </c>
      <c r="Y89" s="18">
        <f>EXACT(TRIM(E89&amp;""),P89&amp;"")</f>
        <v/>
      </c>
      <c r="Z89" s="18">
        <f>AND(X89:Y89)</f>
        <v/>
      </c>
      <c r="AA89" s="19">
        <f>TRIM(IF(X89,"",$X$3&amp;" ")&amp;IF(Y89,"",$Y$3&amp;" "))</f>
        <v/>
      </c>
      <c r="AB89" s="18">
        <f>EXACT(SUBSTITUTE(M89," ",""),SUBSTITUTE(R89&amp;S89&amp;T89&amp;U89&amp;V89," ",""))</f>
        <v/>
      </c>
    </row>
    <row r="90">
      <c r="A90" s="15" t="inlineStr">
        <is>
          <t>INSERT INTO CNF_UNIT_FILTERING_TBL SELECT UNIT_ID, 5 FROM MST_UNIT_TBL WHERE UNIT_CODE = 'LF008';</t>
        </is>
      </c>
      <c r="B90" s="16" t="n"/>
      <c r="C90" s="15" t="inlineStr">
        <is>
          <t>CNF_UNIT_FILTERING_TBL</t>
        </is>
      </c>
      <c r="D90" s="15" t="inlineStr">
        <is>
          <t>UNIT_ID</t>
        </is>
      </c>
      <c r="E90" s="15" t="inlineStr">
        <is>
          <t>5</t>
        </is>
      </c>
      <c r="F90" s="15" t="inlineStr">
        <is>
          <t>MST_UNIT_TBL</t>
        </is>
      </c>
      <c r="G90" s="15" t="inlineStr">
        <is>
          <t>UNIT_CODE</t>
        </is>
      </c>
      <c r="H90" s="15" t="inlineStr">
        <is>
          <t>LF008</t>
        </is>
      </c>
      <c r="J90" s="15" t="inlineStr">
        <is>
          <t>LF008</t>
        </is>
      </c>
      <c r="K90" s="15" t="inlineStr">
        <is>
          <t>ＩＴソリューション部</t>
        </is>
      </c>
      <c r="L90" s="15" t="inlineStr">
        <is>
          <t>585</t>
        </is>
      </c>
      <c r="M90" s="19">
        <f>"INSERT INTO "&amp;C90&amp;" VALUES("&amp;L90&amp;" , "&amp;E90&amp;");"</f>
        <v/>
      </c>
      <c r="O90" s="17" t="inlineStr">
        <is>
          <t>585</t>
        </is>
      </c>
      <c r="P90" s="17" t="inlineStr">
        <is>
          <t>5</t>
        </is>
      </c>
      <c r="R90" s="15" t="inlineStr">
        <is>
          <t>INSERT INTO</t>
        </is>
      </c>
      <c r="S90" s="15" t="inlineStr">
        <is>
          <t>CNF_UNIT_FILTERING_TBL</t>
        </is>
      </c>
      <c r="T90" s="15" t="inlineStr">
        <is>
          <t>VALUES(</t>
        </is>
      </c>
      <c r="U90" s="15" t="inlineStr">
        <is>
          <t>585 , 5</t>
        </is>
      </c>
      <c r="V90" s="15" t="inlineStr">
        <is>
          <t>);</t>
        </is>
      </c>
      <c r="X90" s="18">
        <f>EXACT(TRIM(L90&amp;""),O90&amp;"")</f>
        <v/>
      </c>
      <c r="Y90" s="18">
        <f>EXACT(TRIM(E90&amp;""),P90&amp;"")</f>
        <v/>
      </c>
      <c r="Z90" s="18">
        <f>AND(X90:Y90)</f>
        <v/>
      </c>
      <c r="AA90" s="19">
        <f>TRIM(IF(X90,"",$X$3&amp;" ")&amp;IF(Y90,"",$Y$3&amp;" "))</f>
        <v/>
      </c>
      <c r="AB90" s="18">
        <f>EXACT(SUBSTITUTE(M90," ",""),SUBSTITUTE(R90&amp;S90&amp;T90&amp;U90&amp;V90," ",""))</f>
        <v/>
      </c>
    </row>
    <row r="91">
      <c r="A91" s="15" t="inlineStr">
        <is>
          <t>INSERT INTO CNF_UNIT_FILTERING_TBL SELECT UNIT_ID, 7 FROM MST_UNIT_TBL WHERE UNIT_CODE = 'LF008';</t>
        </is>
      </c>
      <c r="B91" s="16" t="n"/>
      <c r="C91" s="15" t="inlineStr">
        <is>
          <t>CNF_UNIT_FILTERING_TBL</t>
        </is>
      </c>
      <c r="D91" s="15" t="inlineStr">
        <is>
          <t>UNIT_ID</t>
        </is>
      </c>
      <c r="E91" s="15" t="inlineStr">
        <is>
          <t>7</t>
        </is>
      </c>
      <c r="F91" s="15" t="inlineStr">
        <is>
          <t>MST_UNIT_TBL</t>
        </is>
      </c>
      <c r="G91" s="15" t="inlineStr">
        <is>
          <t>UNIT_CODE</t>
        </is>
      </c>
      <c r="H91" s="15" t="inlineStr">
        <is>
          <t>LF008</t>
        </is>
      </c>
      <c r="J91" s="15" t="inlineStr">
        <is>
          <t>LF008</t>
        </is>
      </c>
      <c r="K91" s="15" t="inlineStr">
        <is>
          <t>ＩＴソリューション部</t>
        </is>
      </c>
      <c r="L91" s="15" t="inlineStr">
        <is>
          <t>585</t>
        </is>
      </c>
      <c r="M91" s="19">
        <f>"INSERT INTO "&amp;C91&amp;" VALUES("&amp;L91&amp;" , "&amp;E91&amp;");"</f>
        <v/>
      </c>
      <c r="O91" s="17" t="inlineStr">
        <is>
          <t>585</t>
        </is>
      </c>
      <c r="P91" s="17" t="inlineStr">
        <is>
          <t>7</t>
        </is>
      </c>
      <c r="R91" s="15" t="inlineStr">
        <is>
          <t>INSERT INTO</t>
        </is>
      </c>
      <c r="S91" s="15" t="inlineStr">
        <is>
          <t>CNF_UNIT_FILTERING_TBL</t>
        </is>
      </c>
      <c r="T91" s="15" t="inlineStr">
        <is>
          <t>VALUES(</t>
        </is>
      </c>
      <c r="U91" s="15" t="inlineStr">
        <is>
          <t>585 , 7</t>
        </is>
      </c>
      <c r="V91" s="15" t="inlineStr">
        <is>
          <t>);</t>
        </is>
      </c>
      <c r="X91" s="18">
        <f>EXACT(TRIM(L91&amp;""),O91&amp;"")</f>
        <v/>
      </c>
      <c r="Y91" s="18">
        <f>EXACT(TRIM(E91&amp;""),P91&amp;"")</f>
        <v/>
      </c>
      <c r="Z91" s="18">
        <f>AND(X91:Y91)</f>
        <v/>
      </c>
      <c r="AA91" s="19">
        <f>TRIM(IF(X91,"",$X$3&amp;" ")&amp;IF(Y91,"",$Y$3&amp;" "))</f>
        <v/>
      </c>
      <c r="AB91" s="18">
        <f>EXACT(SUBSTITUTE(M91," ",""),SUBSTITUTE(R91&amp;S91&amp;T91&amp;U91&amp;V91," ",""))</f>
        <v/>
      </c>
    </row>
    <row r="92">
      <c r="A92" s="15" t="inlineStr">
        <is>
          <t>INSERT INTO CNF_UNIT_FILTERING_TBL SELECT UNIT_ID, 8 FROM MST_UNIT_TBL WHERE UNIT_CODE = 'LF008';</t>
        </is>
      </c>
      <c r="B92" s="16" t="n"/>
      <c r="C92" s="15" t="inlineStr">
        <is>
          <t>CNF_UNIT_FILTERING_TBL</t>
        </is>
      </c>
      <c r="D92" s="15" t="inlineStr">
        <is>
          <t>UNIT_ID</t>
        </is>
      </c>
      <c r="E92" s="15" t="inlineStr">
        <is>
          <t>8</t>
        </is>
      </c>
      <c r="F92" s="15" t="inlineStr">
        <is>
          <t>MST_UNIT_TBL</t>
        </is>
      </c>
      <c r="G92" s="15" t="inlineStr">
        <is>
          <t>UNIT_CODE</t>
        </is>
      </c>
      <c r="H92" s="15" t="inlineStr">
        <is>
          <t>LF008</t>
        </is>
      </c>
      <c r="J92" s="15" t="inlineStr">
        <is>
          <t>LF008</t>
        </is>
      </c>
      <c r="K92" s="15" t="inlineStr">
        <is>
          <t>ＩＴソリューション部</t>
        </is>
      </c>
      <c r="L92" s="15" t="inlineStr">
        <is>
          <t>585</t>
        </is>
      </c>
      <c r="M92" s="19">
        <f>"INSERT INTO "&amp;C92&amp;" VALUES("&amp;L92&amp;" , "&amp;E92&amp;");"</f>
        <v/>
      </c>
      <c r="O92" s="17" t="inlineStr">
        <is>
          <t>585</t>
        </is>
      </c>
      <c r="P92" s="17" t="inlineStr">
        <is>
          <t>8</t>
        </is>
      </c>
      <c r="R92" s="15" t="inlineStr">
        <is>
          <t>INSERT INTO</t>
        </is>
      </c>
      <c r="S92" s="15" t="inlineStr">
        <is>
          <t>CNF_UNIT_FILTERING_TBL</t>
        </is>
      </c>
      <c r="T92" s="15" t="inlineStr">
        <is>
          <t>VALUES(</t>
        </is>
      </c>
      <c r="U92" s="15" t="inlineStr">
        <is>
          <t>585 , 8</t>
        </is>
      </c>
      <c r="V92" s="15" t="inlineStr">
        <is>
          <t>);</t>
        </is>
      </c>
      <c r="X92" s="18">
        <f>EXACT(TRIM(L92&amp;""),O92&amp;"")</f>
        <v/>
      </c>
      <c r="Y92" s="18">
        <f>EXACT(TRIM(E92&amp;""),P92&amp;"")</f>
        <v/>
      </c>
      <c r="Z92" s="18">
        <f>AND(X92:Y92)</f>
        <v/>
      </c>
      <c r="AA92" s="19">
        <f>TRIM(IF(X92,"",$X$3&amp;" ")&amp;IF(Y92,"",$Y$3&amp;" "))</f>
        <v/>
      </c>
      <c r="AB92" s="18">
        <f>EXACT(SUBSTITUTE(M92," ",""),SUBSTITUTE(R92&amp;S92&amp;T92&amp;U92&amp;V92," ",""))</f>
        <v/>
      </c>
    </row>
    <row r="93">
      <c r="A93" s="15" t="inlineStr">
        <is>
          <t>INSERT INTO CNF_UNIT_FILTERING_TBL SELECT UNIT_ID, 9 FROM MST_UNIT_TBL WHERE UNIT_CODE = 'LF008';</t>
        </is>
      </c>
      <c r="B93" s="16" t="n"/>
      <c r="C93" s="15" t="inlineStr">
        <is>
          <t>CNF_UNIT_FILTERING_TBL</t>
        </is>
      </c>
      <c r="D93" s="15" t="inlineStr">
        <is>
          <t>UNIT_ID</t>
        </is>
      </c>
      <c r="E93" s="15" t="inlineStr">
        <is>
          <t>9</t>
        </is>
      </c>
      <c r="F93" s="15" t="inlineStr">
        <is>
          <t>MST_UNIT_TBL</t>
        </is>
      </c>
      <c r="G93" s="15" t="inlineStr">
        <is>
          <t>UNIT_CODE</t>
        </is>
      </c>
      <c r="H93" s="15" t="inlineStr">
        <is>
          <t>LF008</t>
        </is>
      </c>
      <c r="J93" s="15" t="inlineStr">
        <is>
          <t>LF008</t>
        </is>
      </c>
      <c r="K93" s="15" t="inlineStr">
        <is>
          <t>ＩＴソリューション部</t>
        </is>
      </c>
      <c r="L93" s="15" t="inlineStr">
        <is>
          <t>585</t>
        </is>
      </c>
      <c r="M93" s="19">
        <f>"INSERT INTO "&amp;C93&amp;" VALUES("&amp;L93&amp;" , "&amp;E93&amp;");"</f>
        <v/>
      </c>
      <c r="O93" s="17" t="inlineStr">
        <is>
          <t>585</t>
        </is>
      </c>
      <c r="P93" s="17" t="inlineStr">
        <is>
          <t>9</t>
        </is>
      </c>
      <c r="R93" s="15" t="inlineStr">
        <is>
          <t>INSERT INTO</t>
        </is>
      </c>
      <c r="S93" s="15" t="inlineStr">
        <is>
          <t>CNF_UNIT_FILTERING_TBL</t>
        </is>
      </c>
      <c r="T93" s="15" t="inlineStr">
        <is>
          <t>VALUES(</t>
        </is>
      </c>
      <c r="U93" s="15" t="inlineStr">
        <is>
          <t>585 , 9</t>
        </is>
      </c>
      <c r="V93" s="15" t="inlineStr">
        <is>
          <t>);</t>
        </is>
      </c>
      <c r="X93" s="18">
        <f>EXACT(TRIM(L93&amp;""),O93&amp;"")</f>
        <v/>
      </c>
      <c r="Y93" s="18">
        <f>EXACT(TRIM(E93&amp;""),P93&amp;"")</f>
        <v/>
      </c>
      <c r="Z93" s="18">
        <f>AND(X93:Y93)</f>
        <v/>
      </c>
      <c r="AA93" s="19">
        <f>TRIM(IF(X93,"",$X$3&amp;" ")&amp;IF(Y93,"",$Y$3&amp;" "))</f>
        <v/>
      </c>
      <c r="AB93" s="18">
        <f>EXACT(SUBSTITUTE(M93," ",""),SUBSTITUTE(R93&amp;S93&amp;T93&amp;U93&amp;V93," ",""))</f>
        <v/>
      </c>
    </row>
    <row r="94">
      <c r="A94" s="15" t="inlineStr">
        <is>
          <t>INSERT INTO CNF_UNIT_FILTERING_TBL SELECT UNIT_ID, 11 FROM MST_UNIT_TBL WHERE UNIT_CODE = 'LF008';</t>
        </is>
      </c>
      <c r="B94" s="16" t="n"/>
      <c r="C94" s="15" t="inlineStr">
        <is>
          <t>CNF_UNIT_FILTERING_TBL</t>
        </is>
      </c>
      <c r="D94" s="15" t="inlineStr">
        <is>
          <t>UNIT_ID</t>
        </is>
      </c>
      <c r="E94" s="15" t="inlineStr">
        <is>
          <t>11</t>
        </is>
      </c>
      <c r="F94" s="15" t="inlineStr">
        <is>
          <t>MST_UNIT_TBL</t>
        </is>
      </c>
      <c r="G94" s="15" t="inlineStr">
        <is>
          <t>UNIT_CODE</t>
        </is>
      </c>
      <c r="H94" s="15" t="inlineStr">
        <is>
          <t>LF008</t>
        </is>
      </c>
      <c r="J94" s="15" t="inlineStr">
        <is>
          <t>LF008</t>
        </is>
      </c>
      <c r="K94" s="15" t="inlineStr">
        <is>
          <t>ＩＴソリューション部</t>
        </is>
      </c>
      <c r="L94" s="15" t="inlineStr">
        <is>
          <t>585</t>
        </is>
      </c>
      <c r="M94" s="19">
        <f>"INSERT INTO "&amp;C94&amp;" VALUES("&amp;L94&amp;" , "&amp;E94&amp;");"</f>
        <v/>
      </c>
      <c r="O94" s="17" t="inlineStr">
        <is>
          <t>585</t>
        </is>
      </c>
      <c r="P94" s="17" t="inlineStr">
        <is>
          <t>11</t>
        </is>
      </c>
      <c r="R94" s="15" t="inlineStr">
        <is>
          <t>INSERT INTO</t>
        </is>
      </c>
      <c r="S94" s="15" t="inlineStr">
        <is>
          <t>CNF_UNIT_FILTERING_TBL</t>
        </is>
      </c>
      <c r="T94" s="15" t="inlineStr">
        <is>
          <t>VALUES(</t>
        </is>
      </c>
      <c r="U94" s="15" t="inlineStr">
        <is>
          <t>585 , 11</t>
        </is>
      </c>
      <c r="V94" s="15" t="inlineStr">
        <is>
          <t>);</t>
        </is>
      </c>
      <c r="X94" s="18">
        <f>EXACT(TRIM(L94&amp;""),O94&amp;"")</f>
        <v/>
      </c>
      <c r="Y94" s="18">
        <f>EXACT(TRIM(E94&amp;""),P94&amp;"")</f>
        <v/>
      </c>
      <c r="Z94" s="18">
        <f>AND(X94:Y94)</f>
        <v/>
      </c>
      <c r="AA94" s="19">
        <f>TRIM(IF(X94,"",$X$3&amp;" ")&amp;IF(Y94,"",$Y$3&amp;" "))</f>
        <v/>
      </c>
      <c r="AB94" s="18">
        <f>EXACT(SUBSTITUTE(M94," ",""),SUBSTITUTE(R94&amp;S94&amp;T94&amp;U94&amp;V94," ",""))</f>
        <v/>
      </c>
    </row>
    <row r="95">
      <c r="A95" s="15" t="inlineStr">
        <is>
          <t>INSERT INTO CNF_UNIT_FILTERING_TBL SELECT UNIT_ID, 12 FROM MST_UNIT_TBL WHERE UNIT_CODE = 'LF008';</t>
        </is>
      </c>
      <c r="B95" s="16" t="n"/>
      <c r="C95" s="15" t="inlineStr">
        <is>
          <t>CNF_UNIT_FILTERING_TBL</t>
        </is>
      </c>
      <c r="D95" s="15" t="inlineStr">
        <is>
          <t>UNIT_ID</t>
        </is>
      </c>
      <c r="E95" s="15" t="inlineStr">
        <is>
          <t>12</t>
        </is>
      </c>
      <c r="F95" s="15" t="inlineStr">
        <is>
          <t>MST_UNIT_TBL</t>
        </is>
      </c>
      <c r="G95" s="15" t="inlineStr">
        <is>
          <t>UNIT_CODE</t>
        </is>
      </c>
      <c r="H95" s="15" t="inlineStr">
        <is>
          <t>LF008</t>
        </is>
      </c>
      <c r="J95" s="15" t="inlineStr">
        <is>
          <t>LF008</t>
        </is>
      </c>
      <c r="K95" s="15" t="inlineStr">
        <is>
          <t>ＩＴソリューション部</t>
        </is>
      </c>
      <c r="L95" s="15" t="inlineStr">
        <is>
          <t>585</t>
        </is>
      </c>
      <c r="M95" s="19">
        <f>"INSERT INTO "&amp;C95&amp;" VALUES("&amp;L95&amp;" , "&amp;E95&amp;");"</f>
        <v/>
      </c>
      <c r="O95" s="17" t="inlineStr">
        <is>
          <t>585</t>
        </is>
      </c>
      <c r="P95" s="17" t="inlineStr">
        <is>
          <t>12</t>
        </is>
      </c>
      <c r="R95" s="15" t="inlineStr">
        <is>
          <t>INSERT INTO</t>
        </is>
      </c>
      <c r="S95" s="15" t="inlineStr">
        <is>
          <t>CNF_UNIT_FILTERING_TBL</t>
        </is>
      </c>
      <c r="T95" s="15" t="inlineStr">
        <is>
          <t>VALUES(</t>
        </is>
      </c>
      <c r="U95" s="15" t="inlineStr">
        <is>
          <t>585 , 12</t>
        </is>
      </c>
      <c r="V95" s="15" t="inlineStr">
        <is>
          <t>);</t>
        </is>
      </c>
      <c r="X95" s="18">
        <f>EXACT(TRIM(L95&amp;""),O95&amp;"")</f>
        <v/>
      </c>
      <c r="Y95" s="18">
        <f>EXACT(TRIM(E95&amp;""),P95&amp;"")</f>
        <v/>
      </c>
      <c r="Z95" s="18">
        <f>AND(X95:Y95)</f>
        <v/>
      </c>
      <c r="AA95" s="19">
        <f>TRIM(IF(X95,"",$X$3&amp;" ")&amp;IF(Y95,"",$Y$3&amp;" "))</f>
        <v/>
      </c>
      <c r="AB95" s="18">
        <f>EXACT(SUBSTITUTE(M95," ",""),SUBSTITUTE(R95&amp;S95&amp;T95&amp;U95&amp;V95," ",""))</f>
        <v/>
      </c>
    </row>
    <row r="96">
      <c r="A96" s="15" t="inlineStr">
        <is>
          <t>INSERT INTO CNF_UNIT_FILTERING_TBL SELECT UNIT_ID, 13 FROM MST_UNIT_TBL WHERE UNIT_CODE = 'LF008';</t>
        </is>
      </c>
      <c r="B96" s="16" t="n"/>
      <c r="C96" s="15" t="inlineStr">
        <is>
          <t>CNF_UNIT_FILTERING_TBL</t>
        </is>
      </c>
      <c r="D96" s="15" t="inlineStr">
        <is>
          <t>UNIT_ID</t>
        </is>
      </c>
      <c r="E96" s="15" t="inlineStr">
        <is>
          <t>13</t>
        </is>
      </c>
      <c r="F96" s="15" t="inlineStr">
        <is>
          <t>MST_UNIT_TBL</t>
        </is>
      </c>
      <c r="G96" s="15" t="inlineStr">
        <is>
          <t>UNIT_CODE</t>
        </is>
      </c>
      <c r="H96" s="15" t="inlineStr">
        <is>
          <t>LF008</t>
        </is>
      </c>
      <c r="J96" s="15" t="inlineStr">
        <is>
          <t>LF008</t>
        </is>
      </c>
      <c r="K96" s="15" t="inlineStr">
        <is>
          <t>ＩＴソリューション部</t>
        </is>
      </c>
      <c r="L96" s="15" t="inlineStr">
        <is>
          <t>585</t>
        </is>
      </c>
      <c r="M96" s="19">
        <f>"INSERT INTO "&amp;C96&amp;" VALUES("&amp;L96&amp;" , "&amp;E96&amp;");"</f>
        <v/>
      </c>
      <c r="O96" s="17" t="inlineStr">
        <is>
          <t>585</t>
        </is>
      </c>
      <c r="P96" s="17" t="inlineStr">
        <is>
          <t>13</t>
        </is>
      </c>
      <c r="R96" s="15" t="inlineStr">
        <is>
          <t>INSERT INTO</t>
        </is>
      </c>
      <c r="S96" s="15" t="inlineStr">
        <is>
          <t>CNF_UNIT_FILTERING_TBL</t>
        </is>
      </c>
      <c r="T96" s="15" t="inlineStr">
        <is>
          <t>VALUES(</t>
        </is>
      </c>
      <c r="U96" s="15" t="inlineStr">
        <is>
          <t>585 , 13</t>
        </is>
      </c>
      <c r="V96" s="15" t="inlineStr">
        <is>
          <t>);</t>
        </is>
      </c>
      <c r="X96" s="18">
        <f>EXACT(TRIM(L96&amp;""),O96&amp;"")</f>
        <v/>
      </c>
      <c r="Y96" s="18">
        <f>EXACT(TRIM(E96&amp;""),P96&amp;"")</f>
        <v/>
      </c>
      <c r="Z96" s="18">
        <f>AND(X96:Y96)</f>
        <v/>
      </c>
      <c r="AA96" s="19">
        <f>TRIM(IF(X96,"",$X$3&amp;" ")&amp;IF(Y96,"",$Y$3&amp;" "))</f>
        <v/>
      </c>
      <c r="AB96" s="18">
        <f>EXACT(SUBSTITUTE(M96," ",""),SUBSTITUTE(R96&amp;S96&amp;T96&amp;U96&amp;V96," ",""))</f>
        <v/>
      </c>
    </row>
    <row r="97">
      <c r="A97" s="15" t="inlineStr">
        <is>
          <t>INSERT INTO CNF_UNIT_FILTERING_TBL SELECT UNIT_ID, 14 FROM MST_UNIT_TBL WHERE UNIT_CODE = 'LF008';</t>
        </is>
      </c>
      <c r="B97" s="16" t="n"/>
      <c r="C97" s="15" t="inlineStr">
        <is>
          <t>CNF_UNIT_FILTERING_TBL</t>
        </is>
      </c>
      <c r="D97" s="15" t="inlineStr">
        <is>
          <t>UNIT_ID</t>
        </is>
      </c>
      <c r="E97" s="15" t="inlineStr">
        <is>
          <t>14</t>
        </is>
      </c>
      <c r="F97" s="15" t="inlineStr">
        <is>
          <t>MST_UNIT_TBL</t>
        </is>
      </c>
      <c r="G97" s="15" t="inlineStr">
        <is>
          <t>UNIT_CODE</t>
        </is>
      </c>
      <c r="H97" s="15" t="inlineStr">
        <is>
          <t>LF008</t>
        </is>
      </c>
      <c r="J97" s="15" t="inlineStr">
        <is>
          <t>LF008</t>
        </is>
      </c>
      <c r="K97" s="15" t="inlineStr">
        <is>
          <t>ＩＴソリューション部</t>
        </is>
      </c>
      <c r="L97" s="15" t="inlineStr">
        <is>
          <t>585</t>
        </is>
      </c>
      <c r="M97" s="19">
        <f>"INSERT INTO "&amp;C97&amp;" VALUES("&amp;L97&amp;" , "&amp;E97&amp;");"</f>
        <v/>
      </c>
      <c r="O97" s="17" t="inlineStr">
        <is>
          <t>585</t>
        </is>
      </c>
      <c r="P97" s="17" t="inlineStr">
        <is>
          <t>14</t>
        </is>
      </c>
      <c r="R97" s="15" t="inlineStr">
        <is>
          <t>INSERT INTO</t>
        </is>
      </c>
      <c r="S97" s="15" t="inlineStr">
        <is>
          <t>CNF_UNIT_FILTERING_TBL</t>
        </is>
      </c>
      <c r="T97" s="15" t="inlineStr">
        <is>
          <t>VALUES(</t>
        </is>
      </c>
      <c r="U97" s="15" t="inlineStr">
        <is>
          <t>585 , 14</t>
        </is>
      </c>
      <c r="V97" s="15" t="inlineStr">
        <is>
          <t>);</t>
        </is>
      </c>
      <c r="X97" s="18">
        <f>EXACT(TRIM(L97&amp;""),O97&amp;"")</f>
        <v/>
      </c>
      <c r="Y97" s="18">
        <f>EXACT(TRIM(E97&amp;""),P97&amp;"")</f>
        <v/>
      </c>
      <c r="Z97" s="18">
        <f>AND(X97:Y97)</f>
        <v/>
      </c>
      <c r="AA97" s="19">
        <f>TRIM(IF(X97,"",$X$3&amp;" ")&amp;IF(Y97,"",$Y$3&amp;" "))</f>
        <v/>
      </c>
      <c r="AB97" s="18">
        <f>EXACT(SUBSTITUTE(M97," ",""),SUBSTITUTE(R97&amp;S97&amp;T97&amp;U97&amp;V97," ",""))</f>
        <v/>
      </c>
    </row>
    <row r="98">
      <c r="A98" s="15" t="inlineStr">
        <is>
          <t>INSERT INTO CNF_UNIT_FILTERING_TBL SELECT UNIT_ID, 15 FROM MST_UNIT_TBL WHERE UNIT_CODE = 'LF008';</t>
        </is>
      </c>
      <c r="B98" s="16" t="n"/>
      <c r="C98" s="15" t="inlineStr">
        <is>
          <t>CNF_UNIT_FILTERING_TBL</t>
        </is>
      </c>
      <c r="D98" s="15" t="inlineStr">
        <is>
          <t>UNIT_ID</t>
        </is>
      </c>
      <c r="E98" s="15" t="inlineStr">
        <is>
          <t>15</t>
        </is>
      </c>
      <c r="F98" s="15" t="inlineStr">
        <is>
          <t>MST_UNIT_TBL</t>
        </is>
      </c>
      <c r="G98" s="15" t="inlineStr">
        <is>
          <t>UNIT_CODE</t>
        </is>
      </c>
      <c r="H98" s="15" t="inlineStr">
        <is>
          <t>LF008</t>
        </is>
      </c>
      <c r="J98" s="15" t="inlineStr">
        <is>
          <t>LF008</t>
        </is>
      </c>
      <c r="K98" s="15" t="inlineStr">
        <is>
          <t>ＩＴソリューション部</t>
        </is>
      </c>
      <c r="L98" s="15" t="inlineStr">
        <is>
          <t>585</t>
        </is>
      </c>
      <c r="M98" s="19">
        <f>"INSERT INTO "&amp;C98&amp;" VALUES("&amp;L98&amp;" , "&amp;E98&amp;");"</f>
        <v/>
      </c>
      <c r="O98" s="17" t="inlineStr">
        <is>
          <t>585</t>
        </is>
      </c>
      <c r="P98" s="17" t="inlineStr">
        <is>
          <t>15</t>
        </is>
      </c>
      <c r="R98" s="15" t="inlineStr">
        <is>
          <t>INSERT INTO</t>
        </is>
      </c>
      <c r="S98" s="15" t="inlineStr">
        <is>
          <t>CNF_UNIT_FILTERING_TBL</t>
        </is>
      </c>
      <c r="T98" s="15" t="inlineStr">
        <is>
          <t>VALUES(</t>
        </is>
      </c>
      <c r="U98" s="15" t="inlineStr">
        <is>
          <t>585 , 15</t>
        </is>
      </c>
      <c r="V98" s="15" t="inlineStr">
        <is>
          <t>);</t>
        </is>
      </c>
      <c r="X98" s="18">
        <f>EXACT(TRIM(L98&amp;""),O98&amp;"")</f>
        <v/>
      </c>
      <c r="Y98" s="18">
        <f>EXACT(TRIM(E98&amp;""),P98&amp;"")</f>
        <v/>
      </c>
      <c r="Z98" s="18">
        <f>AND(X98:Y98)</f>
        <v/>
      </c>
      <c r="AA98" s="19">
        <f>TRIM(IF(X98,"",$X$3&amp;" ")&amp;IF(Y98,"",$Y$3&amp;" "))</f>
        <v/>
      </c>
      <c r="AB98" s="18">
        <f>EXACT(SUBSTITUTE(M98," ",""),SUBSTITUTE(R98&amp;S98&amp;T98&amp;U98&amp;V98," ",""))</f>
        <v/>
      </c>
    </row>
    <row r="99">
      <c r="A99" s="15" t="inlineStr">
        <is>
          <t>INSERT INTO CNF_UNIT_FILTERING_TBL SELECT UNIT_ID, 16 FROM MST_UNIT_TBL WHERE UNIT_CODE = 'LF008';</t>
        </is>
      </c>
      <c r="B99" s="16" t="n"/>
      <c r="C99" s="15" t="inlineStr">
        <is>
          <t>CNF_UNIT_FILTERING_TBL</t>
        </is>
      </c>
      <c r="D99" s="15" t="inlineStr">
        <is>
          <t>UNIT_ID</t>
        </is>
      </c>
      <c r="E99" s="15" t="inlineStr">
        <is>
          <t>16</t>
        </is>
      </c>
      <c r="F99" s="15" t="inlineStr">
        <is>
          <t>MST_UNIT_TBL</t>
        </is>
      </c>
      <c r="G99" s="15" t="inlineStr">
        <is>
          <t>UNIT_CODE</t>
        </is>
      </c>
      <c r="H99" s="15" t="inlineStr">
        <is>
          <t>LF008</t>
        </is>
      </c>
      <c r="J99" s="15" t="inlineStr">
        <is>
          <t>LF008</t>
        </is>
      </c>
      <c r="K99" s="15" t="inlineStr">
        <is>
          <t>ＩＴソリューション部</t>
        </is>
      </c>
      <c r="L99" s="15" t="inlineStr">
        <is>
          <t>585</t>
        </is>
      </c>
      <c r="M99" s="19">
        <f>"INSERT INTO "&amp;C99&amp;" VALUES("&amp;L99&amp;" , "&amp;E99&amp;");"</f>
        <v/>
      </c>
      <c r="O99" s="17" t="inlineStr">
        <is>
          <t>585</t>
        </is>
      </c>
      <c r="P99" s="17" t="inlineStr">
        <is>
          <t>16</t>
        </is>
      </c>
      <c r="R99" s="15" t="inlineStr">
        <is>
          <t>INSERT INTO</t>
        </is>
      </c>
      <c r="S99" s="15" t="inlineStr">
        <is>
          <t>CNF_UNIT_FILTERING_TBL</t>
        </is>
      </c>
      <c r="T99" s="15" t="inlineStr">
        <is>
          <t>VALUES(</t>
        </is>
      </c>
      <c r="U99" s="15" t="inlineStr">
        <is>
          <t>585 , 16</t>
        </is>
      </c>
      <c r="V99" s="15" t="inlineStr">
        <is>
          <t>);</t>
        </is>
      </c>
      <c r="X99" s="18">
        <f>EXACT(TRIM(L99&amp;""),O99&amp;"")</f>
        <v/>
      </c>
      <c r="Y99" s="18">
        <f>EXACT(TRIM(E99&amp;""),P99&amp;"")</f>
        <v/>
      </c>
      <c r="Z99" s="18">
        <f>AND(X99:Y99)</f>
        <v/>
      </c>
      <c r="AA99" s="19">
        <f>TRIM(IF(X99,"",$X$3&amp;" ")&amp;IF(Y99,"",$Y$3&amp;" "))</f>
        <v/>
      </c>
      <c r="AB99" s="18">
        <f>EXACT(SUBSTITUTE(M99," ",""),SUBSTITUTE(R99&amp;S99&amp;T99&amp;U99&amp;V99," ",""))</f>
        <v/>
      </c>
    </row>
    <row r="100">
      <c r="A100" s="15" t="inlineStr">
        <is>
          <t>INSERT INTO CNF_UNIT_FILTERING_TBL SELECT UNIT_ID, 1 FROM MST_UNIT_TBL WHERE UNIT_CODE = 'LF009';</t>
        </is>
      </c>
      <c r="B100" s="16" t="n"/>
      <c r="C100" s="15" t="inlineStr">
        <is>
          <t>CNF_UNIT_FILTERING_TBL</t>
        </is>
      </c>
      <c r="D100" s="15" t="inlineStr">
        <is>
          <t>UNIT_ID</t>
        </is>
      </c>
      <c r="E100" s="15" t="inlineStr">
        <is>
          <t>1</t>
        </is>
      </c>
      <c r="F100" s="15" t="inlineStr">
        <is>
          <t>MST_UNIT_TBL</t>
        </is>
      </c>
      <c r="G100" s="15" t="inlineStr">
        <is>
          <t>UNIT_CODE</t>
        </is>
      </c>
      <c r="H100" s="15" t="inlineStr">
        <is>
          <t>LF009</t>
        </is>
      </c>
      <c r="J100" s="15" t="inlineStr">
        <is>
          <t>LF009</t>
        </is>
      </c>
      <c r="K100" s="15" t="inlineStr">
        <is>
          <t>営業戦略部</t>
        </is>
      </c>
      <c r="L100" s="15" t="inlineStr">
        <is>
          <t>586</t>
        </is>
      </c>
      <c r="M100" s="19">
        <f>"INSERT INTO "&amp;C100&amp;" VALUES("&amp;L100&amp;" , "&amp;E100&amp;");"</f>
        <v/>
      </c>
      <c r="O100" s="17" t="inlineStr">
        <is>
          <t>586</t>
        </is>
      </c>
      <c r="P100" s="17" t="inlineStr">
        <is>
          <t>1</t>
        </is>
      </c>
      <c r="R100" s="15" t="inlineStr">
        <is>
          <t>INSERT INTO</t>
        </is>
      </c>
      <c r="S100" s="15" t="inlineStr">
        <is>
          <t>CNF_UNIT_FILTERING_TBL</t>
        </is>
      </c>
      <c r="T100" s="15" t="inlineStr">
        <is>
          <t>VALUES(</t>
        </is>
      </c>
      <c r="U100" s="15" t="inlineStr">
        <is>
          <t>586 , 1</t>
        </is>
      </c>
      <c r="V100" s="15" t="inlineStr">
        <is>
          <t>);</t>
        </is>
      </c>
      <c r="X100" s="18">
        <f>EXACT(TRIM(L100&amp;""),O100&amp;"")</f>
        <v/>
      </c>
      <c r="Y100" s="18">
        <f>EXACT(TRIM(E100&amp;""),P100&amp;"")</f>
        <v/>
      </c>
      <c r="Z100" s="18">
        <f>AND(X100:Y100)</f>
        <v/>
      </c>
      <c r="AA100" s="19">
        <f>TRIM(IF(X100,"",$X$3&amp;" ")&amp;IF(Y100,"",$Y$3&amp;" "))</f>
        <v/>
      </c>
      <c r="AB100" s="18">
        <f>EXACT(SUBSTITUTE(M100," ",""),SUBSTITUTE(R100&amp;S100&amp;T100&amp;U100&amp;V100," ",""))</f>
        <v/>
      </c>
    </row>
    <row r="101">
      <c r="A101" s="15" t="inlineStr">
        <is>
          <t>INSERT INTO CNF_UNIT_FILTERING_TBL SELECT UNIT_ID, 4 FROM MST_UNIT_TBL WHERE UNIT_CODE = 'LF009';</t>
        </is>
      </c>
      <c r="B101" s="16" t="n"/>
      <c r="C101" s="15" t="inlineStr">
        <is>
          <t>CNF_UNIT_FILTERING_TBL</t>
        </is>
      </c>
      <c r="D101" s="15" t="inlineStr">
        <is>
          <t>UNIT_ID</t>
        </is>
      </c>
      <c r="E101" s="15" t="inlineStr">
        <is>
          <t>4</t>
        </is>
      </c>
      <c r="F101" s="15" t="inlineStr">
        <is>
          <t>MST_UNIT_TBL</t>
        </is>
      </c>
      <c r="G101" s="15" t="inlineStr">
        <is>
          <t>UNIT_CODE</t>
        </is>
      </c>
      <c r="H101" s="15" t="inlineStr">
        <is>
          <t>LF009</t>
        </is>
      </c>
      <c r="J101" s="15" t="inlineStr">
        <is>
          <t>LF009</t>
        </is>
      </c>
      <c r="K101" s="15" t="inlineStr">
        <is>
          <t>営業戦略部</t>
        </is>
      </c>
      <c r="L101" s="15" t="inlineStr">
        <is>
          <t>586</t>
        </is>
      </c>
      <c r="M101" s="19">
        <f>"INSERT INTO "&amp;C101&amp;" VALUES("&amp;L101&amp;" , "&amp;E101&amp;");"</f>
        <v/>
      </c>
      <c r="O101" s="17" t="inlineStr">
        <is>
          <t>586</t>
        </is>
      </c>
      <c r="P101" s="17" t="inlineStr">
        <is>
          <t>4</t>
        </is>
      </c>
      <c r="R101" s="15" t="inlineStr">
        <is>
          <t>INSERT INTO</t>
        </is>
      </c>
      <c r="S101" s="15" t="inlineStr">
        <is>
          <t>CNF_UNIT_FILTERING_TBL</t>
        </is>
      </c>
      <c r="T101" s="15" t="inlineStr">
        <is>
          <t>VALUES(</t>
        </is>
      </c>
      <c r="U101" s="15" t="inlineStr">
        <is>
          <t>586 , 4</t>
        </is>
      </c>
      <c r="V101" s="15" t="inlineStr">
        <is>
          <t>);</t>
        </is>
      </c>
      <c r="X101" s="18">
        <f>EXACT(TRIM(L101&amp;""),O101&amp;"")</f>
        <v/>
      </c>
      <c r="Y101" s="18">
        <f>EXACT(TRIM(E101&amp;""),P101&amp;"")</f>
        <v/>
      </c>
      <c r="Z101" s="18">
        <f>AND(X101:Y101)</f>
        <v/>
      </c>
      <c r="AA101" s="19">
        <f>TRIM(IF(X101,"",$X$3&amp;" ")&amp;IF(Y101,"",$Y$3&amp;" "))</f>
        <v/>
      </c>
      <c r="AB101" s="18">
        <f>EXACT(SUBSTITUTE(M101," ",""),SUBSTITUTE(R101&amp;S101&amp;T101&amp;U101&amp;V101," ",""))</f>
        <v/>
      </c>
    </row>
    <row r="102">
      <c r="A102" s="15" t="inlineStr">
        <is>
          <t>INSERT INTO CNF_UNIT_FILTERING_TBL SELECT UNIT_ID, 5 FROM MST_UNIT_TBL WHERE UNIT_CODE = 'LF009';</t>
        </is>
      </c>
      <c r="B102" s="16" t="n"/>
      <c r="C102" s="15" t="inlineStr">
        <is>
          <t>CNF_UNIT_FILTERING_TBL</t>
        </is>
      </c>
      <c r="D102" s="15" t="inlineStr">
        <is>
          <t>UNIT_ID</t>
        </is>
      </c>
      <c r="E102" s="15" t="inlineStr">
        <is>
          <t>5</t>
        </is>
      </c>
      <c r="F102" s="15" t="inlineStr">
        <is>
          <t>MST_UNIT_TBL</t>
        </is>
      </c>
      <c r="G102" s="15" t="inlineStr">
        <is>
          <t>UNIT_CODE</t>
        </is>
      </c>
      <c r="H102" s="15" t="inlineStr">
        <is>
          <t>LF009</t>
        </is>
      </c>
      <c r="J102" s="15" t="inlineStr">
        <is>
          <t>LF009</t>
        </is>
      </c>
      <c r="K102" s="15" t="inlineStr">
        <is>
          <t>営業戦略部</t>
        </is>
      </c>
      <c r="L102" s="15" t="inlineStr">
        <is>
          <t>586</t>
        </is>
      </c>
      <c r="M102" s="19">
        <f>"INSERT INTO "&amp;C102&amp;" VALUES("&amp;L102&amp;" , "&amp;E102&amp;");"</f>
        <v/>
      </c>
      <c r="O102" s="17" t="inlineStr">
        <is>
          <t>586</t>
        </is>
      </c>
      <c r="P102" s="17" t="inlineStr">
        <is>
          <t>5</t>
        </is>
      </c>
      <c r="R102" s="15" t="inlineStr">
        <is>
          <t>INSERT INTO</t>
        </is>
      </c>
      <c r="S102" s="15" t="inlineStr">
        <is>
          <t>CNF_UNIT_FILTERING_TBL</t>
        </is>
      </c>
      <c r="T102" s="15" t="inlineStr">
        <is>
          <t>VALUES(</t>
        </is>
      </c>
      <c r="U102" s="15" t="inlineStr">
        <is>
          <t>586 , 5</t>
        </is>
      </c>
      <c r="V102" s="15" t="inlineStr">
        <is>
          <t>);</t>
        </is>
      </c>
      <c r="X102" s="18">
        <f>EXACT(TRIM(L102&amp;""),O102&amp;"")</f>
        <v/>
      </c>
      <c r="Y102" s="18">
        <f>EXACT(TRIM(E102&amp;""),P102&amp;"")</f>
        <v/>
      </c>
      <c r="Z102" s="18">
        <f>AND(X102:Y102)</f>
        <v/>
      </c>
      <c r="AA102" s="19">
        <f>TRIM(IF(X102,"",$X$3&amp;" ")&amp;IF(Y102,"",$Y$3&amp;" "))</f>
        <v/>
      </c>
      <c r="AB102" s="18">
        <f>EXACT(SUBSTITUTE(M102," ",""),SUBSTITUTE(R102&amp;S102&amp;T102&amp;U102&amp;V102," ",""))</f>
        <v/>
      </c>
    </row>
    <row r="103">
      <c r="A103" s="15" t="inlineStr">
        <is>
          <t>INSERT INTO CNF_UNIT_FILTERING_TBL SELECT UNIT_ID, 7 FROM MST_UNIT_TBL WHERE UNIT_CODE = 'LF009';</t>
        </is>
      </c>
      <c r="B103" s="16" t="n"/>
      <c r="C103" s="15" t="inlineStr">
        <is>
          <t>CNF_UNIT_FILTERING_TBL</t>
        </is>
      </c>
      <c r="D103" s="15" t="inlineStr">
        <is>
          <t>UNIT_ID</t>
        </is>
      </c>
      <c r="E103" s="15" t="inlineStr">
        <is>
          <t>7</t>
        </is>
      </c>
      <c r="F103" s="15" t="inlineStr">
        <is>
          <t>MST_UNIT_TBL</t>
        </is>
      </c>
      <c r="G103" s="15" t="inlineStr">
        <is>
          <t>UNIT_CODE</t>
        </is>
      </c>
      <c r="H103" s="15" t="inlineStr">
        <is>
          <t>LF009</t>
        </is>
      </c>
      <c r="J103" s="15" t="inlineStr">
        <is>
          <t>LF009</t>
        </is>
      </c>
      <c r="K103" s="15" t="inlineStr">
        <is>
          <t>営業戦略部</t>
        </is>
      </c>
      <c r="L103" s="15" t="inlineStr">
        <is>
          <t>586</t>
        </is>
      </c>
      <c r="M103" s="19">
        <f>"INSERT INTO "&amp;C103&amp;" VALUES("&amp;L103&amp;" , "&amp;E103&amp;");"</f>
        <v/>
      </c>
      <c r="O103" s="17" t="inlineStr">
        <is>
          <t>586</t>
        </is>
      </c>
      <c r="P103" s="17" t="inlineStr">
        <is>
          <t>7</t>
        </is>
      </c>
      <c r="R103" s="15" t="inlineStr">
        <is>
          <t>INSERT INTO</t>
        </is>
      </c>
      <c r="S103" s="15" t="inlineStr">
        <is>
          <t>CNF_UNIT_FILTERING_TBL</t>
        </is>
      </c>
      <c r="T103" s="15" t="inlineStr">
        <is>
          <t>VALUES(</t>
        </is>
      </c>
      <c r="U103" s="15" t="inlineStr">
        <is>
          <t>586 , 7</t>
        </is>
      </c>
      <c r="V103" s="15" t="inlineStr">
        <is>
          <t>);</t>
        </is>
      </c>
      <c r="X103" s="18">
        <f>EXACT(TRIM(L103&amp;""),O103&amp;"")</f>
        <v/>
      </c>
      <c r="Y103" s="18">
        <f>EXACT(TRIM(E103&amp;""),P103&amp;"")</f>
        <v/>
      </c>
      <c r="Z103" s="18">
        <f>AND(X103:Y103)</f>
        <v/>
      </c>
      <c r="AA103" s="19">
        <f>TRIM(IF(X103,"",$X$3&amp;" ")&amp;IF(Y103,"",$Y$3&amp;" "))</f>
        <v/>
      </c>
      <c r="AB103" s="18">
        <f>EXACT(SUBSTITUTE(M103," ",""),SUBSTITUTE(R103&amp;S103&amp;T103&amp;U103&amp;V103," ",""))</f>
        <v/>
      </c>
    </row>
    <row r="104">
      <c r="A104" s="15" t="inlineStr">
        <is>
          <t>INSERT INTO CNF_UNIT_FILTERING_TBL SELECT UNIT_ID, 8 FROM MST_UNIT_TBL WHERE UNIT_CODE = 'LF009';</t>
        </is>
      </c>
      <c r="B104" s="16" t="n"/>
      <c r="C104" s="15" t="inlineStr">
        <is>
          <t>CNF_UNIT_FILTERING_TBL</t>
        </is>
      </c>
      <c r="D104" s="15" t="inlineStr">
        <is>
          <t>UNIT_ID</t>
        </is>
      </c>
      <c r="E104" s="15" t="inlineStr">
        <is>
          <t>8</t>
        </is>
      </c>
      <c r="F104" s="15" t="inlineStr">
        <is>
          <t>MST_UNIT_TBL</t>
        </is>
      </c>
      <c r="G104" s="15" t="inlineStr">
        <is>
          <t>UNIT_CODE</t>
        </is>
      </c>
      <c r="H104" s="15" t="inlineStr">
        <is>
          <t>LF009</t>
        </is>
      </c>
      <c r="J104" s="15" t="inlineStr">
        <is>
          <t>LF009</t>
        </is>
      </c>
      <c r="K104" s="15" t="inlineStr">
        <is>
          <t>営業戦略部</t>
        </is>
      </c>
      <c r="L104" s="15" t="inlineStr">
        <is>
          <t>586</t>
        </is>
      </c>
      <c r="M104" s="19">
        <f>"INSERT INTO "&amp;C104&amp;" VALUES("&amp;L104&amp;" , "&amp;E104&amp;");"</f>
        <v/>
      </c>
      <c r="O104" s="17" t="inlineStr">
        <is>
          <t>586</t>
        </is>
      </c>
      <c r="P104" s="17" t="inlineStr">
        <is>
          <t>8</t>
        </is>
      </c>
      <c r="R104" s="15" t="inlineStr">
        <is>
          <t>INSERT INTO</t>
        </is>
      </c>
      <c r="S104" s="15" t="inlineStr">
        <is>
          <t>CNF_UNIT_FILTERING_TBL</t>
        </is>
      </c>
      <c r="T104" s="15" t="inlineStr">
        <is>
          <t>VALUES(</t>
        </is>
      </c>
      <c r="U104" s="15" t="inlineStr">
        <is>
          <t>586 , 8</t>
        </is>
      </c>
      <c r="V104" s="15" t="inlineStr">
        <is>
          <t>);</t>
        </is>
      </c>
      <c r="X104" s="18">
        <f>EXACT(TRIM(L104&amp;""),O104&amp;"")</f>
        <v/>
      </c>
      <c r="Y104" s="18">
        <f>EXACT(TRIM(E104&amp;""),P104&amp;"")</f>
        <v/>
      </c>
      <c r="Z104" s="18">
        <f>AND(X104:Y104)</f>
        <v/>
      </c>
      <c r="AA104" s="19">
        <f>TRIM(IF(X104,"",$X$3&amp;" ")&amp;IF(Y104,"",$Y$3&amp;" "))</f>
        <v/>
      </c>
      <c r="AB104" s="18">
        <f>EXACT(SUBSTITUTE(M104," ",""),SUBSTITUTE(R104&amp;S104&amp;T104&amp;U104&amp;V104," ",""))</f>
        <v/>
      </c>
    </row>
    <row r="105">
      <c r="A105" s="15" t="inlineStr">
        <is>
          <t>INSERT INTO CNF_UNIT_FILTERING_TBL SELECT UNIT_ID, 9 FROM MST_UNIT_TBL WHERE UNIT_CODE = 'LF009';</t>
        </is>
      </c>
      <c r="B105" s="16" t="n"/>
      <c r="C105" s="15" t="inlineStr">
        <is>
          <t>CNF_UNIT_FILTERING_TBL</t>
        </is>
      </c>
      <c r="D105" s="15" t="inlineStr">
        <is>
          <t>UNIT_ID</t>
        </is>
      </c>
      <c r="E105" s="15" t="inlineStr">
        <is>
          <t>9</t>
        </is>
      </c>
      <c r="F105" s="15" t="inlineStr">
        <is>
          <t>MST_UNIT_TBL</t>
        </is>
      </c>
      <c r="G105" s="15" t="inlineStr">
        <is>
          <t>UNIT_CODE</t>
        </is>
      </c>
      <c r="H105" s="15" t="inlineStr">
        <is>
          <t>LF009</t>
        </is>
      </c>
      <c r="J105" s="15" t="inlineStr">
        <is>
          <t>LF009</t>
        </is>
      </c>
      <c r="K105" s="15" t="inlineStr">
        <is>
          <t>営業戦略部</t>
        </is>
      </c>
      <c r="L105" s="15" t="inlineStr">
        <is>
          <t>586</t>
        </is>
      </c>
      <c r="M105" s="19">
        <f>"INSERT INTO "&amp;C105&amp;" VALUES("&amp;L105&amp;" , "&amp;E105&amp;");"</f>
        <v/>
      </c>
      <c r="O105" s="17" t="inlineStr">
        <is>
          <t>586</t>
        </is>
      </c>
      <c r="P105" s="17" t="inlineStr">
        <is>
          <t>9</t>
        </is>
      </c>
      <c r="R105" s="15" t="inlineStr">
        <is>
          <t>INSERT INTO</t>
        </is>
      </c>
      <c r="S105" s="15" t="inlineStr">
        <is>
          <t>CNF_UNIT_FILTERING_TBL</t>
        </is>
      </c>
      <c r="T105" s="15" t="inlineStr">
        <is>
          <t>VALUES(</t>
        </is>
      </c>
      <c r="U105" s="15" t="inlineStr">
        <is>
          <t>586 , 9</t>
        </is>
      </c>
      <c r="V105" s="15" t="inlineStr">
        <is>
          <t>);</t>
        </is>
      </c>
      <c r="X105" s="18">
        <f>EXACT(TRIM(L105&amp;""),O105&amp;"")</f>
        <v/>
      </c>
      <c r="Y105" s="18">
        <f>EXACT(TRIM(E105&amp;""),P105&amp;"")</f>
        <v/>
      </c>
      <c r="Z105" s="18">
        <f>AND(X105:Y105)</f>
        <v/>
      </c>
      <c r="AA105" s="19">
        <f>TRIM(IF(X105,"",$X$3&amp;" ")&amp;IF(Y105,"",$Y$3&amp;" "))</f>
        <v/>
      </c>
      <c r="AB105" s="18">
        <f>EXACT(SUBSTITUTE(M105," ",""),SUBSTITUTE(R105&amp;S105&amp;T105&amp;U105&amp;V105," ",""))</f>
        <v/>
      </c>
    </row>
    <row r="106">
      <c r="A106" s="15" t="inlineStr">
        <is>
          <t>INSERT INTO CNF_UNIT_FILTERING_TBL SELECT UNIT_ID, 11 FROM MST_UNIT_TBL WHERE UNIT_CODE = 'LF009';</t>
        </is>
      </c>
      <c r="B106" s="16" t="n"/>
      <c r="C106" s="15" t="inlineStr">
        <is>
          <t>CNF_UNIT_FILTERING_TBL</t>
        </is>
      </c>
      <c r="D106" s="15" t="inlineStr">
        <is>
          <t>UNIT_ID</t>
        </is>
      </c>
      <c r="E106" s="15" t="inlineStr">
        <is>
          <t>11</t>
        </is>
      </c>
      <c r="F106" s="15" t="inlineStr">
        <is>
          <t>MST_UNIT_TBL</t>
        </is>
      </c>
      <c r="G106" s="15" t="inlineStr">
        <is>
          <t>UNIT_CODE</t>
        </is>
      </c>
      <c r="H106" s="15" t="inlineStr">
        <is>
          <t>LF009</t>
        </is>
      </c>
      <c r="J106" s="15" t="inlineStr">
        <is>
          <t>LF009</t>
        </is>
      </c>
      <c r="K106" s="15" t="inlineStr">
        <is>
          <t>営業戦略部</t>
        </is>
      </c>
      <c r="L106" s="15" t="inlineStr">
        <is>
          <t>586</t>
        </is>
      </c>
      <c r="M106" s="19">
        <f>"INSERT INTO "&amp;C106&amp;" VALUES("&amp;L106&amp;" , "&amp;E106&amp;");"</f>
        <v/>
      </c>
      <c r="O106" s="17" t="inlineStr">
        <is>
          <t>586</t>
        </is>
      </c>
      <c r="P106" s="17" t="inlineStr">
        <is>
          <t>11</t>
        </is>
      </c>
      <c r="R106" s="15" t="inlineStr">
        <is>
          <t>INSERT INTO</t>
        </is>
      </c>
      <c r="S106" s="15" t="inlineStr">
        <is>
          <t>CNF_UNIT_FILTERING_TBL</t>
        </is>
      </c>
      <c r="T106" s="15" t="inlineStr">
        <is>
          <t>VALUES(</t>
        </is>
      </c>
      <c r="U106" s="15" t="inlineStr">
        <is>
          <t>586 , 11</t>
        </is>
      </c>
      <c r="V106" s="15" t="inlineStr">
        <is>
          <t>);</t>
        </is>
      </c>
      <c r="X106" s="18">
        <f>EXACT(TRIM(L106&amp;""),O106&amp;"")</f>
        <v/>
      </c>
      <c r="Y106" s="18">
        <f>EXACT(TRIM(E106&amp;""),P106&amp;"")</f>
        <v/>
      </c>
      <c r="Z106" s="18">
        <f>AND(X106:Y106)</f>
        <v/>
      </c>
      <c r="AA106" s="19">
        <f>TRIM(IF(X106,"",$X$3&amp;" ")&amp;IF(Y106,"",$Y$3&amp;" "))</f>
        <v/>
      </c>
      <c r="AB106" s="18">
        <f>EXACT(SUBSTITUTE(M106," ",""),SUBSTITUTE(R106&amp;S106&amp;T106&amp;U106&amp;V106," ",""))</f>
        <v/>
      </c>
    </row>
    <row r="107">
      <c r="A107" s="15" t="inlineStr">
        <is>
          <t>INSERT INTO CNF_UNIT_FILTERING_TBL SELECT UNIT_ID, 12 FROM MST_UNIT_TBL WHERE UNIT_CODE = 'LF009';</t>
        </is>
      </c>
      <c r="B107" s="16" t="n"/>
      <c r="C107" s="15" t="inlineStr">
        <is>
          <t>CNF_UNIT_FILTERING_TBL</t>
        </is>
      </c>
      <c r="D107" s="15" t="inlineStr">
        <is>
          <t>UNIT_ID</t>
        </is>
      </c>
      <c r="E107" s="15" t="inlineStr">
        <is>
          <t>12</t>
        </is>
      </c>
      <c r="F107" s="15" t="inlineStr">
        <is>
          <t>MST_UNIT_TBL</t>
        </is>
      </c>
      <c r="G107" s="15" t="inlineStr">
        <is>
          <t>UNIT_CODE</t>
        </is>
      </c>
      <c r="H107" s="15" t="inlineStr">
        <is>
          <t>LF009</t>
        </is>
      </c>
      <c r="J107" s="15" t="inlineStr">
        <is>
          <t>LF009</t>
        </is>
      </c>
      <c r="K107" s="15" t="inlineStr">
        <is>
          <t>営業戦略部</t>
        </is>
      </c>
      <c r="L107" s="15" t="inlineStr">
        <is>
          <t>586</t>
        </is>
      </c>
      <c r="M107" s="19">
        <f>"INSERT INTO "&amp;C107&amp;" VALUES("&amp;L107&amp;" , "&amp;E107&amp;");"</f>
        <v/>
      </c>
      <c r="O107" s="17" t="inlineStr">
        <is>
          <t>586</t>
        </is>
      </c>
      <c r="P107" s="17" t="inlineStr">
        <is>
          <t>12</t>
        </is>
      </c>
      <c r="R107" s="15" t="inlineStr">
        <is>
          <t>INSERT INTO</t>
        </is>
      </c>
      <c r="S107" s="15" t="inlineStr">
        <is>
          <t>CNF_UNIT_FILTERING_TBL</t>
        </is>
      </c>
      <c r="T107" s="15" t="inlineStr">
        <is>
          <t>VALUES(</t>
        </is>
      </c>
      <c r="U107" s="15" t="inlineStr">
        <is>
          <t>586 , 12</t>
        </is>
      </c>
      <c r="V107" s="15" t="inlineStr">
        <is>
          <t>);</t>
        </is>
      </c>
      <c r="X107" s="18">
        <f>EXACT(TRIM(L107&amp;""),O107&amp;"")</f>
        <v/>
      </c>
      <c r="Y107" s="18">
        <f>EXACT(TRIM(E107&amp;""),P107&amp;"")</f>
        <v/>
      </c>
      <c r="Z107" s="18">
        <f>AND(X107:Y107)</f>
        <v/>
      </c>
      <c r="AA107" s="19">
        <f>TRIM(IF(X107,"",$X$3&amp;" ")&amp;IF(Y107,"",$Y$3&amp;" "))</f>
        <v/>
      </c>
      <c r="AB107" s="18">
        <f>EXACT(SUBSTITUTE(M107," ",""),SUBSTITUTE(R107&amp;S107&amp;T107&amp;U107&amp;V107," ",""))</f>
        <v/>
      </c>
    </row>
    <row r="108">
      <c r="A108" s="15" t="inlineStr">
        <is>
          <t>INSERT INTO CNF_UNIT_FILTERING_TBL SELECT UNIT_ID, 13 FROM MST_UNIT_TBL WHERE UNIT_CODE = 'LF009';</t>
        </is>
      </c>
      <c r="B108" s="16" t="n"/>
      <c r="C108" s="15" t="inlineStr">
        <is>
          <t>CNF_UNIT_FILTERING_TBL</t>
        </is>
      </c>
      <c r="D108" s="15" t="inlineStr">
        <is>
          <t>UNIT_ID</t>
        </is>
      </c>
      <c r="E108" s="15" t="inlineStr">
        <is>
          <t>13</t>
        </is>
      </c>
      <c r="F108" s="15" t="inlineStr">
        <is>
          <t>MST_UNIT_TBL</t>
        </is>
      </c>
      <c r="G108" s="15" t="inlineStr">
        <is>
          <t>UNIT_CODE</t>
        </is>
      </c>
      <c r="H108" s="15" t="inlineStr">
        <is>
          <t>LF009</t>
        </is>
      </c>
      <c r="J108" s="15" t="inlineStr">
        <is>
          <t>LF009</t>
        </is>
      </c>
      <c r="K108" s="15" t="inlineStr">
        <is>
          <t>営業戦略部</t>
        </is>
      </c>
      <c r="L108" s="15" t="inlineStr">
        <is>
          <t>586</t>
        </is>
      </c>
      <c r="M108" s="19">
        <f>"INSERT INTO "&amp;C108&amp;" VALUES("&amp;L108&amp;" , "&amp;E108&amp;");"</f>
        <v/>
      </c>
      <c r="O108" s="17" t="inlineStr">
        <is>
          <t>586</t>
        </is>
      </c>
      <c r="P108" s="17" t="inlineStr">
        <is>
          <t>13</t>
        </is>
      </c>
      <c r="R108" s="15" t="inlineStr">
        <is>
          <t>INSERT INTO</t>
        </is>
      </c>
      <c r="S108" s="15" t="inlineStr">
        <is>
          <t>CNF_UNIT_FILTERING_TBL</t>
        </is>
      </c>
      <c r="T108" s="15" t="inlineStr">
        <is>
          <t>VALUES(</t>
        </is>
      </c>
      <c r="U108" s="15" t="inlineStr">
        <is>
          <t>586 , 13</t>
        </is>
      </c>
      <c r="V108" s="15" t="inlineStr">
        <is>
          <t>);</t>
        </is>
      </c>
      <c r="X108" s="18">
        <f>EXACT(TRIM(L108&amp;""),O108&amp;"")</f>
        <v/>
      </c>
      <c r="Y108" s="18">
        <f>EXACT(TRIM(E108&amp;""),P108&amp;"")</f>
        <v/>
      </c>
      <c r="Z108" s="18">
        <f>AND(X108:Y108)</f>
        <v/>
      </c>
      <c r="AA108" s="19">
        <f>TRIM(IF(X108,"",$X$3&amp;" ")&amp;IF(Y108,"",$Y$3&amp;" "))</f>
        <v/>
      </c>
      <c r="AB108" s="18">
        <f>EXACT(SUBSTITUTE(M108," ",""),SUBSTITUTE(R108&amp;S108&amp;T108&amp;U108&amp;V108," ",""))</f>
        <v/>
      </c>
    </row>
    <row r="109">
      <c r="A109" s="15" t="inlineStr">
        <is>
          <t>INSERT INTO CNF_UNIT_FILTERING_TBL SELECT UNIT_ID, 14 FROM MST_UNIT_TBL WHERE UNIT_CODE = 'LF009';</t>
        </is>
      </c>
      <c r="B109" s="16" t="n"/>
      <c r="C109" s="15" t="inlineStr">
        <is>
          <t>CNF_UNIT_FILTERING_TBL</t>
        </is>
      </c>
      <c r="D109" s="15" t="inlineStr">
        <is>
          <t>UNIT_ID</t>
        </is>
      </c>
      <c r="E109" s="15" t="inlineStr">
        <is>
          <t>14</t>
        </is>
      </c>
      <c r="F109" s="15" t="inlineStr">
        <is>
          <t>MST_UNIT_TBL</t>
        </is>
      </c>
      <c r="G109" s="15" t="inlineStr">
        <is>
          <t>UNIT_CODE</t>
        </is>
      </c>
      <c r="H109" s="15" t="inlineStr">
        <is>
          <t>LF009</t>
        </is>
      </c>
      <c r="J109" s="15" t="inlineStr">
        <is>
          <t>LF009</t>
        </is>
      </c>
      <c r="K109" s="15" t="inlineStr">
        <is>
          <t>営業戦略部</t>
        </is>
      </c>
      <c r="L109" s="15" t="inlineStr">
        <is>
          <t>586</t>
        </is>
      </c>
      <c r="M109" s="19">
        <f>"INSERT INTO "&amp;C109&amp;" VALUES("&amp;L109&amp;" , "&amp;E109&amp;");"</f>
        <v/>
      </c>
      <c r="O109" s="17" t="inlineStr">
        <is>
          <t>586</t>
        </is>
      </c>
      <c r="P109" s="17" t="inlineStr">
        <is>
          <t>14</t>
        </is>
      </c>
      <c r="R109" s="15" t="inlineStr">
        <is>
          <t>INSERT INTO</t>
        </is>
      </c>
      <c r="S109" s="15" t="inlineStr">
        <is>
          <t>CNF_UNIT_FILTERING_TBL</t>
        </is>
      </c>
      <c r="T109" s="15" t="inlineStr">
        <is>
          <t>VALUES(</t>
        </is>
      </c>
      <c r="U109" s="15" t="inlineStr">
        <is>
          <t>586 , 14</t>
        </is>
      </c>
      <c r="V109" s="15" t="inlineStr">
        <is>
          <t>);</t>
        </is>
      </c>
      <c r="X109" s="18">
        <f>EXACT(TRIM(L109&amp;""),O109&amp;"")</f>
        <v/>
      </c>
      <c r="Y109" s="18">
        <f>EXACT(TRIM(E109&amp;""),P109&amp;"")</f>
        <v/>
      </c>
      <c r="Z109" s="18">
        <f>AND(X109:Y109)</f>
        <v/>
      </c>
      <c r="AA109" s="19">
        <f>TRIM(IF(X109,"",$X$3&amp;" ")&amp;IF(Y109,"",$Y$3&amp;" "))</f>
        <v/>
      </c>
      <c r="AB109" s="18">
        <f>EXACT(SUBSTITUTE(M109," ",""),SUBSTITUTE(R109&amp;S109&amp;T109&amp;U109&amp;V109," ",""))</f>
        <v/>
      </c>
    </row>
    <row r="110">
      <c r="A110" s="15" t="inlineStr">
        <is>
          <t>INSERT INTO CNF_UNIT_FILTERING_TBL SELECT UNIT_ID, 15 FROM MST_UNIT_TBL WHERE UNIT_CODE = 'LF009';</t>
        </is>
      </c>
      <c r="B110" s="16" t="n"/>
      <c r="C110" s="15" t="inlineStr">
        <is>
          <t>CNF_UNIT_FILTERING_TBL</t>
        </is>
      </c>
      <c r="D110" s="15" t="inlineStr">
        <is>
          <t>UNIT_ID</t>
        </is>
      </c>
      <c r="E110" s="15" t="inlineStr">
        <is>
          <t>15</t>
        </is>
      </c>
      <c r="F110" s="15" t="inlineStr">
        <is>
          <t>MST_UNIT_TBL</t>
        </is>
      </c>
      <c r="G110" s="15" t="inlineStr">
        <is>
          <t>UNIT_CODE</t>
        </is>
      </c>
      <c r="H110" s="15" t="inlineStr">
        <is>
          <t>LF009</t>
        </is>
      </c>
      <c r="J110" s="15" t="inlineStr">
        <is>
          <t>LF009</t>
        </is>
      </c>
      <c r="K110" s="15" t="inlineStr">
        <is>
          <t>営業戦略部</t>
        </is>
      </c>
      <c r="L110" s="15" t="inlineStr">
        <is>
          <t>586</t>
        </is>
      </c>
      <c r="M110" s="19">
        <f>"INSERT INTO "&amp;C110&amp;" VALUES("&amp;L110&amp;" , "&amp;E110&amp;");"</f>
        <v/>
      </c>
      <c r="O110" s="17" t="inlineStr">
        <is>
          <t>586</t>
        </is>
      </c>
      <c r="P110" s="17" t="inlineStr">
        <is>
          <t>15</t>
        </is>
      </c>
      <c r="R110" s="15" t="inlineStr">
        <is>
          <t>INSERT INTO</t>
        </is>
      </c>
      <c r="S110" s="15" t="inlineStr">
        <is>
          <t>CNF_UNIT_FILTERING_TBL</t>
        </is>
      </c>
      <c r="T110" s="15" t="inlineStr">
        <is>
          <t>VALUES(</t>
        </is>
      </c>
      <c r="U110" s="15" t="inlineStr">
        <is>
          <t>586 , 15</t>
        </is>
      </c>
      <c r="V110" s="15" t="inlineStr">
        <is>
          <t>);</t>
        </is>
      </c>
      <c r="X110" s="18">
        <f>EXACT(TRIM(L110&amp;""),O110&amp;"")</f>
        <v/>
      </c>
      <c r="Y110" s="18">
        <f>EXACT(TRIM(E110&amp;""),P110&amp;"")</f>
        <v/>
      </c>
      <c r="Z110" s="18">
        <f>AND(X110:Y110)</f>
        <v/>
      </c>
      <c r="AA110" s="19">
        <f>TRIM(IF(X110,"",$X$3&amp;" ")&amp;IF(Y110,"",$Y$3&amp;" "))</f>
        <v/>
      </c>
      <c r="AB110" s="18">
        <f>EXACT(SUBSTITUTE(M110," ",""),SUBSTITUTE(R110&amp;S110&amp;T110&amp;U110&amp;V110," ",""))</f>
        <v/>
      </c>
    </row>
    <row r="111">
      <c r="A111" s="15" t="inlineStr">
        <is>
          <t>INSERT INTO CNF_UNIT_FILTERING_TBL SELECT UNIT_ID, 16 FROM MST_UNIT_TBL WHERE UNIT_CODE = 'LF009';</t>
        </is>
      </c>
      <c r="B111" s="16" t="n"/>
      <c r="C111" s="15" t="inlineStr">
        <is>
          <t>CNF_UNIT_FILTERING_TBL</t>
        </is>
      </c>
      <c r="D111" s="15" t="inlineStr">
        <is>
          <t>UNIT_ID</t>
        </is>
      </c>
      <c r="E111" s="15" t="inlineStr">
        <is>
          <t>16</t>
        </is>
      </c>
      <c r="F111" s="15" t="inlineStr">
        <is>
          <t>MST_UNIT_TBL</t>
        </is>
      </c>
      <c r="G111" s="15" t="inlineStr">
        <is>
          <t>UNIT_CODE</t>
        </is>
      </c>
      <c r="H111" s="15" t="inlineStr">
        <is>
          <t>LF009</t>
        </is>
      </c>
      <c r="J111" s="15" t="inlineStr">
        <is>
          <t>LF009</t>
        </is>
      </c>
      <c r="K111" s="15" t="inlineStr">
        <is>
          <t>営業戦略部</t>
        </is>
      </c>
      <c r="L111" s="15" t="inlineStr">
        <is>
          <t>586</t>
        </is>
      </c>
      <c r="M111" s="19">
        <f>"INSERT INTO "&amp;C111&amp;" VALUES("&amp;L111&amp;" , "&amp;E111&amp;");"</f>
        <v/>
      </c>
      <c r="O111" s="17" t="inlineStr">
        <is>
          <t>586</t>
        </is>
      </c>
      <c r="P111" s="17" t="inlineStr">
        <is>
          <t>16</t>
        </is>
      </c>
      <c r="R111" s="15" t="inlineStr">
        <is>
          <t>INSERT INTO</t>
        </is>
      </c>
      <c r="S111" s="15" t="inlineStr">
        <is>
          <t>CNF_UNIT_FILTERING_TBL</t>
        </is>
      </c>
      <c r="T111" s="15" t="inlineStr">
        <is>
          <t>VALUES(</t>
        </is>
      </c>
      <c r="U111" s="15" t="inlineStr">
        <is>
          <t>586 , 16</t>
        </is>
      </c>
      <c r="V111" s="15" t="inlineStr">
        <is>
          <t>);</t>
        </is>
      </c>
      <c r="X111" s="18">
        <f>EXACT(TRIM(L111&amp;""),O111&amp;"")</f>
        <v/>
      </c>
      <c r="Y111" s="18">
        <f>EXACT(TRIM(E111&amp;""),P111&amp;"")</f>
        <v/>
      </c>
      <c r="Z111" s="18">
        <f>AND(X111:Y111)</f>
        <v/>
      </c>
      <c r="AA111" s="19">
        <f>TRIM(IF(X111,"",$X$3&amp;" ")&amp;IF(Y111,"",$Y$3&amp;" "))</f>
        <v/>
      </c>
      <c r="AB111" s="18">
        <f>EXACT(SUBSTITUTE(M111," ",""),SUBSTITUTE(R111&amp;S111&amp;T111&amp;U111&amp;V111," ",""))</f>
        <v/>
      </c>
    </row>
    <row r="112">
      <c r="A112" s="15" t="inlineStr">
        <is>
          <t>INSERT INTO CNF_UNIT_FILTERING_TBL SELECT UNIT_ID, 1 FROM MST_UNIT_TBL WHERE UNIT_CODE = 'LF010';</t>
        </is>
      </c>
      <c r="B112" s="16" t="n"/>
      <c r="C112" s="15" t="inlineStr">
        <is>
          <t>CNF_UNIT_FILTERING_TBL</t>
        </is>
      </c>
      <c r="D112" s="15" t="inlineStr">
        <is>
          <t>UNIT_ID</t>
        </is>
      </c>
      <c r="E112" s="15" t="inlineStr">
        <is>
          <t>1</t>
        </is>
      </c>
      <c r="F112" s="15" t="inlineStr">
        <is>
          <t>MST_UNIT_TBL</t>
        </is>
      </c>
      <c r="G112" s="15" t="inlineStr">
        <is>
          <t>UNIT_CODE</t>
        </is>
      </c>
      <c r="H112" s="15" t="inlineStr">
        <is>
          <t>LF010</t>
        </is>
      </c>
      <c r="J112" s="15" t="inlineStr">
        <is>
          <t>LF010</t>
        </is>
      </c>
      <c r="K112" s="15" t="inlineStr">
        <is>
          <t>営業推進部</t>
        </is>
      </c>
      <c r="L112" s="15" t="inlineStr">
        <is>
          <t>587</t>
        </is>
      </c>
      <c r="M112" s="19">
        <f>"INSERT INTO "&amp;C112&amp;" VALUES("&amp;L112&amp;" , "&amp;E112&amp;");"</f>
        <v/>
      </c>
      <c r="O112" s="17" t="inlineStr">
        <is>
          <t>587</t>
        </is>
      </c>
      <c r="P112" s="17" t="inlineStr">
        <is>
          <t>1</t>
        </is>
      </c>
      <c r="R112" s="15" t="inlineStr">
        <is>
          <t>INSERT INTO</t>
        </is>
      </c>
      <c r="S112" s="15" t="inlineStr">
        <is>
          <t>CNF_UNIT_FILTERING_TBL</t>
        </is>
      </c>
      <c r="T112" s="15" t="inlineStr">
        <is>
          <t>VALUES(</t>
        </is>
      </c>
      <c r="U112" s="15" t="inlineStr">
        <is>
          <t>587 , 1</t>
        </is>
      </c>
      <c r="V112" s="15" t="inlineStr">
        <is>
          <t>);</t>
        </is>
      </c>
      <c r="X112" s="18">
        <f>EXACT(TRIM(L112&amp;""),O112&amp;"")</f>
        <v/>
      </c>
      <c r="Y112" s="18">
        <f>EXACT(TRIM(E112&amp;""),P112&amp;"")</f>
        <v/>
      </c>
      <c r="Z112" s="18">
        <f>AND(X112:Y112)</f>
        <v/>
      </c>
      <c r="AA112" s="19">
        <f>TRIM(IF(X112,"",$X$3&amp;" ")&amp;IF(Y112,"",$Y$3&amp;" "))</f>
        <v/>
      </c>
      <c r="AB112" s="18">
        <f>EXACT(SUBSTITUTE(M112," ",""),SUBSTITUTE(R112&amp;S112&amp;T112&amp;U112&amp;V112," ",""))</f>
        <v/>
      </c>
    </row>
    <row r="113">
      <c r="A113" s="15" t="inlineStr">
        <is>
          <t>INSERT INTO CNF_UNIT_FILTERING_TBL SELECT UNIT_ID, 4 FROM MST_UNIT_TBL WHERE UNIT_CODE = 'LF010';</t>
        </is>
      </c>
      <c r="B113" s="16" t="n"/>
      <c r="C113" s="15" t="inlineStr">
        <is>
          <t>CNF_UNIT_FILTERING_TBL</t>
        </is>
      </c>
      <c r="D113" s="15" t="inlineStr">
        <is>
          <t>UNIT_ID</t>
        </is>
      </c>
      <c r="E113" s="15" t="inlineStr">
        <is>
          <t>4</t>
        </is>
      </c>
      <c r="F113" s="15" t="inlineStr">
        <is>
          <t>MST_UNIT_TBL</t>
        </is>
      </c>
      <c r="G113" s="15" t="inlineStr">
        <is>
          <t>UNIT_CODE</t>
        </is>
      </c>
      <c r="H113" s="15" t="inlineStr">
        <is>
          <t>LF010</t>
        </is>
      </c>
      <c r="J113" s="15" t="inlineStr">
        <is>
          <t>LF010</t>
        </is>
      </c>
      <c r="K113" s="15" t="inlineStr">
        <is>
          <t>営業推進部</t>
        </is>
      </c>
      <c r="L113" s="15" t="inlineStr">
        <is>
          <t>587</t>
        </is>
      </c>
      <c r="M113" s="19">
        <f>"INSERT INTO "&amp;C113&amp;" VALUES("&amp;L113&amp;" , "&amp;E113&amp;");"</f>
        <v/>
      </c>
      <c r="O113" s="17" t="inlineStr">
        <is>
          <t>587</t>
        </is>
      </c>
      <c r="P113" s="17" t="inlineStr">
        <is>
          <t>4</t>
        </is>
      </c>
      <c r="R113" s="15" t="inlineStr">
        <is>
          <t>INSERT INTO</t>
        </is>
      </c>
      <c r="S113" s="15" t="inlineStr">
        <is>
          <t>CNF_UNIT_FILTERING_TBL</t>
        </is>
      </c>
      <c r="T113" s="15" t="inlineStr">
        <is>
          <t>VALUES(</t>
        </is>
      </c>
      <c r="U113" s="15" t="inlineStr">
        <is>
          <t>587 , 4</t>
        </is>
      </c>
      <c r="V113" s="15" t="inlineStr">
        <is>
          <t>);</t>
        </is>
      </c>
      <c r="X113" s="18">
        <f>EXACT(TRIM(L113&amp;""),O113&amp;"")</f>
        <v/>
      </c>
      <c r="Y113" s="18">
        <f>EXACT(TRIM(E113&amp;""),P113&amp;"")</f>
        <v/>
      </c>
      <c r="Z113" s="18">
        <f>AND(X113:Y113)</f>
        <v/>
      </c>
      <c r="AA113" s="19">
        <f>TRIM(IF(X113,"",$X$3&amp;" ")&amp;IF(Y113,"",$Y$3&amp;" "))</f>
        <v/>
      </c>
      <c r="AB113" s="18">
        <f>EXACT(SUBSTITUTE(M113," ",""),SUBSTITUTE(R113&amp;S113&amp;T113&amp;U113&amp;V113," ",""))</f>
        <v/>
      </c>
    </row>
    <row r="114">
      <c r="A114" s="15" t="inlineStr">
        <is>
          <t>INSERT INTO CNF_UNIT_FILTERING_TBL SELECT UNIT_ID, 5 FROM MST_UNIT_TBL WHERE UNIT_CODE = 'LF010';</t>
        </is>
      </c>
      <c r="B114" s="16" t="n"/>
      <c r="C114" s="15" t="inlineStr">
        <is>
          <t>CNF_UNIT_FILTERING_TBL</t>
        </is>
      </c>
      <c r="D114" s="15" t="inlineStr">
        <is>
          <t>UNIT_ID</t>
        </is>
      </c>
      <c r="E114" s="15" t="inlineStr">
        <is>
          <t>5</t>
        </is>
      </c>
      <c r="F114" s="15" t="inlineStr">
        <is>
          <t>MST_UNIT_TBL</t>
        </is>
      </c>
      <c r="G114" s="15" t="inlineStr">
        <is>
          <t>UNIT_CODE</t>
        </is>
      </c>
      <c r="H114" s="15" t="inlineStr">
        <is>
          <t>LF010</t>
        </is>
      </c>
      <c r="J114" s="15" t="inlineStr">
        <is>
          <t>LF010</t>
        </is>
      </c>
      <c r="K114" s="15" t="inlineStr">
        <is>
          <t>営業推進部</t>
        </is>
      </c>
      <c r="L114" s="15" t="inlineStr">
        <is>
          <t>587</t>
        </is>
      </c>
      <c r="M114" s="19">
        <f>"INSERT INTO "&amp;C114&amp;" VALUES("&amp;L114&amp;" , "&amp;E114&amp;");"</f>
        <v/>
      </c>
      <c r="O114" s="17" t="inlineStr">
        <is>
          <t>587</t>
        </is>
      </c>
      <c r="P114" s="17" t="inlineStr">
        <is>
          <t>5</t>
        </is>
      </c>
      <c r="R114" s="15" t="inlineStr">
        <is>
          <t>INSERT INTO</t>
        </is>
      </c>
      <c r="S114" s="15" t="inlineStr">
        <is>
          <t>CNF_UNIT_FILTERING_TBL</t>
        </is>
      </c>
      <c r="T114" s="15" t="inlineStr">
        <is>
          <t>VALUES(</t>
        </is>
      </c>
      <c r="U114" s="15" t="inlineStr">
        <is>
          <t>587 , 5</t>
        </is>
      </c>
      <c r="V114" s="15" t="inlineStr">
        <is>
          <t>);</t>
        </is>
      </c>
      <c r="X114" s="18">
        <f>EXACT(TRIM(L114&amp;""),O114&amp;"")</f>
        <v/>
      </c>
      <c r="Y114" s="18">
        <f>EXACT(TRIM(E114&amp;""),P114&amp;"")</f>
        <v/>
      </c>
      <c r="Z114" s="18">
        <f>AND(X114:Y114)</f>
        <v/>
      </c>
      <c r="AA114" s="19">
        <f>TRIM(IF(X114,"",$X$3&amp;" ")&amp;IF(Y114,"",$Y$3&amp;" "))</f>
        <v/>
      </c>
      <c r="AB114" s="18">
        <f>EXACT(SUBSTITUTE(M114," ",""),SUBSTITUTE(R114&amp;S114&amp;T114&amp;U114&amp;V114," ",""))</f>
        <v/>
      </c>
    </row>
    <row r="115">
      <c r="A115" s="15" t="inlineStr">
        <is>
          <t>INSERT INTO CNF_UNIT_FILTERING_TBL SELECT UNIT_ID, 7 FROM MST_UNIT_TBL WHERE UNIT_CODE = 'LF010';</t>
        </is>
      </c>
      <c r="B115" s="16" t="n"/>
      <c r="C115" s="15" t="inlineStr">
        <is>
          <t>CNF_UNIT_FILTERING_TBL</t>
        </is>
      </c>
      <c r="D115" s="15" t="inlineStr">
        <is>
          <t>UNIT_ID</t>
        </is>
      </c>
      <c r="E115" s="15" t="inlineStr">
        <is>
          <t>7</t>
        </is>
      </c>
      <c r="F115" s="15" t="inlineStr">
        <is>
          <t>MST_UNIT_TBL</t>
        </is>
      </c>
      <c r="G115" s="15" t="inlineStr">
        <is>
          <t>UNIT_CODE</t>
        </is>
      </c>
      <c r="H115" s="15" t="inlineStr">
        <is>
          <t>LF010</t>
        </is>
      </c>
      <c r="J115" s="15" t="inlineStr">
        <is>
          <t>LF010</t>
        </is>
      </c>
      <c r="K115" s="15" t="inlineStr">
        <is>
          <t>営業推進部</t>
        </is>
      </c>
      <c r="L115" s="15" t="inlineStr">
        <is>
          <t>587</t>
        </is>
      </c>
      <c r="M115" s="19">
        <f>"INSERT INTO "&amp;C115&amp;" VALUES("&amp;L115&amp;" , "&amp;E115&amp;");"</f>
        <v/>
      </c>
      <c r="O115" s="17" t="inlineStr">
        <is>
          <t>587</t>
        </is>
      </c>
      <c r="P115" s="17" t="inlineStr">
        <is>
          <t>7</t>
        </is>
      </c>
      <c r="R115" s="15" t="inlineStr">
        <is>
          <t>INSERT INTO</t>
        </is>
      </c>
      <c r="S115" s="15" t="inlineStr">
        <is>
          <t>CNF_UNIT_FILTERING_TBL</t>
        </is>
      </c>
      <c r="T115" s="15" t="inlineStr">
        <is>
          <t>VALUES(</t>
        </is>
      </c>
      <c r="U115" s="15" t="inlineStr">
        <is>
          <t>587 , 7</t>
        </is>
      </c>
      <c r="V115" s="15" t="inlineStr">
        <is>
          <t>);</t>
        </is>
      </c>
      <c r="X115" s="18">
        <f>EXACT(TRIM(L115&amp;""),O115&amp;"")</f>
        <v/>
      </c>
      <c r="Y115" s="18">
        <f>EXACT(TRIM(E115&amp;""),P115&amp;"")</f>
        <v/>
      </c>
      <c r="Z115" s="18">
        <f>AND(X115:Y115)</f>
        <v/>
      </c>
      <c r="AA115" s="19">
        <f>TRIM(IF(X115,"",$X$3&amp;" ")&amp;IF(Y115,"",$Y$3&amp;" "))</f>
        <v/>
      </c>
      <c r="AB115" s="18">
        <f>EXACT(SUBSTITUTE(M115," ",""),SUBSTITUTE(R115&amp;S115&amp;T115&amp;U115&amp;V115," ",""))</f>
        <v/>
      </c>
    </row>
    <row r="116">
      <c r="A116" s="15" t="inlineStr">
        <is>
          <t>INSERT INTO CNF_UNIT_FILTERING_TBL SELECT UNIT_ID, 8 FROM MST_UNIT_TBL WHERE UNIT_CODE = 'LF010';</t>
        </is>
      </c>
      <c r="B116" s="16" t="n"/>
      <c r="C116" s="15" t="inlineStr">
        <is>
          <t>CNF_UNIT_FILTERING_TBL</t>
        </is>
      </c>
      <c r="D116" s="15" t="inlineStr">
        <is>
          <t>UNIT_ID</t>
        </is>
      </c>
      <c r="E116" s="15" t="inlineStr">
        <is>
          <t>8</t>
        </is>
      </c>
      <c r="F116" s="15" t="inlineStr">
        <is>
          <t>MST_UNIT_TBL</t>
        </is>
      </c>
      <c r="G116" s="15" t="inlineStr">
        <is>
          <t>UNIT_CODE</t>
        </is>
      </c>
      <c r="H116" s="15" t="inlineStr">
        <is>
          <t>LF010</t>
        </is>
      </c>
      <c r="J116" s="15" t="inlineStr">
        <is>
          <t>LF010</t>
        </is>
      </c>
      <c r="K116" s="15" t="inlineStr">
        <is>
          <t>営業推進部</t>
        </is>
      </c>
      <c r="L116" s="15" t="inlineStr">
        <is>
          <t>587</t>
        </is>
      </c>
      <c r="M116" s="19">
        <f>"INSERT INTO "&amp;C116&amp;" VALUES("&amp;L116&amp;" , "&amp;E116&amp;");"</f>
        <v/>
      </c>
      <c r="O116" s="17" t="inlineStr">
        <is>
          <t>587</t>
        </is>
      </c>
      <c r="P116" s="17" t="inlineStr">
        <is>
          <t>8</t>
        </is>
      </c>
      <c r="R116" s="15" t="inlineStr">
        <is>
          <t>INSERT INTO</t>
        </is>
      </c>
      <c r="S116" s="15" t="inlineStr">
        <is>
          <t>CNF_UNIT_FILTERING_TBL</t>
        </is>
      </c>
      <c r="T116" s="15" t="inlineStr">
        <is>
          <t>VALUES(</t>
        </is>
      </c>
      <c r="U116" s="15" t="inlineStr">
        <is>
          <t>587 , 8</t>
        </is>
      </c>
      <c r="V116" s="15" t="inlineStr">
        <is>
          <t>);</t>
        </is>
      </c>
      <c r="X116" s="18">
        <f>EXACT(TRIM(L116&amp;""),O116&amp;"")</f>
        <v/>
      </c>
      <c r="Y116" s="18">
        <f>EXACT(TRIM(E116&amp;""),P116&amp;"")</f>
        <v/>
      </c>
      <c r="Z116" s="18">
        <f>AND(X116:Y116)</f>
        <v/>
      </c>
      <c r="AA116" s="19">
        <f>TRIM(IF(X116,"",$X$3&amp;" ")&amp;IF(Y116,"",$Y$3&amp;" "))</f>
        <v/>
      </c>
      <c r="AB116" s="18">
        <f>EXACT(SUBSTITUTE(M116," ",""),SUBSTITUTE(R116&amp;S116&amp;T116&amp;U116&amp;V116," ",""))</f>
        <v/>
      </c>
    </row>
    <row r="117">
      <c r="A117" s="15" t="inlineStr">
        <is>
          <t>INSERT INTO CNF_UNIT_FILTERING_TBL SELECT UNIT_ID, 9 FROM MST_UNIT_TBL WHERE UNIT_CODE = 'LF010';</t>
        </is>
      </c>
      <c r="B117" s="16" t="n"/>
      <c r="C117" s="15" t="inlineStr">
        <is>
          <t>CNF_UNIT_FILTERING_TBL</t>
        </is>
      </c>
      <c r="D117" s="15" t="inlineStr">
        <is>
          <t>UNIT_ID</t>
        </is>
      </c>
      <c r="E117" s="15" t="inlineStr">
        <is>
          <t>9</t>
        </is>
      </c>
      <c r="F117" s="15" t="inlineStr">
        <is>
          <t>MST_UNIT_TBL</t>
        </is>
      </c>
      <c r="G117" s="15" t="inlineStr">
        <is>
          <t>UNIT_CODE</t>
        </is>
      </c>
      <c r="H117" s="15" t="inlineStr">
        <is>
          <t>LF010</t>
        </is>
      </c>
      <c r="J117" s="15" t="inlineStr">
        <is>
          <t>LF010</t>
        </is>
      </c>
      <c r="K117" s="15" t="inlineStr">
        <is>
          <t>営業推進部</t>
        </is>
      </c>
      <c r="L117" s="15" t="inlineStr">
        <is>
          <t>587</t>
        </is>
      </c>
      <c r="M117" s="19">
        <f>"INSERT INTO "&amp;C117&amp;" VALUES("&amp;L117&amp;" , "&amp;E117&amp;");"</f>
        <v/>
      </c>
      <c r="O117" s="17" t="inlineStr">
        <is>
          <t>587</t>
        </is>
      </c>
      <c r="P117" s="17" t="inlineStr">
        <is>
          <t>9</t>
        </is>
      </c>
      <c r="R117" s="15" t="inlineStr">
        <is>
          <t>INSERT INTO</t>
        </is>
      </c>
      <c r="S117" s="15" t="inlineStr">
        <is>
          <t>CNF_UNIT_FILTERING_TBL</t>
        </is>
      </c>
      <c r="T117" s="15" t="inlineStr">
        <is>
          <t>VALUES(</t>
        </is>
      </c>
      <c r="U117" s="15" t="inlineStr">
        <is>
          <t>587 , 9</t>
        </is>
      </c>
      <c r="V117" s="15" t="inlineStr">
        <is>
          <t>);</t>
        </is>
      </c>
      <c r="X117" s="18">
        <f>EXACT(TRIM(L117&amp;""),O117&amp;"")</f>
        <v/>
      </c>
      <c r="Y117" s="18">
        <f>EXACT(TRIM(E117&amp;""),P117&amp;"")</f>
        <v/>
      </c>
      <c r="Z117" s="18">
        <f>AND(X117:Y117)</f>
        <v/>
      </c>
      <c r="AA117" s="19">
        <f>TRIM(IF(X117,"",$X$3&amp;" ")&amp;IF(Y117,"",$Y$3&amp;" "))</f>
        <v/>
      </c>
      <c r="AB117" s="18">
        <f>EXACT(SUBSTITUTE(M117," ",""),SUBSTITUTE(R117&amp;S117&amp;T117&amp;U117&amp;V117," ",""))</f>
        <v/>
      </c>
    </row>
    <row r="118">
      <c r="A118" s="15" t="inlineStr">
        <is>
          <t>INSERT INTO CNF_UNIT_FILTERING_TBL SELECT UNIT_ID, 11 FROM MST_UNIT_TBL WHERE UNIT_CODE = 'LF010';</t>
        </is>
      </c>
      <c r="B118" s="16" t="n"/>
      <c r="C118" s="15" t="inlineStr">
        <is>
          <t>CNF_UNIT_FILTERING_TBL</t>
        </is>
      </c>
      <c r="D118" s="15" t="inlineStr">
        <is>
          <t>UNIT_ID</t>
        </is>
      </c>
      <c r="E118" s="15" t="inlineStr">
        <is>
          <t>11</t>
        </is>
      </c>
      <c r="F118" s="15" t="inlineStr">
        <is>
          <t>MST_UNIT_TBL</t>
        </is>
      </c>
      <c r="G118" s="15" t="inlineStr">
        <is>
          <t>UNIT_CODE</t>
        </is>
      </c>
      <c r="H118" s="15" t="inlineStr">
        <is>
          <t>LF010</t>
        </is>
      </c>
      <c r="J118" s="15" t="inlineStr">
        <is>
          <t>LF010</t>
        </is>
      </c>
      <c r="K118" s="15" t="inlineStr">
        <is>
          <t>営業推進部</t>
        </is>
      </c>
      <c r="L118" s="15" t="inlineStr">
        <is>
          <t>587</t>
        </is>
      </c>
      <c r="M118" s="19">
        <f>"INSERT INTO "&amp;C118&amp;" VALUES("&amp;L118&amp;" , "&amp;E118&amp;");"</f>
        <v/>
      </c>
      <c r="O118" s="17" t="inlineStr">
        <is>
          <t>587</t>
        </is>
      </c>
      <c r="P118" s="17" t="inlineStr">
        <is>
          <t>11</t>
        </is>
      </c>
      <c r="R118" s="15" t="inlineStr">
        <is>
          <t>INSERT INTO</t>
        </is>
      </c>
      <c r="S118" s="15" t="inlineStr">
        <is>
          <t>CNF_UNIT_FILTERING_TBL</t>
        </is>
      </c>
      <c r="T118" s="15" t="inlineStr">
        <is>
          <t>VALUES(</t>
        </is>
      </c>
      <c r="U118" s="15" t="inlineStr">
        <is>
          <t>587 , 11</t>
        </is>
      </c>
      <c r="V118" s="15" t="inlineStr">
        <is>
          <t>);</t>
        </is>
      </c>
      <c r="X118" s="18">
        <f>EXACT(TRIM(L118&amp;""),O118&amp;"")</f>
        <v/>
      </c>
      <c r="Y118" s="18">
        <f>EXACT(TRIM(E118&amp;""),P118&amp;"")</f>
        <v/>
      </c>
      <c r="Z118" s="18">
        <f>AND(X118:Y118)</f>
        <v/>
      </c>
      <c r="AA118" s="19">
        <f>TRIM(IF(X118,"",$X$3&amp;" ")&amp;IF(Y118,"",$Y$3&amp;" "))</f>
        <v/>
      </c>
      <c r="AB118" s="18">
        <f>EXACT(SUBSTITUTE(M118," ",""),SUBSTITUTE(R118&amp;S118&amp;T118&amp;U118&amp;V118," ",""))</f>
        <v/>
      </c>
    </row>
    <row r="119">
      <c r="A119" s="15" t="inlineStr">
        <is>
          <t>INSERT INTO CNF_UNIT_FILTERING_TBL SELECT UNIT_ID, 12 FROM MST_UNIT_TBL WHERE UNIT_CODE = 'LF010';</t>
        </is>
      </c>
      <c r="B119" s="16" t="n"/>
      <c r="C119" s="15" t="inlineStr">
        <is>
          <t>CNF_UNIT_FILTERING_TBL</t>
        </is>
      </c>
      <c r="D119" s="15" t="inlineStr">
        <is>
          <t>UNIT_ID</t>
        </is>
      </c>
      <c r="E119" s="15" t="inlineStr">
        <is>
          <t>12</t>
        </is>
      </c>
      <c r="F119" s="15" t="inlineStr">
        <is>
          <t>MST_UNIT_TBL</t>
        </is>
      </c>
      <c r="G119" s="15" t="inlineStr">
        <is>
          <t>UNIT_CODE</t>
        </is>
      </c>
      <c r="H119" s="15" t="inlineStr">
        <is>
          <t>LF010</t>
        </is>
      </c>
      <c r="J119" s="15" t="inlineStr">
        <is>
          <t>LF010</t>
        </is>
      </c>
      <c r="K119" s="15" t="inlineStr">
        <is>
          <t>営業推進部</t>
        </is>
      </c>
      <c r="L119" s="15" t="inlineStr">
        <is>
          <t>587</t>
        </is>
      </c>
      <c r="M119" s="19">
        <f>"INSERT INTO "&amp;C119&amp;" VALUES("&amp;L119&amp;" , "&amp;E119&amp;");"</f>
        <v/>
      </c>
      <c r="O119" s="17" t="inlineStr">
        <is>
          <t>587</t>
        </is>
      </c>
      <c r="P119" s="17" t="inlineStr">
        <is>
          <t>12</t>
        </is>
      </c>
      <c r="R119" s="15" t="inlineStr">
        <is>
          <t>INSERT INTO</t>
        </is>
      </c>
      <c r="S119" s="15" t="inlineStr">
        <is>
          <t>CNF_UNIT_FILTERING_TBL</t>
        </is>
      </c>
      <c r="T119" s="15" t="inlineStr">
        <is>
          <t>VALUES(</t>
        </is>
      </c>
      <c r="U119" s="15" t="inlineStr">
        <is>
          <t>587 , 12</t>
        </is>
      </c>
      <c r="V119" s="15" t="inlineStr">
        <is>
          <t>);</t>
        </is>
      </c>
      <c r="X119" s="18">
        <f>EXACT(TRIM(L119&amp;""),O119&amp;"")</f>
        <v/>
      </c>
      <c r="Y119" s="18">
        <f>EXACT(TRIM(E119&amp;""),P119&amp;"")</f>
        <v/>
      </c>
      <c r="Z119" s="18">
        <f>AND(X119:Y119)</f>
        <v/>
      </c>
      <c r="AA119" s="19">
        <f>TRIM(IF(X119,"",$X$3&amp;" ")&amp;IF(Y119,"",$Y$3&amp;" "))</f>
        <v/>
      </c>
      <c r="AB119" s="18">
        <f>EXACT(SUBSTITUTE(M119," ",""),SUBSTITUTE(R119&amp;S119&amp;T119&amp;U119&amp;V119," ",""))</f>
        <v/>
      </c>
    </row>
    <row r="120">
      <c r="A120" s="15" t="inlineStr">
        <is>
          <t>INSERT INTO CNF_UNIT_FILTERING_TBL SELECT UNIT_ID, 13 FROM MST_UNIT_TBL WHERE UNIT_CODE = 'LF010';</t>
        </is>
      </c>
      <c r="B120" s="16" t="n"/>
      <c r="C120" s="15" t="inlineStr">
        <is>
          <t>CNF_UNIT_FILTERING_TBL</t>
        </is>
      </c>
      <c r="D120" s="15" t="inlineStr">
        <is>
          <t>UNIT_ID</t>
        </is>
      </c>
      <c r="E120" s="15" t="inlineStr">
        <is>
          <t>13</t>
        </is>
      </c>
      <c r="F120" s="15" t="inlineStr">
        <is>
          <t>MST_UNIT_TBL</t>
        </is>
      </c>
      <c r="G120" s="15" t="inlineStr">
        <is>
          <t>UNIT_CODE</t>
        </is>
      </c>
      <c r="H120" s="15" t="inlineStr">
        <is>
          <t>LF010</t>
        </is>
      </c>
      <c r="J120" s="15" t="inlineStr">
        <is>
          <t>LF010</t>
        </is>
      </c>
      <c r="K120" s="15" t="inlineStr">
        <is>
          <t>営業推進部</t>
        </is>
      </c>
      <c r="L120" s="15" t="inlineStr">
        <is>
          <t>587</t>
        </is>
      </c>
      <c r="M120" s="19">
        <f>"INSERT INTO "&amp;C120&amp;" VALUES("&amp;L120&amp;" , "&amp;E120&amp;");"</f>
        <v/>
      </c>
      <c r="O120" s="17" t="inlineStr">
        <is>
          <t>587</t>
        </is>
      </c>
      <c r="P120" s="17" t="inlineStr">
        <is>
          <t>13</t>
        </is>
      </c>
      <c r="R120" s="15" t="inlineStr">
        <is>
          <t>INSERT INTO</t>
        </is>
      </c>
      <c r="S120" s="15" t="inlineStr">
        <is>
          <t>CNF_UNIT_FILTERING_TBL</t>
        </is>
      </c>
      <c r="T120" s="15" t="inlineStr">
        <is>
          <t>VALUES(</t>
        </is>
      </c>
      <c r="U120" s="15" t="inlineStr">
        <is>
          <t>587 , 13</t>
        </is>
      </c>
      <c r="V120" s="15" t="inlineStr">
        <is>
          <t>);</t>
        </is>
      </c>
      <c r="X120" s="18">
        <f>EXACT(TRIM(L120&amp;""),O120&amp;"")</f>
        <v/>
      </c>
      <c r="Y120" s="18">
        <f>EXACT(TRIM(E120&amp;""),P120&amp;"")</f>
        <v/>
      </c>
      <c r="Z120" s="18">
        <f>AND(X120:Y120)</f>
        <v/>
      </c>
      <c r="AA120" s="19">
        <f>TRIM(IF(X120,"",$X$3&amp;" ")&amp;IF(Y120,"",$Y$3&amp;" "))</f>
        <v/>
      </c>
      <c r="AB120" s="18">
        <f>EXACT(SUBSTITUTE(M120," ",""),SUBSTITUTE(R120&amp;S120&amp;T120&amp;U120&amp;V120," ",""))</f>
        <v/>
      </c>
    </row>
    <row r="121">
      <c r="A121" s="15" t="inlineStr">
        <is>
          <t>INSERT INTO CNF_UNIT_FILTERING_TBL SELECT UNIT_ID, 14 FROM MST_UNIT_TBL WHERE UNIT_CODE = 'LF010';</t>
        </is>
      </c>
      <c r="B121" s="16" t="n"/>
      <c r="C121" s="15" t="inlineStr">
        <is>
          <t>CNF_UNIT_FILTERING_TBL</t>
        </is>
      </c>
      <c r="D121" s="15" t="inlineStr">
        <is>
          <t>UNIT_ID</t>
        </is>
      </c>
      <c r="E121" s="15" t="inlineStr">
        <is>
          <t>14</t>
        </is>
      </c>
      <c r="F121" s="15" t="inlineStr">
        <is>
          <t>MST_UNIT_TBL</t>
        </is>
      </c>
      <c r="G121" s="15" t="inlineStr">
        <is>
          <t>UNIT_CODE</t>
        </is>
      </c>
      <c r="H121" s="15" t="inlineStr">
        <is>
          <t>LF010</t>
        </is>
      </c>
      <c r="J121" s="15" t="inlineStr">
        <is>
          <t>LF010</t>
        </is>
      </c>
      <c r="K121" s="15" t="inlineStr">
        <is>
          <t>営業推進部</t>
        </is>
      </c>
      <c r="L121" s="15" t="inlineStr">
        <is>
          <t>587</t>
        </is>
      </c>
      <c r="M121" s="19">
        <f>"INSERT INTO "&amp;C121&amp;" VALUES("&amp;L121&amp;" , "&amp;E121&amp;");"</f>
        <v/>
      </c>
      <c r="O121" s="17" t="inlineStr">
        <is>
          <t>587</t>
        </is>
      </c>
      <c r="P121" s="17" t="inlineStr">
        <is>
          <t>14</t>
        </is>
      </c>
      <c r="R121" s="15" t="inlineStr">
        <is>
          <t>INSERT INTO</t>
        </is>
      </c>
      <c r="S121" s="15" t="inlineStr">
        <is>
          <t>CNF_UNIT_FILTERING_TBL</t>
        </is>
      </c>
      <c r="T121" s="15" t="inlineStr">
        <is>
          <t>VALUES(</t>
        </is>
      </c>
      <c r="U121" s="15" t="inlineStr">
        <is>
          <t>587 , 14</t>
        </is>
      </c>
      <c r="V121" s="15" t="inlineStr">
        <is>
          <t>);</t>
        </is>
      </c>
      <c r="X121" s="18">
        <f>EXACT(TRIM(L121&amp;""),O121&amp;"")</f>
        <v/>
      </c>
      <c r="Y121" s="18">
        <f>EXACT(TRIM(E121&amp;""),P121&amp;"")</f>
        <v/>
      </c>
      <c r="Z121" s="18">
        <f>AND(X121:Y121)</f>
        <v/>
      </c>
      <c r="AA121" s="19">
        <f>TRIM(IF(X121,"",$X$3&amp;" ")&amp;IF(Y121,"",$Y$3&amp;" "))</f>
        <v/>
      </c>
      <c r="AB121" s="18">
        <f>EXACT(SUBSTITUTE(M121," ",""),SUBSTITUTE(R121&amp;S121&amp;T121&amp;U121&amp;V121," ",""))</f>
        <v/>
      </c>
    </row>
    <row r="122">
      <c r="A122" s="15" t="inlineStr">
        <is>
          <t>INSERT INTO CNF_UNIT_FILTERING_TBL SELECT UNIT_ID, 15 FROM MST_UNIT_TBL WHERE UNIT_CODE = 'LF010';</t>
        </is>
      </c>
      <c r="B122" s="16" t="n"/>
      <c r="C122" s="15" t="inlineStr">
        <is>
          <t>CNF_UNIT_FILTERING_TBL</t>
        </is>
      </c>
      <c r="D122" s="15" t="inlineStr">
        <is>
          <t>UNIT_ID</t>
        </is>
      </c>
      <c r="E122" s="15" t="inlineStr">
        <is>
          <t>15</t>
        </is>
      </c>
      <c r="F122" s="15" t="inlineStr">
        <is>
          <t>MST_UNIT_TBL</t>
        </is>
      </c>
      <c r="G122" s="15" t="inlineStr">
        <is>
          <t>UNIT_CODE</t>
        </is>
      </c>
      <c r="H122" s="15" t="inlineStr">
        <is>
          <t>LF010</t>
        </is>
      </c>
      <c r="J122" s="15" t="inlineStr">
        <is>
          <t>LF010</t>
        </is>
      </c>
      <c r="K122" s="15" t="inlineStr">
        <is>
          <t>営業推進部</t>
        </is>
      </c>
      <c r="L122" s="15" t="inlineStr">
        <is>
          <t>587</t>
        </is>
      </c>
      <c r="M122" s="19">
        <f>"INSERT INTO "&amp;C122&amp;" VALUES("&amp;L122&amp;" , "&amp;E122&amp;");"</f>
        <v/>
      </c>
      <c r="O122" s="17" t="inlineStr">
        <is>
          <t>587</t>
        </is>
      </c>
      <c r="P122" s="17" t="inlineStr">
        <is>
          <t>15</t>
        </is>
      </c>
      <c r="R122" s="15" t="inlineStr">
        <is>
          <t>INSERT INTO</t>
        </is>
      </c>
      <c r="S122" s="15" t="inlineStr">
        <is>
          <t>CNF_UNIT_FILTERING_TBL</t>
        </is>
      </c>
      <c r="T122" s="15" t="inlineStr">
        <is>
          <t>VALUES(</t>
        </is>
      </c>
      <c r="U122" s="15" t="inlineStr">
        <is>
          <t>587 , 15</t>
        </is>
      </c>
      <c r="V122" s="15" t="inlineStr">
        <is>
          <t>);</t>
        </is>
      </c>
      <c r="X122" s="18">
        <f>EXACT(TRIM(L122&amp;""),O122&amp;"")</f>
        <v/>
      </c>
      <c r="Y122" s="18">
        <f>EXACT(TRIM(E122&amp;""),P122&amp;"")</f>
        <v/>
      </c>
      <c r="Z122" s="18">
        <f>AND(X122:Y122)</f>
        <v/>
      </c>
      <c r="AA122" s="19">
        <f>TRIM(IF(X122,"",$X$3&amp;" ")&amp;IF(Y122,"",$Y$3&amp;" "))</f>
        <v/>
      </c>
      <c r="AB122" s="18">
        <f>EXACT(SUBSTITUTE(M122," ",""),SUBSTITUTE(R122&amp;S122&amp;T122&amp;U122&amp;V122," ",""))</f>
        <v/>
      </c>
    </row>
    <row r="123">
      <c r="A123" s="15" t="inlineStr">
        <is>
          <t>INSERT INTO CNF_UNIT_FILTERING_TBL SELECT UNIT_ID, 16 FROM MST_UNIT_TBL WHERE UNIT_CODE = 'LF010';</t>
        </is>
      </c>
      <c r="B123" s="16" t="n"/>
      <c r="C123" s="15" t="inlineStr">
        <is>
          <t>CNF_UNIT_FILTERING_TBL</t>
        </is>
      </c>
      <c r="D123" s="15" t="inlineStr">
        <is>
          <t>UNIT_ID</t>
        </is>
      </c>
      <c r="E123" s="15" t="inlineStr">
        <is>
          <t>16</t>
        </is>
      </c>
      <c r="F123" s="15" t="inlineStr">
        <is>
          <t>MST_UNIT_TBL</t>
        </is>
      </c>
      <c r="G123" s="15" t="inlineStr">
        <is>
          <t>UNIT_CODE</t>
        </is>
      </c>
      <c r="H123" s="15" t="inlineStr">
        <is>
          <t>LF010</t>
        </is>
      </c>
      <c r="J123" s="15" t="inlineStr">
        <is>
          <t>LF010</t>
        </is>
      </c>
      <c r="K123" s="15" t="inlineStr">
        <is>
          <t>営業推進部</t>
        </is>
      </c>
      <c r="L123" s="15" t="inlineStr">
        <is>
          <t>587</t>
        </is>
      </c>
      <c r="M123" s="19">
        <f>"INSERT INTO "&amp;C123&amp;" VALUES("&amp;L123&amp;" , "&amp;E123&amp;");"</f>
        <v/>
      </c>
      <c r="O123" s="17" t="inlineStr">
        <is>
          <t>587</t>
        </is>
      </c>
      <c r="P123" s="17" t="inlineStr">
        <is>
          <t>16</t>
        </is>
      </c>
      <c r="R123" s="15" t="inlineStr">
        <is>
          <t>INSERT INTO</t>
        </is>
      </c>
      <c r="S123" s="15" t="inlineStr">
        <is>
          <t>CNF_UNIT_FILTERING_TBL</t>
        </is>
      </c>
      <c r="T123" s="15" t="inlineStr">
        <is>
          <t>VALUES(</t>
        </is>
      </c>
      <c r="U123" s="15" t="inlineStr">
        <is>
          <t>587 , 16</t>
        </is>
      </c>
      <c r="V123" s="15" t="inlineStr">
        <is>
          <t>);</t>
        </is>
      </c>
      <c r="X123" s="18">
        <f>EXACT(TRIM(L123&amp;""),O123&amp;"")</f>
        <v/>
      </c>
      <c r="Y123" s="18">
        <f>EXACT(TRIM(E123&amp;""),P123&amp;"")</f>
        <v/>
      </c>
      <c r="Z123" s="18">
        <f>AND(X123:Y123)</f>
        <v/>
      </c>
      <c r="AA123" s="19">
        <f>TRIM(IF(X123,"",$X$3&amp;" ")&amp;IF(Y123,"",$Y$3&amp;" "))</f>
        <v/>
      </c>
      <c r="AB123" s="18">
        <f>EXACT(SUBSTITUTE(M123," ",""),SUBSTITUTE(R123&amp;S123&amp;T123&amp;U123&amp;V123," ",""))</f>
        <v/>
      </c>
    </row>
    <row r="124">
      <c r="A124" s="15" t="inlineStr">
        <is>
          <t>INSERT INTO CNF_UNIT_FILTERING_TBL SELECT UNIT_ID, 1 FROM MST_UNIT_TBL WHERE UNIT_CODE = 'LF011';</t>
        </is>
      </c>
      <c r="B124" s="16" t="n"/>
      <c r="C124" s="15" t="inlineStr">
        <is>
          <t>CNF_UNIT_FILTERING_TBL</t>
        </is>
      </c>
      <c r="D124" s="15" t="inlineStr">
        <is>
          <t>UNIT_ID</t>
        </is>
      </c>
      <c r="E124" s="15" t="inlineStr">
        <is>
          <t>1</t>
        </is>
      </c>
      <c r="F124" s="15" t="inlineStr">
        <is>
          <t>MST_UNIT_TBL</t>
        </is>
      </c>
      <c r="G124" s="15" t="inlineStr">
        <is>
          <t>UNIT_CODE</t>
        </is>
      </c>
      <c r="H124" s="15" t="inlineStr">
        <is>
          <t>LF011</t>
        </is>
      </c>
      <c r="J124" s="15" t="inlineStr">
        <is>
          <t>LF011</t>
        </is>
      </c>
      <c r="K124" s="15" t="inlineStr">
        <is>
          <t>与信企画室</t>
        </is>
      </c>
      <c r="L124" s="15" t="inlineStr">
        <is>
          <t>588</t>
        </is>
      </c>
      <c r="M124" s="19">
        <f>"INSERT INTO "&amp;C124&amp;" VALUES("&amp;L124&amp;" , "&amp;E124&amp;");"</f>
        <v/>
      </c>
      <c r="O124" s="17" t="inlineStr">
        <is>
          <t>588</t>
        </is>
      </c>
      <c r="P124" s="17" t="inlineStr">
        <is>
          <t>1</t>
        </is>
      </c>
      <c r="R124" s="15" t="inlineStr">
        <is>
          <t>INSERT INTO</t>
        </is>
      </c>
      <c r="S124" s="15" t="inlineStr">
        <is>
          <t>CNF_UNIT_FILTERING_TBL</t>
        </is>
      </c>
      <c r="T124" s="15" t="inlineStr">
        <is>
          <t>VALUES(</t>
        </is>
      </c>
      <c r="U124" s="15" t="inlineStr">
        <is>
          <t>588 , 1</t>
        </is>
      </c>
      <c r="V124" s="15" t="inlineStr">
        <is>
          <t>);</t>
        </is>
      </c>
      <c r="X124" s="18">
        <f>EXACT(TRIM(L124&amp;""),O124&amp;"")</f>
        <v/>
      </c>
      <c r="Y124" s="18">
        <f>EXACT(TRIM(E124&amp;""),P124&amp;"")</f>
        <v/>
      </c>
      <c r="Z124" s="18">
        <f>AND(X124:Y124)</f>
        <v/>
      </c>
      <c r="AA124" s="19">
        <f>TRIM(IF(X124,"",$X$3&amp;" ")&amp;IF(Y124,"",$Y$3&amp;" "))</f>
        <v/>
      </c>
      <c r="AB124" s="18">
        <f>EXACT(SUBSTITUTE(M124," ",""),SUBSTITUTE(R124&amp;S124&amp;T124&amp;U124&amp;V124," ",""))</f>
        <v/>
      </c>
    </row>
    <row r="125">
      <c r="A125" s="15" t="inlineStr">
        <is>
          <t>INSERT INTO CNF_UNIT_FILTERING_TBL SELECT UNIT_ID, 4 FROM MST_UNIT_TBL WHERE UNIT_CODE = 'LF011';</t>
        </is>
      </c>
      <c r="B125" s="16" t="n"/>
      <c r="C125" s="15" t="inlineStr">
        <is>
          <t>CNF_UNIT_FILTERING_TBL</t>
        </is>
      </c>
      <c r="D125" s="15" t="inlineStr">
        <is>
          <t>UNIT_ID</t>
        </is>
      </c>
      <c r="E125" s="15" t="inlineStr">
        <is>
          <t>4</t>
        </is>
      </c>
      <c r="F125" s="15" t="inlineStr">
        <is>
          <t>MST_UNIT_TBL</t>
        </is>
      </c>
      <c r="G125" s="15" t="inlineStr">
        <is>
          <t>UNIT_CODE</t>
        </is>
      </c>
      <c r="H125" s="15" t="inlineStr">
        <is>
          <t>LF011</t>
        </is>
      </c>
      <c r="J125" s="15" t="inlineStr">
        <is>
          <t>LF011</t>
        </is>
      </c>
      <c r="K125" s="15" t="inlineStr">
        <is>
          <t>与信企画室</t>
        </is>
      </c>
      <c r="L125" s="15" t="inlineStr">
        <is>
          <t>588</t>
        </is>
      </c>
      <c r="M125" s="19">
        <f>"INSERT INTO "&amp;C125&amp;" VALUES("&amp;L125&amp;" , "&amp;E125&amp;");"</f>
        <v/>
      </c>
      <c r="O125" s="17" t="inlineStr">
        <is>
          <t>588</t>
        </is>
      </c>
      <c r="P125" s="17" t="inlineStr">
        <is>
          <t>4</t>
        </is>
      </c>
      <c r="R125" s="15" t="inlineStr">
        <is>
          <t>INSERT INTO</t>
        </is>
      </c>
      <c r="S125" s="15" t="inlineStr">
        <is>
          <t>CNF_UNIT_FILTERING_TBL</t>
        </is>
      </c>
      <c r="T125" s="15" t="inlineStr">
        <is>
          <t>VALUES(</t>
        </is>
      </c>
      <c r="U125" s="15" t="inlineStr">
        <is>
          <t>588 , 4</t>
        </is>
      </c>
      <c r="V125" s="15" t="inlineStr">
        <is>
          <t>);</t>
        </is>
      </c>
      <c r="X125" s="18">
        <f>EXACT(TRIM(L125&amp;""),O125&amp;"")</f>
        <v/>
      </c>
      <c r="Y125" s="18">
        <f>EXACT(TRIM(E125&amp;""),P125&amp;"")</f>
        <v/>
      </c>
      <c r="Z125" s="18">
        <f>AND(X125:Y125)</f>
        <v/>
      </c>
      <c r="AA125" s="19">
        <f>TRIM(IF(X125,"",$X$3&amp;" ")&amp;IF(Y125,"",$Y$3&amp;" "))</f>
        <v/>
      </c>
      <c r="AB125" s="18">
        <f>EXACT(SUBSTITUTE(M125," ",""),SUBSTITUTE(R125&amp;S125&amp;T125&amp;U125&amp;V125," ",""))</f>
        <v/>
      </c>
    </row>
    <row r="126">
      <c r="A126" s="15" t="inlineStr">
        <is>
          <t>INSERT INTO CNF_UNIT_FILTERING_TBL SELECT UNIT_ID, 5 FROM MST_UNIT_TBL WHERE UNIT_CODE = 'LF011';</t>
        </is>
      </c>
      <c r="B126" s="16" t="n"/>
      <c r="C126" s="15" t="inlineStr">
        <is>
          <t>CNF_UNIT_FILTERING_TBL</t>
        </is>
      </c>
      <c r="D126" s="15" t="inlineStr">
        <is>
          <t>UNIT_ID</t>
        </is>
      </c>
      <c r="E126" s="15" t="inlineStr">
        <is>
          <t>5</t>
        </is>
      </c>
      <c r="F126" s="15" t="inlineStr">
        <is>
          <t>MST_UNIT_TBL</t>
        </is>
      </c>
      <c r="G126" s="15" t="inlineStr">
        <is>
          <t>UNIT_CODE</t>
        </is>
      </c>
      <c r="H126" s="15" t="inlineStr">
        <is>
          <t>LF011</t>
        </is>
      </c>
      <c r="J126" s="15" t="inlineStr">
        <is>
          <t>LF011</t>
        </is>
      </c>
      <c r="K126" s="15" t="inlineStr">
        <is>
          <t>与信企画室</t>
        </is>
      </c>
      <c r="L126" s="15" t="inlineStr">
        <is>
          <t>588</t>
        </is>
      </c>
      <c r="M126" s="19">
        <f>"INSERT INTO "&amp;C126&amp;" VALUES("&amp;L126&amp;" , "&amp;E126&amp;");"</f>
        <v/>
      </c>
      <c r="O126" s="17" t="inlineStr">
        <is>
          <t>588</t>
        </is>
      </c>
      <c r="P126" s="17" t="inlineStr">
        <is>
          <t>5</t>
        </is>
      </c>
      <c r="R126" s="15" t="inlineStr">
        <is>
          <t>INSERT INTO</t>
        </is>
      </c>
      <c r="S126" s="15" t="inlineStr">
        <is>
          <t>CNF_UNIT_FILTERING_TBL</t>
        </is>
      </c>
      <c r="T126" s="15" t="inlineStr">
        <is>
          <t>VALUES(</t>
        </is>
      </c>
      <c r="U126" s="15" t="inlineStr">
        <is>
          <t>588 , 5</t>
        </is>
      </c>
      <c r="V126" s="15" t="inlineStr">
        <is>
          <t>);</t>
        </is>
      </c>
      <c r="X126" s="18">
        <f>EXACT(TRIM(L126&amp;""),O126&amp;"")</f>
        <v/>
      </c>
      <c r="Y126" s="18">
        <f>EXACT(TRIM(E126&amp;""),P126&amp;"")</f>
        <v/>
      </c>
      <c r="Z126" s="18">
        <f>AND(X126:Y126)</f>
        <v/>
      </c>
      <c r="AA126" s="19">
        <f>TRIM(IF(X126,"",$X$3&amp;" ")&amp;IF(Y126,"",$Y$3&amp;" "))</f>
        <v/>
      </c>
      <c r="AB126" s="18">
        <f>EXACT(SUBSTITUTE(M126," ",""),SUBSTITUTE(R126&amp;S126&amp;T126&amp;U126&amp;V126," ",""))</f>
        <v/>
      </c>
    </row>
    <row r="127">
      <c r="A127" s="15" t="inlineStr">
        <is>
          <t>INSERT INTO CNF_UNIT_FILTERING_TBL SELECT UNIT_ID, 7 FROM MST_UNIT_TBL WHERE UNIT_CODE = 'LF011';</t>
        </is>
      </c>
      <c r="B127" s="16" t="n"/>
      <c r="C127" s="15" t="inlineStr">
        <is>
          <t>CNF_UNIT_FILTERING_TBL</t>
        </is>
      </c>
      <c r="D127" s="15" t="inlineStr">
        <is>
          <t>UNIT_ID</t>
        </is>
      </c>
      <c r="E127" s="15" t="inlineStr">
        <is>
          <t>7</t>
        </is>
      </c>
      <c r="F127" s="15" t="inlineStr">
        <is>
          <t>MST_UNIT_TBL</t>
        </is>
      </c>
      <c r="G127" s="15" t="inlineStr">
        <is>
          <t>UNIT_CODE</t>
        </is>
      </c>
      <c r="H127" s="15" t="inlineStr">
        <is>
          <t>LF011</t>
        </is>
      </c>
      <c r="J127" s="15" t="inlineStr">
        <is>
          <t>LF011</t>
        </is>
      </c>
      <c r="K127" s="15" t="inlineStr">
        <is>
          <t>与信企画室</t>
        </is>
      </c>
      <c r="L127" s="15" t="inlineStr">
        <is>
          <t>588</t>
        </is>
      </c>
      <c r="M127" s="19">
        <f>"INSERT INTO "&amp;C127&amp;" VALUES("&amp;L127&amp;" , "&amp;E127&amp;");"</f>
        <v/>
      </c>
      <c r="O127" s="17" t="inlineStr">
        <is>
          <t>588</t>
        </is>
      </c>
      <c r="P127" s="17" t="inlineStr">
        <is>
          <t>7</t>
        </is>
      </c>
      <c r="R127" s="15" t="inlineStr">
        <is>
          <t>INSERT INTO</t>
        </is>
      </c>
      <c r="S127" s="15" t="inlineStr">
        <is>
          <t>CNF_UNIT_FILTERING_TBL</t>
        </is>
      </c>
      <c r="T127" s="15" t="inlineStr">
        <is>
          <t>VALUES(</t>
        </is>
      </c>
      <c r="U127" s="15" t="inlineStr">
        <is>
          <t>588 , 7</t>
        </is>
      </c>
      <c r="V127" s="15" t="inlineStr">
        <is>
          <t>);</t>
        </is>
      </c>
      <c r="X127" s="18">
        <f>EXACT(TRIM(L127&amp;""),O127&amp;"")</f>
        <v/>
      </c>
      <c r="Y127" s="18">
        <f>EXACT(TRIM(E127&amp;""),P127&amp;"")</f>
        <v/>
      </c>
      <c r="Z127" s="18">
        <f>AND(X127:Y127)</f>
        <v/>
      </c>
      <c r="AA127" s="19">
        <f>TRIM(IF(X127,"",$X$3&amp;" ")&amp;IF(Y127,"",$Y$3&amp;" "))</f>
        <v/>
      </c>
      <c r="AB127" s="18">
        <f>EXACT(SUBSTITUTE(M127," ",""),SUBSTITUTE(R127&amp;S127&amp;T127&amp;U127&amp;V127," ",""))</f>
        <v/>
      </c>
    </row>
    <row r="128">
      <c r="A128" s="15" t="inlineStr">
        <is>
          <t>INSERT INTO CNF_UNIT_FILTERING_TBL SELECT UNIT_ID, 8 FROM MST_UNIT_TBL WHERE UNIT_CODE = 'LF011';</t>
        </is>
      </c>
      <c r="B128" s="16" t="n"/>
      <c r="C128" s="15" t="inlineStr">
        <is>
          <t>CNF_UNIT_FILTERING_TBL</t>
        </is>
      </c>
      <c r="D128" s="15" t="inlineStr">
        <is>
          <t>UNIT_ID</t>
        </is>
      </c>
      <c r="E128" s="15" t="inlineStr">
        <is>
          <t>8</t>
        </is>
      </c>
      <c r="F128" s="15" t="inlineStr">
        <is>
          <t>MST_UNIT_TBL</t>
        </is>
      </c>
      <c r="G128" s="15" t="inlineStr">
        <is>
          <t>UNIT_CODE</t>
        </is>
      </c>
      <c r="H128" s="15" t="inlineStr">
        <is>
          <t>LF011</t>
        </is>
      </c>
      <c r="J128" s="15" t="inlineStr">
        <is>
          <t>LF011</t>
        </is>
      </c>
      <c r="K128" s="15" t="inlineStr">
        <is>
          <t>与信企画室</t>
        </is>
      </c>
      <c r="L128" s="15" t="inlineStr">
        <is>
          <t>588</t>
        </is>
      </c>
      <c r="M128" s="19">
        <f>"INSERT INTO "&amp;C128&amp;" VALUES("&amp;L128&amp;" , "&amp;E128&amp;");"</f>
        <v/>
      </c>
      <c r="O128" s="17" t="inlineStr">
        <is>
          <t>588</t>
        </is>
      </c>
      <c r="P128" s="17" t="inlineStr">
        <is>
          <t>8</t>
        </is>
      </c>
      <c r="R128" s="15" t="inlineStr">
        <is>
          <t>INSERT INTO</t>
        </is>
      </c>
      <c r="S128" s="15" t="inlineStr">
        <is>
          <t>CNF_UNIT_FILTERING_TBL</t>
        </is>
      </c>
      <c r="T128" s="15" t="inlineStr">
        <is>
          <t>VALUES(</t>
        </is>
      </c>
      <c r="U128" s="15" t="inlineStr">
        <is>
          <t>588 , 8</t>
        </is>
      </c>
      <c r="V128" s="15" t="inlineStr">
        <is>
          <t>);</t>
        </is>
      </c>
      <c r="X128" s="18">
        <f>EXACT(TRIM(L128&amp;""),O128&amp;"")</f>
        <v/>
      </c>
      <c r="Y128" s="18">
        <f>EXACT(TRIM(E128&amp;""),P128&amp;"")</f>
        <v/>
      </c>
      <c r="Z128" s="18">
        <f>AND(X128:Y128)</f>
        <v/>
      </c>
      <c r="AA128" s="19">
        <f>TRIM(IF(X128,"",$X$3&amp;" ")&amp;IF(Y128,"",$Y$3&amp;" "))</f>
        <v/>
      </c>
      <c r="AB128" s="18">
        <f>EXACT(SUBSTITUTE(M128," ",""),SUBSTITUTE(R128&amp;S128&amp;T128&amp;U128&amp;V128," ",""))</f>
        <v/>
      </c>
    </row>
    <row r="129">
      <c r="A129" s="15" t="inlineStr">
        <is>
          <t>INSERT INTO CNF_UNIT_FILTERING_TBL SELECT UNIT_ID, 9 FROM MST_UNIT_TBL WHERE UNIT_CODE = 'LF011';</t>
        </is>
      </c>
      <c r="B129" s="16" t="n"/>
      <c r="C129" s="15" t="inlineStr">
        <is>
          <t>CNF_UNIT_FILTERING_TBL</t>
        </is>
      </c>
      <c r="D129" s="15" t="inlineStr">
        <is>
          <t>UNIT_ID</t>
        </is>
      </c>
      <c r="E129" s="15" t="inlineStr">
        <is>
          <t>9</t>
        </is>
      </c>
      <c r="F129" s="15" t="inlineStr">
        <is>
          <t>MST_UNIT_TBL</t>
        </is>
      </c>
      <c r="G129" s="15" t="inlineStr">
        <is>
          <t>UNIT_CODE</t>
        </is>
      </c>
      <c r="H129" s="15" t="inlineStr">
        <is>
          <t>LF011</t>
        </is>
      </c>
      <c r="J129" s="15" t="inlineStr">
        <is>
          <t>LF011</t>
        </is>
      </c>
      <c r="K129" s="15" t="inlineStr">
        <is>
          <t>与信企画室</t>
        </is>
      </c>
      <c r="L129" s="15" t="inlineStr">
        <is>
          <t>588</t>
        </is>
      </c>
      <c r="M129" s="19">
        <f>"INSERT INTO "&amp;C129&amp;" VALUES("&amp;L129&amp;" , "&amp;E129&amp;");"</f>
        <v/>
      </c>
      <c r="O129" s="17" t="inlineStr">
        <is>
          <t>588</t>
        </is>
      </c>
      <c r="P129" s="17" t="inlineStr">
        <is>
          <t>9</t>
        </is>
      </c>
      <c r="R129" s="15" t="inlineStr">
        <is>
          <t>INSERT INTO</t>
        </is>
      </c>
      <c r="S129" s="15" t="inlineStr">
        <is>
          <t>CNF_UNIT_FILTERING_TBL</t>
        </is>
      </c>
      <c r="T129" s="15" t="inlineStr">
        <is>
          <t>VALUES(</t>
        </is>
      </c>
      <c r="U129" s="15" t="inlineStr">
        <is>
          <t>588 , 9</t>
        </is>
      </c>
      <c r="V129" s="15" t="inlineStr">
        <is>
          <t>);</t>
        </is>
      </c>
      <c r="X129" s="18">
        <f>EXACT(TRIM(L129&amp;""),O129&amp;"")</f>
        <v/>
      </c>
      <c r="Y129" s="18">
        <f>EXACT(TRIM(E129&amp;""),P129&amp;"")</f>
        <v/>
      </c>
      <c r="Z129" s="18">
        <f>AND(X129:Y129)</f>
        <v/>
      </c>
      <c r="AA129" s="19">
        <f>TRIM(IF(X129,"",$X$3&amp;" ")&amp;IF(Y129,"",$Y$3&amp;" "))</f>
        <v/>
      </c>
      <c r="AB129" s="18">
        <f>EXACT(SUBSTITUTE(M129," ",""),SUBSTITUTE(R129&amp;S129&amp;T129&amp;U129&amp;V129," ",""))</f>
        <v/>
      </c>
    </row>
    <row r="130">
      <c r="A130" s="15" t="inlineStr">
        <is>
          <t>INSERT INTO CNF_UNIT_FILTERING_TBL SELECT UNIT_ID, 11 FROM MST_UNIT_TBL WHERE UNIT_CODE = 'LF011';</t>
        </is>
      </c>
      <c r="B130" s="16" t="n"/>
      <c r="C130" s="15" t="inlineStr">
        <is>
          <t>CNF_UNIT_FILTERING_TBL</t>
        </is>
      </c>
      <c r="D130" s="15" t="inlineStr">
        <is>
          <t>UNIT_ID</t>
        </is>
      </c>
      <c r="E130" s="15" t="inlineStr">
        <is>
          <t>11</t>
        </is>
      </c>
      <c r="F130" s="15" t="inlineStr">
        <is>
          <t>MST_UNIT_TBL</t>
        </is>
      </c>
      <c r="G130" s="15" t="inlineStr">
        <is>
          <t>UNIT_CODE</t>
        </is>
      </c>
      <c r="H130" s="15" t="inlineStr">
        <is>
          <t>LF011</t>
        </is>
      </c>
      <c r="J130" s="15" t="inlineStr">
        <is>
          <t>LF011</t>
        </is>
      </c>
      <c r="K130" s="15" t="inlineStr">
        <is>
          <t>与信企画室</t>
        </is>
      </c>
      <c r="L130" s="15" t="inlineStr">
        <is>
          <t>588</t>
        </is>
      </c>
      <c r="M130" s="19">
        <f>"INSERT INTO "&amp;C130&amp;" VALUES("&amp;L130&amp;" , "&amp;E130&amp;");"</f>
        <v/>
      </c>
      <c r="O130" s="17" t="inlineStr">
        <is>
          <t>588</t>
        </is>
      </c>
      <c r="P130" s="17" t="inlineStr">
        <is>
          <t>11</t>
        </is>
      </c>
      <c r="R130" s="15" t="inlineStr">
        <is>
          <t>INSERT INTO</t>
        </is>
      </c>
      <c r="S130" s="15" t="inlineStr">
        <is>
          <t>CNF_UNIT_FILTERING_TBL</t>
        </is>
      </c>
      <c r="T130" s="15" t="inlineStr">
        <is>
          <t>VALUES(</t>
        </is>
      </c>
      <c r="U130" s="15" t="inlineStr">
        <is>
          <t>588 , 11</t>
        </is>
      </c>
      <c r="V130" s="15" t="inlineStr">
        <is>
          <t>);</t>
        </is>
      </c>
      <c r="X130" s="18">
        <f>EXACT(TRIM(L130&amp;""),O130&amp;"")</f>
        <v/>
      </c>
      <c r="Y130" s="18">
        <f>EXACT(TRIM(E130&amp;""),P130&amp;"")</f>
        <v/>
      </c>
      <c r="Z130" s="18">
        <f>AND(X130:Y130)</f>
        <v/>
      </c>
      <c r="AA130" s="19">
        <f>TRIM(IF(X130,"",$X$3&amp;" ")&amp;IF(Y130,"",$Y$3&amp;" "))</f>
        <v/>
      </c>
      <c r="AB130" s="18">
        <f>EXACT(SUBSTITUTE(M130," ",""),SUBSTITUTE(R130&amp;S130&amp;T130&amp;U130&amp;V130," ",""))</f>
        <v/>
      </c>
    </row>
    <row r="131">
      <c r="A131" s="15" t="inlineStr">
        <is>
          <t>INSERT INTO CNF_UNIT_FILTERING_TBL SELECT UNIT_ID, 12 FROM MST_UNIT_TBL WHERE UNIT_CODE = 'LF011';</t>
        </is>
      </c>
      <c r="B131" s="16" t="n"/>
      <c r="C131" s="15" t="inlineStr">
        <is>
          <t>CNF_UNIT_FILTERING_TBL</t>
        </is>
      </c>
      <c r="D131" s="15" t="inlineStr">
        <is>
          <t>UNIT_ID</t>
        </is>
      </c>
      <c r="E131" s="15" t="inlineStr">
        <is>
          <t>12</t>
        </is>
      </c>
      <c r="F131" s="15" t="inlineStr">
        <is>
          <t>MST_UNIT_TBL</t>
        </is>
      </c>
      <c r="G131" s="15" t="inlineStr">
        <is>
          <t>UNIT_CODE</t>
        </is>
      </c>
      <c r="H131" s="15" t="inlineStr">
        <is>
          <t>LF011</t>
        </is>
      </c>
      <c r="J131" s="15" t="inlineStr">
        <is>
          <t>LF011</t>
        </is>
      </c>
      <c r="K131" s="15" t="inlineStr">
        <is>
          <t>与信企画室</t>
        </is>
      </c>
      <c r="L131" s="15" t="inlineStr">
        <is>
          <t>588</t>
        </is>
      </c>
      <c r="M131" s="19">
        <f>"INSERT INTO "&amp;C131&amp;" VALUES("&amp;L131&amp;" , "&amp;E131&amp;");"</f>
        <v/>
      </c>
      <c r="O131" s="17" t="inlineStr">
        <is>
          <t>588</t>
        </is>
      </c>
      <c r="P131" s="17" t="inlineStr">
        <is>
          <t>12</t>
        </is>
      </c>
      <c r="R131" s="15" t="inlineStr">
        <is>
          <t>INSERT INTO</t>
        </is>
      </c>
      <c r="S131" s="15" t="inlineStr">
        <is>
          <t>CNF_UNIT_FILTERING_TBL</t>
        </is>
      </c>
      <c r="T131" s="15" t="inlineStr">
        <is>
          <t>VALUES(</t>
        </is>
      </c>
      <c r="U131" s="15" t="inlineStr">
        <is>
          <t>588 , 12</t>
        </is>
      </c>
      <c r="V131" s="15" t="inlineStr">
        <is>
          <t>);</t>
        </is>
      </c>
      <c r="X131" s="18">
        <f>EXACT(TRIM(L131&amp;""),O131&amp;"")</f>
        <v/>
      </c>
      <c r="Y131" s="18">
        <f>EXACT(TRIM(E131&amp;""),P131&amp;"")</f>
        <v/>
      </c>
      <c r="Z131" s="18">
        <f>AND(X131:Y131)</f>
        <v/>
      </c>
      <c r="AA131" s="19">
        <f>TRIM(IF(X131,"",$X$3&amp;" ")&amp;IF(Y131,"",$Y$3&amp;" "))</f>
        <v/>
      </c>
      <c r="AB131" s="18">
        <f>EXACT(SUBSTITUTE(M131," ",""),SUBSTITUTE(R131&amp;S131&amp;T131&amp;U131&amp;V131," ",""))</f>
        <v/>
      </c>
    </row>
    <row r="132">
      <c r="A132" s="15" t="inlineStr">
        <is>
          <t>INSERT INTO CNF_UNIT_FILTERING_TBL SELECT UNIT_ID, 13 FROM MST_UNIT_TBL WHERE UNIT_CODE = 'LF011';</t>
        </is>
      </c>
      <c r="B132" s="16" t="n"/>
      <c r="C132" s="15" t="inlineStr">
        <is>
          <t>CNF_UNIT_FILTERING_TBL</t>
        </is>
      </c>
      <c r="D132" s="15" t="inlineStr">
        <is>
          <t>UNIT_ID</t>
        </is>
      </c>
      <c r="E132" s="15" t="inlineStr">
        <is>
          <t>13</t>
        </is>
      </c>
      <c r="F132" s="15" t="inlineStr">
        <is>
          <t>MST_UNIT_TBL</t>
        </is>
      </c>
      <c r="G132" s="15" t="inlineStr">
        <is>
          <t>UNIT_CODE</t>
        </is>
      </c>
      <c r="H132" s="15" t="inlineStr">
        <is>
          <t>LF011</t>
        </is>
      </c>
      <c r="J132" s="15" t="inlineStr">
        <is>
          <t>LF011</t>
        </is>
      </c>
      <c r="K132" s="15" t="inlineStr">
        <is>
          <t>与信企画室</t>
        </is>
      </c>
      <c r="L132" s="15" t="inlineStr">
        <is>
          <t>588</t>
        </is>
      </c>
      <c r="M132" s="19">
        <f>"INSERT INTO "&amp;C132&amp;" VALUES("&amp;L132&amp;" , "&amp;E132&amp;");"</f>
        <v/>
      </c>
      <c r="O132" s="17" t="inlineStr">
        <is>
          <t>588</t>
        </is>
      </c>
      <c r="P132" s="17" t="inlineStr">
        <is>
          <t>13</t>
        </is>
      </c>
      <c r="R132" s="15" t="inlineStr">
        <is>
          <t>INSERT INTO</t>
        </is>
      </c>
      <c r="S132" s="15" t="inlineStr">
        <is>
          <t>CNF_UNIT_FILTERING_TBL</t>
        </is>
      </c>
      <c r="T132" s="15" t="inlineStr">
        <is>
          <t>VALUES(</t>
        </is>
      </c>
      <c r="U132" s="15" t="inlineStr">
        <is>
          <t>588 , 13</t>
        </is>
      </c>
      <c r="V132" s="15" t="inlineStr">
        <is>
          <t>);</t>
        </is>
      </c>
      <c r="X132" s="18">
        <f>EXACT(TRIM(L132&amp;""),O132&amp;"")</f>
        <v/>
      </c>
      <c r="Y132" s="18">
        <f>EXACT(TRIM(E132&amp;""),P132&amp;"")</f>
        <v/>
      </c>
      <c r="Z132" s="18">
        <f>AND(X132:Y132)</f>
        <v/>
      </c>
      <c r="AA132" s="19">
        <f>TRIM(IF(X132,"",$X$3&amp;" ")&amp;IF(Y132,"",$Y$3&amp;" "))</f>
        <v/>
      </c>
      <c r="AB132" s="18">
        <f>EXACT(SUBSTITUTE(M132," ",""),SUBSTITUTE(R132&amp;S132&amp;T132&amp;U132&amp;V132," ",""))</f>
        <v/>
      </c>
    </row>
    <row r="133">
      <c r="A133" s="15" t="inlineStr">
        <is>
          <t>INSERT INTO CNF_UNIT_FILTERING_TBL SELECT UNIT_ID, 14 FROM MST_UNIT_TBL WHERE UNIT_CODE = 'LF011';</t>
        </is>
      </c>
      <c r="B133" s="16" t="n"/>
      <c r="C133" s="15" t="inlineStr">
        <is>
          <t>CNF_UNIT_FILTERING_TBL</t>
        </is>
      </c>
      <c r="D133" s="15" t="inlineStr">
        <is>
          <t>UNIT_ID</t>
        </is>
      </c>
      <c r="E133" s="15" t="inlineStr">
        <is>
          <t>14</t>
        </is>
      </c>
      <c r="F133" s="15" t="inlineStr">
        <is>
          <t>MST_UNIT_TBL</t>
        </is>
      </c>
      <c r="G133" s="15" t="inlineStr">
        <is>
          <t>UNIT_CODE</t>
        </is>
      </c>
      <c r="H133" s="15" t="inlineStr">
        <is>
          <t>LF011</t>
        </is>
      </c>
      <c r="J133" s="15" t="inlineStr">
        <is>
          <t>LF011</t>
        </is>
      </c>
      <c r="K133" s="15" t="inlineStr">
        <is>
          <t>与信企画室</t>
        </is>
      </c>
      <c r="L133" s="15" t="inlineStr">
        <is>
          <t>588</t>
        </is>
      </c>
      <c r="M133" s="19">
        <f>"INSERT INTO "&amp;C133&amp;" VALUES("&amp;L133&amp;" , "&amp;E133&amp;");"</f>
        <v/>
      </c>
      <c r="O133" s="17" t="inlineStr">
        <is>
          <t>588</t>
        </is>
      </c>
      <c r="P133" s="17" t="inlineStr">
        <is>
          <t>14</t>
        </is>
      </c>
      <c r="R133" s="15" t="inlineStr">
        <is>
          <t>INSERT INTO</t>
        </is>
      </c>
      <c r="S133" s="15" t="inlineStr">
        <is>
          <t>CNF_UNIT_FILTERING_TBL</t>
        </is>
      </c>
      <c r="T133" s="15" t="inlineStr">
        <is>
          <t>VALUES(</t>
        </is>
      </c>
      <c r="U133" s="15" t="inlineStr">
        <is>
          <t>588 , 14</t>
        </is>
      </c>
      <c r="V133" s="15" t="inlineStr">
        <is>
          <t>);</t>
        </is>
      </c>
      <c r="X133" s="18">
        <f>EXACT(TRIM(L133&amp;""),O133&amp;"")</f>
        <v/>
      </c>
      <c r="Y133" s="18">
        <f>EXACT(TRIM(E133&amp;""),P133&amp;"")</f>
        <v/>
      </c>
      <c r="Z133" s="18">
        <f>AND(X133:Y133)</f>
        <v/>
      </c>
      <c r="AA133" s="19">
        <f>TRIM(IF(X133,"",$X$3&amp;" ")&amp;IF(Y133,"",$Y$3&amp;" "))</f>
        <v/>
      </c>
      <c r="AB133" s="18">
        <f>EXACT(SUBSTITUTE(M133," ",""),SUBSTITUTE(R133&amp;S133&amp;T133&amp;U133&amp;V133," ",""))</f>
        <v/>
      </c>
    </row>
    <row r="134">
      <c r="A134" s="15" t="inlineStr">
        <is>
          <t>INSERT INTO CNF_UNIT_FILTERING_TBL SELECT UNIT_ID, 15 FROM MST_UNIT_TBL WHERE UNIT_CODE = 'LF011';</t>
        </is>
      </c>
      <c r="B134" s="16" t="n"/>
      <c r="C134" s="15" t="inlineStr">
        <is>
          <t>CNF_UNIT_FILTERING_TBL</t>
        </is>
      </c>
      <c r="D134" s="15" t="inlineStr">
        <is>
          <t>UNIT_ID</t>
        </is>
      </c>
      <c r="E134" s="15" t="inlineStr">
        <is>
          <t>15</t>
        </is>
      </c>
      <c r="F134" s="15" t="inlineStr">
        <is>
          <t>MST_UNIT_TBL</t>
        </is>
      </c>
      <c r="G134" s="15" t="inlineStr">
        <is>
          <t>UNIT_CODE</t>
        </is>
      </c>
      <c r="H134" s="15" t="inlineStr">
        <is>
          <t>LF011</t>
        </is>
      </c>
      <c r="J134" s="15" t="inlineStr">
        <is>
          <t>LF011</t>
        </is>
      </c>
      <c r="K134" s="15" t="inlineStr">
        <is>
          <t>与信企画室</t>
        </is>
      </c>
      <c r="L134" s="15" t="inlineStr">
        <is>
          <t>588</t>
        </is>
      </c>
      <c r="M134" s="19">
        <f>"INSERT INTO "&amp;C134&amp;" VALUES("&amp;L134&amp;" , "&amp;E134&amp;");"</f>
        <v/>
      </c>
      <c r="O134" s="17" t="inlineStr">
        <is>
          <t>588</t>
        </is>
      </c>
      <c r="P134" s="17" t="inlineStr">
        <is>
          <t>15</t>
        </is>
      </c>
      <c r="R134" s="15" t="inlineStr">
        <is>
          <t>INSERT INTO</t>
        </is>
      </c>
      <c r="S134" s="15" t="inlineStr">
        <is>
          <t>CNF_UNIT_FILTERING_TBL</t>
        </is>
      </c>
      <c r="T134" s="15" t="inlineStr">
        <is>
          <t>VALUES(</t>
        </is>
      </c>
      <c r="U134" s="15" t="inlineStr">
        <is>
          <t>588 , 15</t>
        </is>
      </c>
      <c r="V134" s="15" t="inlineStr">
        <is>
          <t>);</t>
        </is>
      </c>
      <c r="X134" s="18">
        <f>EXACT(TRIM(L134&amp;""),O134&amp;"")</f>
        <v/>
      </c>
      <c r="Y134" s="18">
        <f>EXACT(TRIM(E134&amp;""),P134&amp;"")</f>
        <v/>
      </c>
      <c r="Z134" s="18">
        <f>AND(X134:Y134)</f>
        <v/>
      </c>
      <c r="AA134" s="19">
        <f>TRIM(IF(X134,"",$X$3&amp;" ")&amp;IF(Y134,"",$Y$3&amp;" "))</f>
        <v/>
      </c>
      <c r="AB134" s="18">
        <f>EXACT(SUBSTITUTE(M134," ",""),SUBSTITUTE(R134&amp;S134&amp;T134&amp;U134&amp;V134," ",""))</f>
        <v/>
      </c>
    </row>
    <row r="135">
      <c r="A135" s="15" t="inlineStr">
        <is>
          <t>INSERT INTO CNF_UNIT_FILTERING_TBL SELECT UNIT_ID, 16 FROM MST_UNIT_TBL WHERE UNIT_CODE = 'LF011';</t>
        </is>
      </c>
      <c r="B135" s="16" t="n"/>
      <c r="C135" s="15" t="inlineStr">
        <is>
          <t>CNF_UNIT_FILTERING_TBL</t>
        </is>
      </c>
      <c r="D135" s="15" t="inlineStr">
        <is>
          <t>UNIT_ID</t>
        </is>
      </c>
      <c r="E135" s="15" t="inlineStr">
        <is>
          <t>16</t>
        </is>
      </c>
      <c r="F135" s="15" t="inlineStr">
        <is>
          <t>MST_UNIT_TBL</t>
        </is>
      </c>
      <c r="G135" s="15" t="inlineStr">
        <is>
          <t>UNIT_CODE</t>
        </is>
      </c>
      <c r="H135" s="15" t="inlineStr">
        <is>
          <t>LF011</t>
        </is>
      </c>
      <c r="J135" s="15" t="inlineStr">
        <is>
          <t>LF011</t>
        </is>
      </c>
      <c r="K135" s="15" t="inlineStr">
        <is>
          <t>与信企画室</t>
        </is>
      </c>
      <c r="L135" s="15" t="inlineStr">
        <is>
          <t>588</t>
        </is>
      </c>
      <c r="M135" s="19">
        <f>"INSERT INTO "&amp;C135&amp;" VALUES("&amp;L135&amp;" , "&amp;E135&amp;");"</f>
        <v/>
      </c>
      <c r="O135" s="17" t="inlineStr">
        <is>
          <t>588</t>
        </is>
      </c>
      <c r="P135" s="17" t="inlineStr">
        <is>
          <t>16</t>
        </is>
      </c>
      <c r="R135" s="15" t="inlineStr">
        <is>
          <t>INSERT INTO</t>
        </is>
      </c>
      <c r="S135" s="15" t="inlineStr">
        <is>
          <t>CNF_UNIT_FILTERING_TBL</t>
        </is>
      </c>
      <c r="T135" s="15" t="inlineStr">
        <is>
          <t>VALUES(</t>
        </is>
      </c>
      <c r="U135" s="15" t="inlineStr">
        <is>
          <t>588 , 16</t>
        </is>
      </c>
      <c r="V135" s="15" t="inlineStr">
        <is>
          <t>);</t>
        </is>
      </c>
      <c r="X135" s="18">
        <f>EXACT(TRIM(L135&amp;""),O135&amp;"")</f>
        <v/>
      </c>
      <c r="Y135" s="18">
        <f>EXACT(TRIM(E135&amp;""),P135&amp;"")</f>
        <v/>
      </c>
      <c r="Z135" s="18">
        <f>AND(X135:Y135)</f>
        <v/>
      </c>
      <c r="AA135" s="19">
        <f>TRIM(IF(X135,"",$X$3&amp;" ")&amp;IF(Y135,"",$Y$3&amp;" "))</f>
        <v/>
      </c>
      <c r="AB135" s="18">
        <f>EXACT(SUBSTITUTE(M135," ",""),SUBSTITUTE(R135&amp;S135&amp;T135&amp;U135&amp;V135," ",""))</f>
        <v/>
      </c>
    </row>
    <row r="136">
      <c r="A136" s="15" t="inlineStr">
        <is>
          <t>INSERT INTO CNF_UNIT_FILTERING_TBL SELECT UNIT_ID, 1 FROM MST_UNIT_TBL WHERE UNIT_CODE = 'LF012';</t>
        </is>
      </c>
      <c r="B136" s="16" t="n"/>
      <c r="C136" s="15" t="inlineStr">
        <is>
          <t>CNF_UNIT_FILTERING_TBL</t>
        </is>
      </c>
      <c r="D136" s="15" t="inlineStr">
        <is>
          <t>UNIT_ID</t>
        </is>
      </c>
      <c r="E136" s="15" t="inlineStr">
        <is>
          <t>1</t>
        </is>
      </c>
      <c r="F136" s="15" t="inlineStr">
        <is>
          <t>MST_UNIT_TBL</t>
        </is>
      </c>
      <c r="G136" s="15" t="inlineStr">
        <is>
          <t>UNIT_CODE</t>
        </is>
      </c>
      <c r="H136" s="15" t="inlineStr">
        <is>
          <t>LF012</t>
        </is>
      </c>
      <c r="J136" s="15" t="inlineStr">
        <is>
          <t>LF012</t>
        </is>
      </c>
      <c r="K136" s="15" t="inlineStr">
        <is>
          <t>融資第一部</t>
        </is>
      </c>
      <c r="L136" s="15" t="inlineStr">
        <is>
          <t>589</t>
        </is>
      </c>
      <c r="M136" s="19">
        <f>"INSERT INTO "&amp;C136&amp;" VALUES("&amp;L136&amp;" , "&amp;E136&amp;");"</f>
        <v/>
      </c>
      <c r="O136" s="17" t="inlineStr">
        <is>
          <t>589</t>
        </is>
      </c>
      <c r="P136" s="17" t="inlineStr">
        <is>
          <t>1</t>
        </is>
      </c>
      <c r="R136" s="15" t="inlineStr">
        <is>
          <t>INSERT INTO</t>
        </is>
      </c>
      <c r="S136" s="15" t="inlineStr">
        <is>
          <t>CNF_UNIT_FILTERING_TBL</t>
        </is>
      </c>
      <c r="T136" s="15" t="inlineStr">
        <is>
          <t>VALUES(</t>
        </is>
      </c>
      <c r="U136" s="15" t="inlineStr">
        <is>
          <t>589 , 1</t>
        </is>
      </c>
      <c r="V136" s="15" t="inlineStr">
        <is>
          <t>);</t>
        </is>
      </c>
      <c r="X136" s="18">
        <f>EXACT(TRIM(L136&amp;""),O136&amp;"")</f>
        <v/>
      </c>
      <c r="Y136" s="18">
        <f>EXACT(TRIM(E136&amp;""),P136&amp;"")</f>
        <v/>
      </c>
      <c r="Z136" s="18">
        <f>AND(X136:Y136)</f>
        <v/>
      </c>
      <c r="AA136" s="19">
        <f>TRIM(IF(X136,"",$X$3&amp;" ")&amp;IF(Y136,"",$Y$3&amp;" "))</f>
        <v/>
      </c>
      <c r="AB136" s="18">
        <f>EXACT(SUBSTITUTE(M136," ",""),SUBSTITUTE(R136&amp;S136&amp;T136&amp;U136&amp;V136," ",""))</f>
        <v/>
      </c>
    </row>
    <row r="137">
      <c r="A137" s="15" t="inlineStr">
        <is>
          <t>INSERT INTO CNF_UNIT_FILTERING_TBL SELECT UNIT_ID, 4 FROM MST_UNIT_TBL WHERE UNIT_CODE = 'LF012';</t>
        </is>
      </c>
      <c r="B137" s="16" t="n"/>
      <c r="C137" s="15" t="inlineStr">
        <is>
          <t>CNF_UNIT_FILTERING_TBL</t>
        </is>
      </c>
      <c r="D137" s="15" t="inlineStr">
        <is>
          <t>UNIT_ID</t>
        </is>
      </c>
      <c r="E137" s="15" t="inlineStr">
        <is>
          <t>4</t>
        </is>
      </c>
      <c r="F137" s="15" t="inlineStr">
        <is>
          <t>MST_UNIT_TBL</t>
        </is>
      </c>
      <c r="G137" s="15" t="inlineStr">
        <is>
          <t>UNIT_CODE</t>
        </is>
      </c>
      <c r="H137" s="15" t="inlineStr">
        <is>
          <t>LF012</t>
        </is>
      </c>
      <c r="J137" s="15" t="inlineStr">
        <is>
          <t>LF012</t>
        </is>
      </c>
      <c r="K137" s="15" t="inlineStr">
        <is>
          <t>融資第一部</t>
        </is>
      </c>
      <c r="L137" s="15" t="inlineStr">
        <is>
          <t>589</t>
        </is>
      </c>
      <c r="M137" s="19">
        <f>"INSERT INTO "&amp;C137&amp;" VALUES("&amp;L137&amp;" , "&amp;E137&amp;");"</f>
        <v/>
      </c>
      <c r="O137" s="17" t="inlineStr">
        <is>
          <t>589</t>
        </is>
      </c>
      <c r="P137" s="17" t="inlineStr">
        <is>
          <t>4</t>
        </is>
      </c>
      <c r="R137" s="15" t="inlineStr">
        <is>
          <t>INSERT INTO</t>
        </is>
      </c>
      <c r="S137" s="15" t="inlineStr">
        <is>
          <t>CNF_UNIT_FILTERING_TBL</t>
        </is>
      </c>
      <c r="T137" s="15" t="inlineStr">
        <is>
          <t>VALUES(</t>
        </is>
      </c>
      <c r="U137" s="15" t="inlineStr">
        <is>
          <t>589 , 4</t>
        </is>
      </c>
      <c r="V137" s="15" t="inlineStr">
        <is>
          <t>);</t>
        </is>
      </c>
      <c r="X137" s="18">
        <f>EXACT(TRIM(L137&amp;""),O137&amp;"")</f>
        <v/>
      </c>
      <c r="Y137" s="18">
        <f>EXACT(TRIM(E137&amp;""),P137&amp;"")</f>
        <v/>
      </c>
      <c r="Z137" s="18">
        <f>AND(X137:Y137)</f>
        <v/>
      </c>
      <c r="AA137" s="19">
        <f>TRIM(IF(X137,"",$X$3&amp;" ")&amp;IF(Y137,"",$Y$3&amp;" "))</f>
        <v/>
      </c>
      <c r="AB137" s="18">
        <f>EXACT(SUBSTITUTE(M137," ",""),SUBSTITUTE(R137&amp;S137&amp;T137&amp;U137&amp;V137," ",""))</f>
        <v/>
      </c>
    </row>
    <row r="138">
      <c r="A138" s="15" t="inlineStr">
        <is>
          <t>INSERT INTO CNF_UNIT_FILTERING_TBL SELECT UNIT_ID, 5 FROM MST_UNIT_TBL WHERE UNIT_CODE = 'LF012';</t>
        </is>
      </c>
      <c r="B138" s="16" t="n"/>
      <c r="C138" s="15" t="inlineStr">
        <is>
          <t>CNF_UNIT_FILTERING_TBL</t>
        </is>
      </c>
      <c r="D138" s="15" t="inlineStr">
        <is>
          <t>UNIT_ID</t>
        </is>
      </c>
      <c r="E138" s="15" t="inlineStr">
        <is>
          <t>5</t>
        </is>
      </c>
      <c r="F138" s="15" t="inlineStr">
        <is>
          <t>MST_UNIT_TBL</t>
        </is>
      </c>
      <c r="G138" s="15" t="inlineStr">
        <is>
          <t>UNIT_CODE</t>
        </is>
      </c>
      <c r="H138" s="15" t="inlineStr">
        <is>
          <t>LF012</t>
        </is>
      </c>
      <c r="J138" s="15" t="inlineStr">
        <is>
          <t>LF012</t>
        </is>
      </c>
      <c r="K138" s="15" t="inlineStr">
        <is>
          <t>融資第一部</t>
        </is>
      </c>
      <c r="L138" s="15" t="inlineStr">
        <is>
          <t>589</t>
        </is>
      </c>
      <c r="M138" s="19">
        <f>"INSERT INTO "&amp;C138&amp;" VALUES("&amp;L138&amp;" , "&amp;E138&amp;");"</f>
        <v/>
      </c>
      <c r="O138" s="17" t="inlineStr">
        <is>
          <t>589</t>
        </is>
      </c>
      <c r="P138" s="17" t="inlineStr">
        <is>
          <t>5</t>
        </is>
      </c>
      <c r="R138" s="15" t="inlineStr">
        <is>
          <t>INSERT INTO</t>
        </is>
      </c>
      <c r="S138" s="15" t="inlineStr">
        <is>
          <t>CNF_UNIT_FILTERING_TBL</t>
        </is>
      </c>
      <c r="T138" s="15" t="inlineStr">
        <is>
          <t>VALUES(</t>
        </is>
      </c>
      <c r="U138" s="15" t="inlineStr">
        <is>
          <t>589 , 5</t>
        </is>
      </c>
      <c r="V138" s="15" t="inlineStr">
        <is>
          <t>);</t>
        </is>
      </c>
      <c r="X138" s="18">
        <f>EXACT(TRIM(L138&amp;""),O138&amp;"")</f>
        <v/>
      </c>
      <c r="Y138" s="18">
        <f>EXACT(TRIM(E138&amp;""),P138&amp;"")</f>
        <v/>
      </c>
      <c r="Z138" s="18">
        <f>AND(X138:Y138)</f>
        <v/>
      </c>
      <c r="AA138" s="19">
        <f>TRIM(IF(X138,"",$X$3&amp;" ")&amp;IF(Y138,"",$Y$3&amp;" "))</f>
        <v/>
      </c>
      <c r="AB138" s="18">
        <f>EXACT(SUBSTITUTE(M138," ",""),SUBSTITUTE(R138&amp;S138&amp;T138&amp;U138&amp;V138," ",""))</f>
        <v/>
      </c>
    </row>
    <row r="139">
      <c r="A139" s="15" t="inlineStr">
        <is>
          <t>INSERT INTO CNF_UNIT_FILTERING_TBL SELECT UNIT_ID, 7 FROM MST_UNIT_TBL WHERE UNIT_CODE = 'LF012';</t>
        </is>
      </c>
      <c r="B139" s="16" t="n"/>
      <c r="C139" s="15" t="inlineStr">
        <is>
          <t>CNF_UNIT_FILTERING_TBL</t>
        </is>
      </c>
      <c r="D139" s="15" t="inlineStr">
        <is>
          <t>UNIT_ID</t>
        </is>
      </c>
      <c r="E139" s="15" t="inlineStr">
        <is>
          <t>7</t>
        </is>
      </c>
      <c r="F139" s="15" t="inlineStr">
        <is>
          <t>MST_UNIT_TBL</t>
        </is>
      </c>
      <c r="G139" s="15" t="inlineStr">
        <is>
          <t>UNIT_CODE</t>
        </is>
      </c>
      <c r="H139" s="15" t="inlineStr">
        <is>
          <t>LF012</t>
        </is>
      </c>
      <c r="J139" s="15" t="inlineStr">
        <is>
          <t>LF012</t>
        </is>
      </c>
      <c r="K139" s="15" t="inlineStr">
        <is>
          <t>融資第一部</t>
        </is>
      </c>
      <c r="L139" s="15" t="inlineStr">
        <is>
          <t>589</t>
        </is>
      </c>
      <c r="M139" s="19">
        <f>"INSERT INTO "&amp;C139&amp;" VALUES("&amp;L139&amp;" , "&amp;E139&amp;");"</f>
        <v/>
      </c>
      <c r="O139" s="17" t="inlineStr">
        <is>
          <t>589</t>
        </is>
      </c>
      <c r="P139" s="17" t="inlineStr">
        <is>
          <t>7</t>
        </is>
      </c>
      <c r="R139" s="15" t="inlineStr">
        <is>
          <t>INSERT INTO</t>
        </is>
      </c>
      <c r="S139" s="15" t="inlineStr">
        <is>
          <t>CNF_UNIT_FILTERING_TBL</t>
        </is>
      </c>
      <c r="T139" s="15" t="inlineStr">
        <is>
          <t>VALUES(</t>
        </is>
      </c>
      <c r="U139" s="15" t="inlineStr">
        <is>
          <t>589 , 7</t>
        </is>
      </c>
      <c r="V139" s="15" t="inlineStr">
        <is>
          <t>);</t>
        </is>
      </c>
      <c r="X139" s="18">
        <f>EXACT(TRIM(L139&amp;""),O139&amp;"")</f>
        <v/>
      </c>
      <c r="Y139" s="18">
        <f>EXACT(TRIM(E139&amp;""),P139&amp;"")</f>
        <v/>
      </c>
      <c r="Z139" s="18">
        <f>AND(X139:Y139)</f>
        <v/>
      </c>
      <c r="AA139" s="19">
        <f>TRIM(IF(X139,"",$X$3&amp;" ")&amp;IF(Y139,"",$Y$3&amp;" "))</f>
        <v/>
      </c>
      <c r="AB139" s="18">
        <f>EXACT(SUBSTITUTE(M139," ",""),SUBSTITUTE(R139&amp;S139&amp;T139&amp;U139&amp;V139," ",""))</f>
        <v/>
      </c>
    </row>
    <row r="140">
      <c r="A140" s="15" t="inlineStr">
        <is>
          <t>INSERT INTO CNF_UNIT_FILTERING_TBL SELECT UNIT_ID, 8 FROM MST_UNIT_TBL WHERE UNIT_CODE = 'LF012';</t>
        </is>
      </c>
      <c r="B140" s="16" t="n"/>
      <c r="C140" s="15" t="inlineStr">
        <is>
          <t>CNF_UNIT_FILTERING_TBL</t>
        </is>
      </c>
      <c r="D140" s="15" t="inlineStr">
        <is>
          <t>UNIT_ID</t>
        </is>
      </c>
      <c r="E140" s="15" t="inlineStr">
        <is>
          <t>8</t>
        </is>
      </c>
      <c r="F140" s="15" t="inlineStr">
        <is>
          <t>MST_UNIT_TBL</t>
        </is>
      </c>
      <c r="G140" s="15" t="inlineStr">
        <is>
          <t>UNIT_CODE</t>
        </is>
      </c>
      <c r="H140" s="15" t="inlineStr">
        <is>
          <t>LF012</t>
        </is>
      </c>
      <c r="J140" s="15" t="inlineStr">
        <is>
          <t>LF012</t>
        </is>
      </c>
      <c r="K140" s="15" t="inlineStr">
        <is>
          <t>融資第一部</t>
        </is>
      </c>
      <c r="L140" s="15" t="inlineStr">
        <is>
          <t>589</t>
        </is>
      </c>
      <c r="M140" s="19">
        <f>"INSERT INTO "&amp;C140&amp;" VALUES("&amp;L140&amp;" , "&amp;E140&amp;");"</f>
        <v/>
      </c>
      <c r="O140" s="17" t="inlineStr">
        <is>
          <t>589</t>
        </is>
      </c>
      <c r="P140" s="17" t="inlineStr">
        <is>
          <t>8</t>
        </is>
      </c>
      <c r="R140" s="15" t="inlineStr">
        <is>
          <t>INSERT INTO</t>
        </is>
      </c>
      <c r="S140" s="15" t="inlineStr">
        <is>
          <t>CNF_UNIT_FILTERING_TBL</t>
        </is>
      </c>
      <c r="T140" s="15" t="inlineStr">
        <is>
          <t>VALUES(</t>
        </is>
      </c>
      <c r="U140" s="15" t="inlineStr">
        <is>
          <t>589 , 8</t>
        </is>
      </c>
      <c r="V140" s="15" t="inlineStr">
        <is>
          <t>);</t>
        </is>
      </c>
      <c r="X140" s="18">
        <f>EXACT(TRIM(L140&amp;""),O140&amp;"")</f>
        <v/>
      </c>
      <c r="Y140" s="18">
        <f>EXACT(TRIM(E140&amp;""),P140&amp;"")</f>
        <v/>
      </c>
      <c r="Z140" s="18">
        <f>AND(X140:Y140)</f>
        <v/>
      </c>
      <c r="AA140" s="19">
        <f>TRIM(IF(X140,"",$X$3&amp;" ")&amp;IF(Y140,"",$Y$3&amp;" "))</f>
        <v/>
      </c>
      <c r="AB140" s="18">
        <f>EXACT(SUBSTITUTE(M140," ",""),SUBSTITUTE(R140&amp;S140&amp;T140&amp;U140&amp;V140," ",""))</f>
        <v/>
      </c>
    </row>
    <row r="141">
      <c r="A141" s="15" t="inlineStr">
        <is>
          <t>INSERT INTO CNF_UNIT_FILTERING_TBL SELECT UNIT_ID, 9 FROM MST_UNIT_TBL WHERE UNIT_CODE = 'LF012';</t>
        </is>
      </c>
      <c r="B141" s="16" t="n"/>
      <c r="C141" s="15" t="inlineStr">
        <is>
          <t>CNF_UNIT_FILTERING_TBL</t>
        </is>
      </c>
      <c r="D141" s="15" t="inlineStr">
        <is>
          <t>UNIT_ID</t>
        </is>
      </c>
      <c r="E141" s="15" t="inlineStr">
        <is>
          <t>9</t>
        </is>
      </c>
      <c r="F141" s="15" t="inlineStr">
        <is>
          <t>MST_UNIT_TBL</t>
        </is>
      </c>
      <c r="G141" s="15" t="inlineStr">
        <is>
          <t>UNIT_CODE</t>
        </is>
      </c>
      <c r="H141" s="15" t="inlineStr">
        <is>
          <t>LF012</t>
        </is>
      </c>
      <c r="J141" s="15" t="inlineStr">
        <is>
          <t>LF012</t>
        </is>
      </c>
      <c r="K141" s="15" t="inlineStr">
        <is>
          <t>融資第一部</t>
        </is>
      </c>
      <c r="L141" s="15" t="inlineStr">
        <is>
          <t>589</t>
        </is>
      </c>
      <c r="M141" s="19">
        <f>"INSERT INTO "&amp;C141&amp;" VALUES("&amp;L141&amp;" , "&amp;E141&amp;");"</f>
        <v/>
      </c>
      <c r="O141" s="17" t="inlineStr">
        <is>
          <t>589</t>
        </is>
      </c>
      <c r="P141" s="17" t="inlineStr">
        <is>
          <t>9</t>
        </is>
      </c>
      <c r="R141" s="15" t="inlineStr">
        <is>
          <t>INSERT INTO</t>
        </is>
      </c>
      <c r="S141" s="15" t="inlineStr">
        <is>
          <t>CNF_UNIT_FILTERING_TBL</t>
        </is>
      </c>
      <c r="T141" s="15" t="inlineStr">
        <is>
          <t>VALUES(</t>
        </is>
      </c>
      <c r="U141" s="15" t="inlineStr">
        <is>
          <t>589 , 9</t>
        </is>
      </c>
      <c r="V141" s="15" t="inlineStr">
        <is>
          <t>);</t>
        </is>
      </c>
      <c r="X141" s="18">
        <f>EXACT(TRIM(L141&amp;""),O141&amp;"")</f>
        <v/>
      </c>
      <c r="Y141" s="18">
        <f>EXACT(TRIM(E141&amp;""),P141&amp;"")</f>
        <v/>
      </c>
      <c r="Z141" s="18">
        <f>AND(X141:Y141)</f>
        <v/>
      </c>
      <c r="AA141" s="19">
        <f>TRIM(IF(X141,"",$X$3&amp;" ")&amp;IF(Y141,"",$Y$3&amp;" "))</f>
        <v/>
      </c>
      <c r="AB141" s="18">
        <f>EXACT(SUBSTITUTE(M141," ",""),SUBSTITUTE(R141&amp;S141&amp;T141&amp;U141&amp;V141," ",""))</f>
        <v/>
      </c>
    </row>
    <row r="142">
      <c r="A142" s="15" t="inlineStr">
        <is>
          <t>INSERT INTO CNF_UNIT_FILTERING_TBL SELECT UNIT_ID, 11 FROM MST_UNIT_TBL WHERE UNIT_CODE = 'LF012';</t>
        </is>
      </c>
      <c r="B142" s="16" t="n"/>
      <c r="C142" s="15" t="inlineStr">
        <is>
          <t>CNF_UNIT_FILTERING_TBL</t>
        </is>
      </c>
      <c r="D142" s="15" t="inlineStr">
        <is>
          <t>UNIT_ID</t>
        </is>
      </c>
      <c r="E142" s="15" t="inlineStr">
        <is>
          <t>11</t>
        </is>
      </c>
      <c r="F142" s="15" t="inlineStr">
        <is>
          <t>MST_UNIT_TBL</t>
        </is>
      </c>
      <c r="G142" s="15" t="inlineStr">
        <is>
          <t>UNIT_CODE</t>
        </is>
      </c>
      <c r="H142" s="15" t="inlineStr">
        <is>
          <t>LF012</t>
        </is>
      </c>
      <c r="J142" s="15" t="inlineStr">
        <is>
          <t>LF012</t>
        </is>
      </c>
      <c r="K142" s="15" t="inlineStr">
        <is>
          <t>融資第一部</t>
        </is>
      </c>
      <c r="L142" s="15" t="inlineStr">
        <is>
          <t>589</t>
        </is>
      </c>
      <c r="M142" s="19">
        <f>"INSERT INTO "&amp;C142&amp;" VALUES("&amp;L142&amp;" , "&amp;E142&amp;");"</f>
        <v/>
      </c>
      <c r="O142" s="17" t="inlineStr">
        <is>
          <t>589</t>
        </is>
      </c>
      <c r="P142" s="17" t="inlineStr">
        <is>
          <t>11</t>
        </is>
      </c>
      <c r="R142" s="15" t="inlineStr">
        <is>
          <t>INSERT INTO</t>
        </is>
      </c>
      <c r="S142" s="15" t="inlineStr">
        <is>
          <t>CNF_UNIT_FILTERING_TBL</t>
        </is>
      </c>
      <c r="T142" s="15" t="inlineStr">
        <is>
          <t>VALUES(</t>
        </is>
      </c>
      <c r="U142" s="15" t="inlineStr">
        <is>
          <t>589 , 11</t>
        </is>
      </c>
      <c r="V142" s="15" t="inlineStr">
        <is>
          <t>);</t>
        </is>
      </c>
      <c r="X142" s="18">
        <f>EXACT(TRIM(L142&amp;""),O142&amp;"")</f>
        <v/>
      </c>
      <c r="Y142" s="18">
        <f>EXACT(TRIM(E142&amp;""),P142&amp;"")</f>
        <v/>
      </c>
      <c r="Z142" s="18">
        <f>AND(X142:Y142)</f>
        <v/>
      </c>
      <c r="AA142" s="19">
        <f>TRIM(IF(X142,"",$X$3&amp;" ")&amp;IF(Y142,"",$Y$3&amp;" "))</f>
        <v/>
      </c>
      <c r="AB142" s="18">
        <f>EXACT(SUBSTITUTE(M142," ",""),SUBSTITUTE(R142&amp;S142&amp;T142&amp;U142&amp;V142," ",""))</f>
        <v/>
      </c>
    </row>
    <row r="143">
      <c r="A143" s="15" t="inlineStr">
        <is>
          <t>INSERT INTO CNF_UNIT_FILTERING_TBL SELECT UNIT_ID, 12 FROM MST_UNIT_TBL WHERE UNIT_CODE = 'LF012';</t>
        </is>
      </c>
      <c r="B143" s="16" t="n"/>
      <c r="C143" s="15" t="inlineStr">
        <is>
          <t>CNF_UNIT_FILTERING_TBL</t>
        </is>
      </c>
      <c r="D143" s="15" t="inlineStr">
        <is>
          <t>UNIT_ID</t>
        </is>
      </c>
      <c r="E143" s="15" t="inlineStr">
        <is>
          <t>12</t>
        </is>
      </c>
      <c r="F143" s="15" t="inlineStr">
        <is>
          <t>MST_UNIT_TBL</t>
        </is>
      </c>
      <c r="G143" s="15" t="inlineStr">
        <is>
          <t>UNIT_CODE</t>
        </is>
      </c>
      <c r="H143" s="15" t="inlineStr">
        <is>
          <t>LF012</t>
        </is>
      </c>
      <c r="J143" s="15" t="inlineStr">
        <is>
          <t>LF012</t>
        </is>
      </c>
      <c r="K143" s="15" t="inlineStr">
        <is>
          <t>融資第一部</t>
        </is>
      </c>
      <c r="L143" s="15" t="inlineStr">
        <is>
          <t>589</t>
        </is>
      </c>
      <c r="M143" s="19">
        <f>"INSERT INTO "&amp;C143&amp;" VALUES("&amp;L143&amp;" , "&amp;E143&amp;");"</f>
        <v/>
      </c>
      <c r="O143" s="17" t="inlineStr">
        <is>
          <t>589</t>
        </is>
      </c>
      <c r="P143" s="17" t="inlineStr">
        <is>
          <t>12</t>
        </is>
      </c>
      <c r="R143" s="15" t="inlineStr">
        <is>
          <t>INSERT INTO</t>
        </is>
      </c>
      <c r="S143" s="15" t="inlineStr">
        <is>
          <t>CNF_UNIT_FILTERING_TBL</t>
        </is>
      </c>
      <c r="T143" s="15" t="inlineStr">
        <is>
          <t>VALUES(</t>
        </is>
      </c>
      <c r="U143" s="15" t="inlineStr">
        <is>
          <t>589 , 12</t>
        </is>
      </c>
      <c r="V143" s="15" t="inlineStr">
        <is>
          <t>);</t>
        </is>
      </c>
      <c r="X143" s="18">
        <f>EXACT(TRIM(L143&amp;""),O143&amp;"")</f>
        <v/>
      </c>
      <c r="Y143" s="18">
        <f>EXACT(TRIM(E143&amp;""),P143&amp;"")</f>
        <v/>
      </c>
      <c r="Z143" s="18">
        <f>AND(X143:Y143)</f>
        <v/>
      </c>
      <c r="AA143" s="19">
        <f>TRIM(IF(X143,"",$X$3&amp;" ")&amp;IF(Y143,"",$Y$3&amp;" "))</f>
        <v/>
      </c>
      <c r="AB143" s="18">
        <f>EXACT(SUBSTITUTE(M143," ",""),SUBSTITUTE(R143&amp;S143&amp;T143&amp;U143&amp;V143," ",""))</f>
        <v/>
      </c>
    </row>
    <row r="144">
      <c r="A144" s="15" t="inlineStr">
        <is>
          <t>INSERT INTO CNF_UNIT_FILTERING_TBL SELECT UNIT_ID, 13 FROM MST_UNIT_TBL WHERE UNIT_CODE = 'LF012';</t>
        </is>
      </c>
      <c r="B144" s="16" t="n"/>
      <c r="C144" s="15" t="inlineStr">
        <is>
          <t>CNF_UNIT_FILTERING_TBL</t>
        </is>
      </c>
      <c r="D144" s="15" t="inlineStr">
        <is>
          <t>UNIT_ID</t>
        </is>
      </c>
      <c r="E144" s="15" t="inlineStr">
        <is>
          <t>13</t>
        </is>
      </c>
      <c r="F144" s="15" t="inlineStr">
        <is>
          <t>MST_UNIT_TBL</t>
        </is>
      </c>
      <c r="G144" s="15" t="inlineStr">
        <is>
          <t>UNIT_CODE</t>
        </is>
      </c>
      <c r="H144" s="15" t="inlineStr">
        <is>
          <t>LF012</t>
        </is>
      </c>
      <c r="J144" s="15" t="inlineStr">
        <is>
          <t>LF012</t>
        </is>
      </c>
      <c r="K144" s="15" t="inlineStr">
        <is>
          <t>融資第一部</t>
        </is>
      </c>
      <c r="L144" s="15" t="inlineStr">
        <is>
          <t>589</t>
        </is>
      </c>
      <c r="M144" s="19">
        <f>"INSERT INTO "&amp;C144&amp;" VALUES("&amp;L144&amp;" , "&amp;E144&amp;");"</f>
        <v/>
      </c>
      <c r="O144" s="17" t="inlineStr">
        <is>
          <t>589</t>
        </is>
      </c>
      <c r="P144" s="17" t="inlineStr">
        <is>
          <t>13</t>
        </is>
      </c>
      <c r="R144" s="15" t="inlineStr">
        <is>
          <t>INSERT INTO</t>
        </is>
      </c>
      <c r="S144" s="15" t="inlineStr">
        <is>
          <t>CNF_UNIT_FILTERING_TBL</t>
        </is>
      </c>
      <c r="T144" s="15" t="inlineStr">
        <is>
          <t>VALUES(</t>
        </is>
      </c>
      <c r="U144" s="15" t="inlineStr">
        <is>
          <t>589 , 13</t>
        </is>
      </c>
      <c r="V144" s="15" t="inlineStr">
        <is>
          <t>);</t>
        </is>
      </c>
      <c r="X144" s="18">
        <f>EXACT(TRIM(L144&amp;""),O144&amp;"")</f>
        <v/>
      </c>
      <c r="Y144" s="18">
        <f>EXACT(TRIM(E144&amp;""),P144&amp;"")</f>
        <v/>
      </c>
      <c r="Z144" s="18">
        <f>AND(X144:Y144)</f>
        <v/>
      </c>
      <c r="AA144" s="19">
        <f>TRIM(IF(X144,"",$X$3&amp;" ")&amp;IF(Y144,"",$Y$3&amp;" "))</f>
        <v/>
      </c>
      <c r="AB144" s="18">
        <f>EXACT(SUBSTITUTE(M144," ",""),SUBSTITUTE(R144&amp;S144&amp;T144&amp;U144&amp;V144," ",""))</f>
        <v/>
      </c>
    </row>
    <row r="145">
      <c r="A145" s="15" t="inlineStr">
        <is>
          <t>INSERT INTO CNF_UNIT_FILTERING_TBL SELECT UNIT_ID, 14 FROM MST_UNIT_TBL WHERE UNIT_CODE = 'LF012';</t>
        </is>
      </c>
      <c r="B145" s="16" t="n"/>
      <c r="C145" s="15" t="inlineStr">
        <is>
          <t>CNF_UNIT_FILTERING_TBL</t>
        </is>
      </c>
      <c r="D145" s="15" t="inlineStr">
        <is>
          <t>UNIT_ID</t>
        </is>
      </c>
      <c r="E145" s="15" t="inlineStr">
        <is>
          <t>14</t>
        </is>
      </c>
      <c r="F145" s="15" t="inlineStr">
        <is>
          <t>MST_UNIT_TBL</t>
        </is>
      </c>
      <c r="G145" s="15" t="inlineStr">
        <is>
          <t>UNIT_CODE</t>
        </is>
      </c>
      <c r="H145" s="15" t="inlineStr">
        <is>
          <t>LF012</t>
        </is>
      </c>
      <c r="J145" s="15" t="inlineStr">
        <is>
          <t>LF012</t>
        </is>
      </c>
      <c r="K145" s="15" t="inlineStr">
        <is>
          <t>融資第一部</t>
        </is>
      </c>
      <c r="L145" s="15" t="inlineStr">
        <is>
          <t>589</t>
        </is>
      </c>
      <c r="M145" s="19">
        <f>"INSERT INTO "&amp;C145&amp;" VALUES("&amp;L145&amp;" , "&amp;E145&amp;");"</f>
        <v/>
      </c>
      <c r="O145" s="17" t="inlineStr">
        <is>
          <t>589</t>
        </is>
      </c>
      <c r="P145" s="17" t="inlineStr">
        <is>
          <t>14</t>
        </is>
      </c>
      <c r="R145" s="15" t="inlineStr">
        <is>
          <t>INSERT INTO</t>
        </is>
      </c>
      <c r="S145" s="15" t="inlineStr">
        <is>
          <t>CNF_UNIT_FILTERING_TBL</t>
        </is>
      </c>
      <c r="T145" s="15" t="inlineStr">
        <is>
          <t>VALUES(</t>
        </is>
      </c>
      <c r="U145" s="15" t="inlineStr">
        <is>
          <t>589 , 14</t>
        </is>
      </c>
      <c r="V145" s="15" t="inlineStr">
        <is>
          <t>);</t>
        </is>
      </c>
      <c r="X145" s="18">
        <f>EXACT(TRIM(L145&amp;""),O145&amp;"")</f>
        <v/>
      </c>
      <c r="Y145" s="18">
        <f>EXACT(TRIM(E145&amp;""),P145&amp;"")</f>
        <v/>
      </c>
      <c r="Z145" s="18">
        <f>AND(X145:Y145)</f>
        <v/>
      </c>
      <c r="AA145" s="19">
        <f>TRIM(IF(X145,"",$X$3&amp;" ")&amp;IF(Y145,"",$Y$3&amp;" "))</f>
        <v/>
      </c>
      <c r="AB145" s="18">
        <f>EXACT(SUBSTITUTE(M145," ",""),SUBSTITUTE(R145&amp;S145&amp;T145&amp;U145&amp;V145," ",""))</f>
        <v/>
      </c>
    </row>
    <row r="146">
      <c r="A146" s="15" t="inlineStr">
        <is>
          <t>INSERT INTO CNF_UNIT_FILTERING_TBL SELECT UNIT_ID, 15 FROM MST_UNIT_TBL WHERE UNIT_CODE = 'LF012';</t>
        </is>
      </c>
      <c r="B146" s="16" t="n"/>
      <c r="C146" s="15" t="inlineStr">
        <is>
          <t>CNF_UNIT_FILTERING_TBL</t>
        </is>
      </c>
      <c r="D146" s="15" t="inlineStr">
        <is>
          <t>UNIT_ID</t>
        </is>
      </c>
      <c r="E146" s="15" t="inlineStr">
        <is>
          <t>15</t>
        </is>
      </c>
      <c r="F146" s="15" t="inlineStr">
        <is>
          <t>MST_UNIT_TBL</t>
        </is>
      </c>
      <c r="G146" s="15" t="inlineStr">
        <is>
          <t>UNIT_CODE</t>
        </is>
      </c>
      <c r="H146" s="15" t="inlineStr">
        <is>
          <t>LF012</t>
        </is>
      </c>
      <c r="J146" s="15" t="inlineStr">
        <is>
          <t>LF012</t>
        </is>
      </c>
      <c r="K146" s="15" t="inlineStr">
        <is>
          <t>融資第一部</t>
        </is>
      </c>
      <c r="L146" s="15" t="inlineStr">
        <is>
          <t>589</t>
        </is>
      </c>
      <c r="M146" s="19">
        <f>"INSERT INTO "&amp;C146&amp;" VALUES("&amp;L146&amp;" , "&amp;E146&amp;");"</f>
        <v/>
      </c>
      <c r="O146" s="17" t="inlineStr">
        <is>
          <t>589</t>
        </is>
      </c>
      <c r="P146" s="17" t="inlineStr">
        <is>
          <t>15</t>
        </is>
      </c>
      <c r="R146" s="15" t="inlineStr">
        <is>
          <t>INSERT INTO</t>
        </is>
      </c>
      <c r="S146" s="15" t="inlineStr">
        <is>
          <t>CNF_UNIT_FILTERING_TBL</t>
        </is>
      </c>
      <c r="T146" s="15" t="inlineStr">
        <is>
          <t>VALUES(</t>
        </is>
      </c>
      <c r="U146" s="15" t="inlineStr">
        <is>
          <t>589 , 15</t>
        </is>
      </c>
      <c r="V146" s="15" t="inlineStr">
        <is>
          <t>);</t>
        </is>
      </c>
      <c r="X146" s="18">
        <f>EXACT(TRIM(L146&amp;""),O146&amp;"")</f>
        <v/>
      </c>
      <c r="Y146" s="18">
        <f>EXACT(TRIM(E146&amp;""),P146&amp;"")</f>
        <v/>
      </c>
      <c r="Z146" s="18">
        <f>AND(X146:Y146)</f>
        <v/>
      </c>
      <c r="AA146" s="19">
        <f>TRIM(IF(X146,"",$X$3&amp;" ")&amp;IF(Y146,"",$Y$3&amp;" "))</f>
        <v/>
      </c>
      <c r="AB146" s="18">
        <f>EXACT(SUBSTITUTE(M146," ",""),SUBSTITUTE(R146&amp;S146&amp;T146&amp;U146&amp;V146," ",""))</f>
        <v/>
      </c>
    </row>
    <row r="147">
      <c r="A147" s="15" t="inlineStr">
        <is>
          <t>INSERT INTO CNF_UNIT_FILTERING_TBL SELECT UNIT_ID, 16 FROM MST_UNIT_TBL WHERE UNIT_CODE = 'LF012';</t>
        </is>
      </c>
      <c r="B147" s="16" t="n"/>
      <c r="C147" s="15" t="inlineStr">
        <is>
          <t>CNF_UNIT_FILTERING_TBL</t>
        </is>
      </c>
      <c r="D147" s="15" t="inlineStr">
        <is>
          <t>UNIT_ID</t>
        </is>
      </c>
      <c r="E147" s="15" t="inlineStr">
        <is>
          <t>16</t>
        </is>
      </c>
      <c r="F147" s="15" t="inlineStr">
        <is>
          <t>MST_UNIT_TBL</t>
        </is>
      </c>
      <c r="G147" s="15" t="inlineStr">
        <is>
          <t>UNIT_CODE</t>
        </is>
      </c>
      <c r="H147" s="15" t="inlineStr">
        <is>
          <t>LF012</t>
        </is>
      </c>
      <c r="J147" s="15" t="inlineStr">
        <is>
          <t>LF012</t>
        </is>
      </c>
      <c r="K147" s="15" t="inlineStr">
        <is>
          <t>融資第一部</t>
        </is>
      </c>
      <c r="L147" s="15" t="inlineStr">
        <is>
          <t>589</t>
        </is>
      </c>
      <c r="M147" s="19">
        <f>"INSERT INTO "&amp;C147&amp;" VALUES("&amp;L147&amp;" , "&amp;E147&amp;");"</f>
        <v/>
      </c>
      <c r="O147" s="17" t="inlineStr">
        <is>
          <t>589</t>
        </is>
      </c>
      <c r="P147" s="17" t="inlineStr">
        <is>
          <t>16</t>
        </is>
      </c>
      <c r="R147" s="15" t="inlineStr">
        <is>
          <t>INSERT INTO</t>
        </is>
      </c>
      <c r="S147" s="15" t="inlineStr">
        <is>
          <t>CNF_UNIT_FILTERING_TBL</t>
        </is>
      </c>
      <c r="T147" s="15" t="inlineStr">
        <is>
          <t>VALUES(</t>
        </is>
      </c>
      <c r="U147" s="15" t="inlineStr">
        <is>
          <t>589 , 16</t>
        </is>
      </c>
      <c r="V147" s="15" t="inlineStr">
        <is>
          <t>);</t>
        </is>
      </c>
      <c r="X147" s="18">
        <f>EXACT(TRIM(L147&amp;""),O147&amp;"")</f>
        <v/>
      </c>
      <c r="Y147" s="18">
        <f>EXACT(TRIM(E147&amp;""),P147&amp;"")</f>
        <v/>
      </c>
      <c r="Z147" s="18">
        <f>AND(X147:Y147)</f>
        <v/>
      </c>
      <c r="AA147" s="19">
        <f>TRIM(IF(X147,"",$X$3&amp;" ")&amp;IF(Y147,"",$Y$3&amp;" "))</f>
        <v/>
      </c>
      <c r="AB147" s="18">
        <f>EXACT(SUBSTITUTE(M147," ",""),SUBSTITUTE(R147&amp;S147&amp;T147&amp;U147&amp;V147," ",""))</f>
        <v/>
      </c>
    </row>
    <row r="148">
      <c r="A148" s="15" t="inlineStr">
        <is>
          <t>INSERT INTO CNF_UNIT_FILTERING_TBL SELECT UNIT_ID, 1 FROM MST_UNIT_TBL WHERE UNIT_CODE = 'LF013';</t>
        </is>
      </c>
      <c r="B148" s="16" t="n"/>
      <c r="C148" s="15" t="inlineStr">
        <is>
          <t>CNF_UNIT_FILTERING_TBL</t>
        </is>
      </c>
      <c r="D148" s="15" t="inlineStr">
        <is>
          <t>UNIT_ID</t>
        </is>
      </c>
      <c r="E148" s="15" t="inlineStr">
        <is>
          <t>1</t>
        </is>
      </c>
      <c r="F148" s="15" t="inlineStr">
        <is>
          <t>MST_UNIT_TBL</t>
        </is>
      </c>
      <c r="G148" s="15" t="inlineStr">
        <is>
          <t>UNIT_CODE</t>
        </is>
      </c>
      <c r="H148" s="15" t="inlineStr">
        <is>
          <t>LF013</t>
        </is>
      </c>
      <c r="J148" s="15" t="inlineStr">
        <is>
          <t>LF013</t>
        </is>
      </c>
      <c r="K148" s="15" t="inlineStr">
        <is>
          <t>融資第二部</t>
        </is>
      </c>
      <c r="L148" s="15" t="inlineStr">
        <is>
          <t>590</t>
        </is>
      </c>
      <c r="M148" s="19">
        <f>"INSERT INTO "&amp;C148&amp;" VALUES("&amp;L148&amp;" , "&amp;E148&amp;");"</f>
        <v/>
      </c>
      <c r="O148" s="17" t="inlineStr">
        <is>
          <t>590</t>
        </is>
      </c>
      <c r="P148" s="17" t="inlineStr">
        <is>
          <t>1</t>
        </is>
      </c>
      <c r="R148" s="15" t="inlineStr">
        <is>
          <t>INSERT INTO</t>
        </is>
      </c>
      <c r="S148" s="15" t="inlineStr">
        <is>
          <t>CNF_UNIT_FILTERING_TBL</t>
        </is>
      </c>
      <c r="T148" s="15" t="inlineStr">
        <is>
          <t>VALUES(</t>
        </is>
      </c>
      <c r="U148" s="15" t="inlineStr">
        <is>
          <t>590 , 1</t>
        </is>
      </c>
      <c r="V148" s="15" t="inlineStr">
        <is>
          <t>);</t>
        </is>
      </c>
      <c r="X148" s="18">
        <f>EXACT(TRIM(L148&amp;""),O148&amp;"")</f>
        <v/>
      </c>
      <c r="Y148" s="18">
        <f>EXACT(TRIM(E148&amp;""),P148&amp;"")</f>
        <v/>
      </c>
      <c r="Z148" s="18">
        <f>AND(X148:Y148)</f>
        <v/>
      </c>
      <c r="AA148" s="19">
        <f>TRIM(IF(X148,"",$X$3&amp;" ")&amp;IF(Y148,"",$Y$3&amp;" "))</f>
        <v/>
      </c>
      <c r="AB148" s="18">
        <f>EXACT(SUBSTITUTE(M148," ",""),SUBSTITUTE(R148&amp;S148&amp;T148&amp;U148&amp;V148," ",""))</f>
        <v/>
      </c>
    </row>
    <row r="149">
      <c r="A149" s="15" t="inlineStr">
        <is>
          <t>INSERT INTO CNF_UNIT_FILTERING_TBL SELECT UNIT_ID, 4 FROM MST_UNIT_TBL WHERE UNIT_CODE = 'LF013';</t>
        </is>
      </c>
      <c r="B149" s="16" t="n"/>
      <c r="C149" s="15" t="inlineStr">
        <is>
          <t>CNF_UNIT_FILTERING_TBL</t>
        </is>
      </c>
      <c r="D149" s="15" t="inlineStr">
        <is>
          <t>UNIT_ID</t>
        </is>
      </c>
      <c r="E149" s="15" t="inlineStr">
        <is>
          <t>4</t>
        </is>
      </c>
      <c r="F149" s="15" t="inlineStr">
        <is>
          <t>MST_UNIT_TBL</t>
        </is>
      </c>
      <c r="G149" s="15" t="inlineStr">
        <is>
          <t>UNIT_CODE</t>
        </is>
      </c>
      <c r="H149" s="15" t="inlineStr">
        <is>
          <t>LF013</t>
        </is>
      </c>
      <c r="J149" s="15" t="inlineStr">
        <is>
          <t>LF013</t>
        </is>
      </c>
      <c r="K149" s="15" t="inlineStr">
        <is>
          <t>融資第二部</t>
        </is>
      </c>
      <c r="L149" s="15" t="inlineStr">
        <is>
          <t>590</t>
        </is>
      </c>
      <c r="M149" s="19">
        <f>"INSERT INTO "&amp;C149&amp;" VALUES("&amp;L149&amp;" , "&amp;E149&amp;");"</f>
        <v/>
      </c>
      <c r="O149" s="17" t="inlineStr">
        <is>
          <t>590</t>
        </is>
      </c>
      <c r="P149" s="17" t="inlineStr">
        <is>
          <t>4</t>
        </is>
      </c>
      <c r="R149" s="15" t="inlineStr">
        <is>
          <t>INSERT INTO</t>
        </is>
      </c>
      <c r="S149" s="15" t="inlineStr">
        <is>
          <t>CNF_UNIT_FILTERING_TBL</t>
        </is>
      </c>
      <c r="T149" s="15" t="inlineStr">
        <is>
          <t>VALUES(</t>
        </is>
      </c>
      <c r="U149" s="15" t="inlineStr">
        <is>
          <t>590 , 4</t>
        </is>
      </c>
      <c r="V149" s="15" t="inlineStr">
        <is>
          <t>);</t>
        </is>
      </c>
      <c r="X149" s="18">
        <f>EXACT(TRIM(L149&amp;""),O149&amp;"")</f>
        <v/>
      </c>
      <c r="Y149" s="18">
        <f>EXACT(TRIM(E149&amp;""),P149&amp;"")</f>
        <v/>
      </c>
      <c r="Z149" s="18">
        <f>AND(X149:Y149)</f>
        <v/>
      </c>
      <c r="AA149" s="19">
        <f>TRIM(IF(X149,"",$X$3&amp;" ")&amp;IF(Y149,"",$Y$3&amp;" "))</f>
        <v/>
      </c>
      <c r="AB149" s="18">
        <f>EXACT(SUBSTITUTE(M149," ",""),SUBSTITUTE(R149&amp;S149&amp;T149&amp;U149&amp;V149," ",""))</f>
        <v/>
      </c>
    </row>
    <row r="150">
      <c r="A150" s="15" t="inlineStr">
        <is>
          <t>INSERT INTO CNF_UNIT_FILTERING_TBL SELECT UNIT_ID, 5 FROM MST_UNIT_TBL WHERE UNIT_CODE = 'LF013';</t>
        </is>
      </c>
      <c r="B150" s="16" t="n"/>
      <c r="C150" s="15" t="inlineStr">
        <is>
          <t>CNF_UNIT_FILTERING_TBL</t>
        </is>
      </c>
      <c r="D150" s="15" t="inlineStr">
        <is>
          <t>UNIT_ID</t>
        </is>
      </c>
      <c r="E150" s="15" t="inlineStr">
        <is>
          <t>5</t>
        </is>
      </c>
      <c r="F150" s="15" t="inlineStr">
        <is>
          <t>MST_UNIT_TBL</t>
        </is>
      </c>
      <c r="G150" s="15" t="inlineStr">
        <is>
          <t>UNIT_CODE</t>
        </is>
      </c>
      <c r="H150" s="15" t="inlineStr">
        <is>
          <t>LF013</t>
        </is>
      </c>
      <c r="J150" s="15" t="inlineStr">
        <is>
          <t>LF013</t>
        </is>
      </c>
      <c r="K150" s="15" t="inlineStr">
        <is>
          <t>融資第二部</t>
        </is>
      </c>
      <c r="L150" s="15" t="inlineStr">
        <is>
          <t>590</t>
        </is>
      </c>
      <c r="M150" s="19">
        <f>"INSERT INTO "&amp;C150&amp;" VALUES("&amp;L150&amp;" , "&amp;E150&amp;");"</f>
        <v/>
      </c>
      <c r="O150" s="17" t="inlineStr">
        <is>
          <t>590</t>
        </is>
      </c>
      <c r="P150" s="17" t="inlineStr">
        <is>
          <t>5</t>
        </is>
      </c>
      <c r="R150" s="15" t="inlineStr">
        <is>
          <t>INSERT INTO</t>
        </is>
      </c>
      <c r="S150" s="15" t="inlineStr">
        <is>
          <t>CNF_UNIT_FILTERING_TBL</t>
        </is>
      </c>
      <c r="T150" s="15" t="inlineStr">
        <is>
          <t>VALUES(</t>
        </is>
      </c>
      <c r="U150" s="15" t="inlineStr">
        <is>
          <t>590 , 5</t>
        </is>
      </c>
      <c r="V150" s="15" t="inlineStr">
        <is>
          <t>);</t>
        </is>
      </c>
      <c r="X150" s="18">
        <f>EXACT(TRIM(L150&amp;""),O150&amp;"")</f>
        <v/>
      </c>
      <c r="Y150" s="18">
        <f>EXACT(TRIM(E150&amp;""),P150&amp;"")</f>
        <v/>
      </c>
      <c r="Z150" s="18">
        <f>AND(X150:Y150)</f>
        <v/>
      </c>
      <c r="AA150" s="19">
        <f>TRIM(IF(X150,"",$X$3&amp;" ")&amp;IF(Y150,"",$Y$3&amp;" "))</f>
        <v/>
      </c>
      <c r="AB150" s="18">
        <f>EXACT(SUBSTITUTE(M150," ",""),SUBSTITUTE(R150&amp;S150&amp;T150&amp;U150&amp;V150," ",""))</f>
        <v/>
      </c>
    </row>
    <row r="151">
      <c r="A151" s="15" t="inlineStr">
        <is>
          <t>INSERT INTO CNF_UNIT_FILTERING_TBL SELECT UNIT_ID, 7 FROM MST_UNIT_TBL WHERE UNIT_CODE = 'LF013';</t>
        </is>
      </c>
      <c r="B151" s="16" t="n"/>
      <c r="C151" s="15" t="inlineStr">
        <is>
          <t>CNF_UNIT_FILTERING_TBL</t>
        </is>
      </c>
      <c r="D151" s="15" t="inlineStr">
        <is>
          <t>UNIT_ID</t>
        </is>
      </c>
      <c r="E151" s="15" t="inlineStr">
        <is>
          <t>7</t>
        </is>
      </c>
      <c r="F151" s="15" t="inlineStr">
        <is>
          <t>MST_UNIT_TBL</t>
        </is>
      </c>
      <c r="G151" s="15" t="inlineStr">
        <is>
          <t>UNIT_CODE</t>
        </is>
      </c>
      <c r="H151" s="15" t="inlineStr">
        <is>
          <t>LF013</t>
        </is>
      </c>
      <c r="J151" s="15" t="inlineStr">
        <is>
          <t>LF013</t>
        </is>
      </c>
      <c r="K151" s="15" t="inlineStr">
        <is>
          <t>融資第二部</t>
        </is>
      </c>
      <c r="L151" s="15" t="inlineStr">
        <is>
          <t>590</t>
        </is>
      </c>
      <c r="M151" s="19">
        <f>"INSERT INTO "&amp;C151&amp;" VALUES("&amp;L151&amp;" , "&amp;E151&amp;");"</f>
        <v/>
      </c>
      <c r="O151" s="17" t="inlineStr">
        <is>
          <t>590</t>
        </is>
      </c>
      <c r="P151" s="17" t="inlineStr">
        <is>
          <t>7</t>
        </is>
      </c>
      <c r="R151" s="15" t="inlineStr">
        <is>
          <t>INSERT INTO</t>
        </is>
      </c>
      <c r="S151" s="15" t="inlineStr">
        <is>
          <t>CNF_UNIT_FILTERING_TBL</t>
        </is>
      </c>
      <c r="T151" s="15" t="inlineStr">
        <is>
          <t>VALUES(</t>
        </is>
      </c>
      <c r="U151" s="15" t="inlineStr">
        <is>
          <t>590 , 7</t>
        </is>
      </c>
      <c r="V151" s="15" t="inlineStr">
        <is>
          <t>);</t>
        </is>
      </c>
      <c r="X151" s="18">
        <f>EXACT(TRIM(L151&amp;""),O151&amp;"")</f>
        <v/>
      </c>
      <c r="Y151" s="18">
        <f>EXACT(TRIM(E151&amp;""),P151&amp;"")</f>
        <v/>
      </c>
      <c r="Z151" s="18">
        <f>AND(X151:Y151)</f>
        <v/>
      </c>
      <c r="AA151" s="19">
        <f>TRIM(IF(X151,"",$X$3&amp;" ")&amp;IF(Y151,"",$Y$3&amp;" "))</f>
        <v/>
      </c>
      <c r="AB151" s="18">
        <f>EXACT(SUBSTITUTE(M151," ",""),SUBSTITUTE(R151&amp;S151&amp;T151&amp;U151&amp;V151," ",""))</f>
        <v/>
      </c>
    </row>
    <row r="152">
      <c r="A152" s="15" t="inlineStr">
        <is>
          <t>INSERT INTO CNF_UNIT_FILTERING_TBL SELECT UNIT_ID, 8 FROM MST_UNIT_TBL WHERE UNIT_CODE = 'LF013';</t>
        </is>
      </c>
      <c r="B152" s="16" t="n"/>
      <c r="C152" s="15" t="inlineStr">
        <is>
          <t>CNF_UNIT_FILTERING_TBL</t>
        </is>
      </c>
      <c r="D152" s="15" t="inlineStr">
        <is>
          <t>UNIT_ID</t>
        </is>
      </c>
      <c r="E152" s="15" t="inlineStr">
        <is>
          <t>8</t>
        </is>
      </c>
      <c r="F152" s="15" t="inlineStr">
        <is>
          <t>MST_UNIT_TBL</t>
        </is>
      </c>
      <c r="G152" s="15" t="inlineStr">
        <is>
          <t>UNIT_CODE</t>
        </is>
      </c>
      <c r="H152" s="15" t="inlineStr">
        <is>
          <t>LF013</t>
        </is>
      </c>
      <c r="J152" s="15" t="inlineStr">
        <is>
          <t>LF013</t>
        </is>
      </c>
      <c r="K152" s="15" t="inlineStr">
        <is>
          <t>融資第二部</t>
        </is>
      </c>
      <c r="L152" s="15" t="inlineStr">
        <is>
          <t>590</t>
        </is>
      </c>
      <c r="M152" s="19">
        <f>"INSERT INTO "&amp;C152&amp;" VALUES("&amp;L152&amp;" , "&amp;E152&amp;");"</f>
        <v/>
      </c>
      <c r="O152" s="17" t="inlineStr">
        <is>
          <t>590</t>
        </is>
      </c>
      <c r="P152" s="17" t="inlineStr">
        <is>
          <t>8</t>
        </is>
      </c>
      <c r="R152" s="15" t="inlineStr">
        <is>
          <t>INSERT INTO</t>
        </is>
      </c>
      <c r="S152" s="15" t="inlineStr">
        <is>
          <t>CNF_UNIT_FILTERING_TBL</t>
        </is>
      </c>
      <c r="T152" s="15" t="inlineStr">
        <is>
          <t>VALUES(</t>
        </is>
      </c>
      <c r="U152" s="15" t="inlineStr">
        <is>
          <t>590 , 8</t>
        </is>
      </c>
      <c r="V152" s="15" t="inlineStr">
        <is>
          <t>);</t>
        </is>
      </c>
      <c r="X152" s="18">
        <f>EXACT(TRIM(L152&amp;""),O152&amp;"")</f>
        <v/>
      </c>
      <c r="Y152" s="18">
        <f>EXACT(TRIM(E152&amp;""),P152&amp;"")</f>
        <v/>
      </c>
      <c r="Z152" s="18">
        <f>AND(X152:Y152)</f>
        <v/>
      </c>
      <c r="AA152" s="19">
        <f>TRIM(IF(X152,"",$X$3&amp;" ")&amp;IF(Y152,"",$Y$3&amp;" "))</f>
        <v/>
      </c>
      <c r="AB152" s="18">
        <f>EXACT(SUBSTITUTE(M152," ",""),SUBSTITUTE(R152&amp;S152&amp;T152&amp;U152&amp;V152," ",""))</f>
        <v/>
      </c>
    </row>
    <row r="153">
      <c r="A153" s="15" t="inlineStr">
        <is>
          <t>INSERT INTO CNF_UNIT_FILTERING_TBL SELECT UNIT_ID, 9 FROM MST_UNIT_TBL WHERE UNIT_CODE = 'LF013';</t>
        </is>
      </c>
      <c r="B153" s="16" t="n"/>
      <c r="C153" s="15" t="inlineStr">
        <is>
          <t>CNF_UNIT_FILTERING_TBL</t>
        </is>
      </c>
      <c r="D153" s="15" t="inlineStr">
        <is>
          <t>UNIT_ID</t>
        </is>
      </c>
      <c r="E153" s="15" t="inlineStr">
        <is>
          <t>9</t>
        </is>
      </c>
      <c r="F153" s="15" t="inlineStr">
        <is>
          <t>MST_UNIT_TBL</t>
        </is>
      </c>
      <c r="G153" s="15" t="inlineStr">
        <is>
          <t>UNIT_CODE</t>
        </is>
      </c>
      <c r="H153" s="15" t="inlineStr">
        <is>
          <t>LF013</t>
        </is>
      </c>
      <c r="J153" s="15" t="inlineStr">
        <is>
          <t>LF013</t>
        </is>
      </c>
      <c r="K153" s="15" t="inlineStr">
        <is>
          <t>融資第二部</t>
        </is>
      </c>
      <c r="L153" s="15" t="inlineStr">
        <is>
          <t>590</t>
        </is>
      </c>
      <c r="M153" s="19">
        <f>"INSERT INTO "&amp;C153&amp;" VALUES("&amp;L153&amp;" , "&amp;E153&amp;");"</f>
        <v/>
      </c>
      <c r="O153" s="17" t="inlineStr">
        <is>
          <t>590</t>
        </is>
      </c>
      <c r="P153" s="17" t="inlineStr">
        <is>
          <t>9</t>
        </is>
      </c>
      <c r="R153" s="15" t="inlineStr">
        <is>
          <t>INSERT INTO</t>
        </is>
      </c>
      <c r="S153" s="15" t="inlineStr">
        <is>
          <t>CNF_UNIT_FILTERING_TBL</t>
        </is>
      </c>
      <c r="T153" s="15" t="inlineStr">
        <is>
          <t>VALUES(</t>
        </is>
      </c>
      <c r="U153" s="15" t="inlineStr">
        <is>
          <t>590 , 9</t>
        </is>
      </c>
      <c r="V153" s="15" t="inlineStr">
        <is>
          <t>);</t>
        </is>
      </c>
      <c r="X153" s="18">
        <f>EXACT(TRIM(L153&amp;""),O153&amp;"")</f>
        <v/>
      </c>
      <c r="Y153" s="18">
        <f>EXACT(TRIM(E153&amp;""),P153&amp;"")</f>
        <v/>
      </c>
      <c r="Z153" s="18">
        <f>AND(X153:Y153)</f>
        <v/>
      </c>
      <c r="AA153" s="19">
        <f>TRIM(IF(X153,"",$X$3&amp;" ")&amp;IF(Y153,"",$Y$3&amp;" "))</f>
        <v/>
      </c>
      <c r="AB153" s="18">
        <f>EXACT(SUBSTITUTE(M153," ",""),SUBSTITUTE(R153&amp;S153&amp;T153&amp;U153&amp;V153," ",""))</f>
        <v/>
      </c>
    </row>
    <row r="154">
      <c r="A154" s="15" t="inlineStr">
        <is>
          <t>INSERT INTO CNF_UNIT_FILTERING_TBL SELECT UNIT_ID, 11 FROM MST_UNIT_TBL WHERE UNIT_CODE = 'LF013';</t>
        </is>
      </c>
      <c r="B154" s="16" t="n"/>
      <c r="C154" s="15" t="inlineStr">
        <is>
          <t>CNF_UNIT_FILTERING_TBL</t>
        </is>
      </c>
      <c r="D154" s="15" t="inlineStr">
        <is>
          <t>UNIT_ID</t>
        </is>
      </c>
      <c r="E154" s="15" t="inlineStr">
        <is>
          <t>11</t>
        </is>
      </c>
      <c r="F154" s="15" t="inlineStr">
        <is>
          <t>MST_UNIT_TBL</t>
        </is>
      </c>
      <c r="G154" s="15" t="inlineStr">
        <is>
          <t>UNIT_CODE</t>
        </is>
      </c>
      <c r="H154" s="15" t="inlineStr">
        <is>
          <t>LF013</t>
        </is>
      </c>
      <c r="J154" s="15" t="inlineStr">
        <is>
          <t>LF013</t>
        </is>
      </c>
      <c r="K154" s="15" t="inlineStr">
        <is>
          <t>融資第二部</t>
        </is>
      </c>
      <c r="L154" s="15" t="inlineStr">
        <is>
          <t>590</t>
        </is>
      </c>
      <c r="M154" s="19">
        <f>"INSERT INTO "&amp;C154&amp;" VALUES("&amp;L154&amp;" , "&amp;E154&amp;");"</f>
        <v/>
      </c>
      <c r="O154" s="17" t="inlineStr">
        <is>
          <t>590</t>
        </is>
      </c>
      <c r="P154" s="17" t="inlineStr">
        <is>
          <t>11</t>
        </is>
      </c>
      <c r="R154" s="15" t="inlineStr">
        <is>
          <t>INSERT INTO</t>
        </is>
      </c>
      <c r="S154" s="15" t="inlineStr">
        <is>
          <t>CNF_UNIT_FILTERING_TBL</t>
        </is>
      </c>
      <c r="T154" s="15" t="inlineStr">
        <is>
          <t>VALUES(</t>
        </is>
      </c>
      <c r="U154" s="15" t="inlineStr">
        <is>
          <t>590 , 11</t>
        </is>
      </c>
      <c r="V154" s="15" t="inlineStr">
        <is>
          <t>);</t>
        </is>
      </c>
      <c r="X154" s="18">
        <f>EXACT(TRIM(L154&amp;""),O154&amp;"")</f>
        <v/>
      </c>
      <c r="Y154" s="18">
        <f>EXACT(TRIM(E154&amp;""),P154&amp;"")</f>
        <v/>
      </c>
      <c r="Z154" s="18">
        <f>AND(X154:Y154)</f>
        <v/>
      </c>
      <c r="AA154" s="19">
        <f>TRIM(IF(X154,"",$X$3&amp;" ")&amp;IF(Y154,"",$Y$3&amp;" "))</f>
        <v/>
      </c>
      <c r="AB154" s="18">
        <f>EXACT(SUBSTITUTE(M154," ",""),SUBSTITUTE(R154&amp;S154&amp;T154&amp;U154&amp;V154," ",""))</f>
        <v/>
      </c>
    </row>
    <row r="155">
      <c r="A155" s="15" t="inlineStr">
        <is>
          <t>INSERT INTO CNF_UNIT_FILTERING_TBL SELECT UNIT_ID, 12 FROM MST_UNIT_TBL WHERE UNIT_CODE = 'LF013';</t>
        </is>
      </c>
      <c r="B155" s="16" t="n"/>
      <c r="C155" s="15" t="inlineStr">
        <is>
          <t>CNF_UNIT_FILTERING_TBL</t>
        </is>
      </c>
      <c r="D155" s="15" t="inlineStr">
        <is>
          <t>UNIT_ID</t>
        </is>
      </c>
      <c r="E155" s="15" t="inlineStr">
        <is>
          <t>12</t>
        </is>
      </c>
      <c r="F155" s="15" t="inlineStr">
        <is>
          <t>MST_UNIT_TBL</t>
        </is>
      </c>
      <c r="G155" s="15" t="inlineStr">
        <is>
          <t>UNIT_CODE</t>
        </is>
      </c>
      <c r="H155" s="15" t="inlineStr">
        <is>
          <t>LF013</t>
        </is>
      </c>
      <c r="J155" s="15" t="inlineStr">
        <is>
          <t>LF013</t>
        </is>
      </c>
      <c r="K155" s="15" t="inlineStr">
        <is>
          <t>融資第二部</t>
        </is>
      </c>
      <c r="L155" s="15" t="inlineStr">
        <is>
          <t>590</t>
        </is>
      </c>
      <c r="M155" s="19">
        <f>"INSERT INTO "&amp;C155&amp;" VALUES("&amp;L155&amp;" , "&amp;E155&amp;");"</f>
        <v/>
      </c>
      <c r="O155" s="17" t="inlineStr">
        <is>
          <t>590</t>
        </is>
      </c>
      <c r="P155" s="17" t="inlineStr">
        <is>
          <t>12</t>
        </is>
      </c>
      <c r="R155" s="15" t="inlineStr">
        <is>
          <t>INSERT INTO</t>
        </is>
      </c>
      <c r="S155" s="15" t="inlineStr">
        <is>
          <t>CNF_UNIT_FILTERING_TBL</t>
        </is>
      </c>
      <c r="T155" s="15" t="inlineStr">
        <is>
          <t>VALUES(</t>
        </is>
      </c>
      <c r="U155" s="15" t="inlineStr">
        <is>
          <t>590 , 12</t>
        </is>
      </c>
      <c r="V155" s="15" t="inlineStr">
        <is>
          <t>);</t>
        </is>
      </c>
      <c r="X155" s="18">
        <f>EXACT(TRIM(L155&amp;""),O155&amp;"")</f>
        <v/>
      </c>
      <c r="Y155" s="18">
        <f>EXACT(TRIM(E155&amp;""),P155&amp;"")</f>
        <v/>
      </c>
      <c r="Z155" s="18">
        <f>AND(X155:Y155)</f>
        <v/>
      </c>
      <c r="AA155" s="19">
        <f>TRIM(IF(X155,"",$X$3&amp;" ")&amp;IF(Y155,"",$Y$3&amp;" "))</f>
        <v/>
      </c>
      <c r="AB155" s="18">
        <f>EXACT(SUBSTITUTE(M155," ",""),SUBSTITUTE(R155&amp;S155&amp;T155&amp;U155&amp;V155," ",""))</f>
        <v/>
      </c>
    </row>
    <row r="156">
      <c r="A156" s="15" t="inlineStr">
        <is>
          <t>INSERT INTO CNF_UNIT_FILTERING_TBL SELECT UNIT_ID, 13 FROM MST_UNIT_TBL WHERE UNIT_CODE = 'LF013';</t>
        </is>
      </c>
      <c r="B156" s="16" t="n"/>
      <c r="C156" s="15" t="inlineStr">
        <is>
          <t>CNF_UNIT_FILTERING_TBL</t>
        </is>
      </c>
      <c r="D156" s="15" t="inlineStr">
        <is>
          <t>UNIT_ID</t>
        </is>
      </c>
      <c r="E156" s="15" t="inlineStr">
        <is>
          <t>13</t>
        </is>
      </c>
      <c r="F156" s="15" t="inlineStr">
        <is>
          <t>MST_UNIT_TBL</t>
        </is>
      </c>
      <c r="G156" s="15" t="inlineStr">
        <is>
          <t>UNIT_CODE</t>
        </is>
      </c>
      <c r="H156" s="15" t="inlineStr">
        <is>
          <t>LF013</t>
        </is>
      </c>
      <c r="J156" s="15" t="inlineStr">
        <is>
          <t>LF013</t>
        </is>
      </c>
      <c r="K156" s="15" t="inlineStr">
        <is>
          <t>融資第二部</t>
        </is>
      </c>
      <c r="L156" s="15" t="inlineStr">
        <is>
          <t>590</t>
        </is>
      </c>
      <c r="M156" s="19">
        <f>"INSERT INTO "&amp;C156&amp;" VALUES("&amp;L156&amp;" , "&amp;E156&amp;");"</f>
        <v/>
      </c>
      <c r="O156" s="17" t="inlineStr">
        <is>
          <t>590</t>
        </is>
      </c>
      <c r="P156" s="17" t="inlineStr">
        <is>
          <t>13</t>
        </is>
      </c>
      <c r="R156" s="15" t="inlineStr">
        <is>
          <t>INSERT INTO</t>
        </is>
      </c>
      <c r="S156" s="15" t="inlineStr">
        <is>
          <t>CNF_UNIT_FILTERING_TBL</t>
        </is>
      </c>
      <c r="T156" s="15" t="inlineStr">
        <is>
          <t>VALUES(</t>
        </is>
      </c>
      <c r="U156" s="15" t="inlineStr">
        <is>
          <t>590 , 13</t>
        </is>
      </c>
      <c r="V156" s="15" t="inlineStr">
        <is>
          <t>);</t>
        </is>
      </c>
      <c r="X156" s="18">
        <f>EXACT(TRIM(L156&amp;""),O156&amp;"")</f>
        <v/>
      </c>
      <c r="Y156" s="18">
        <f>EXACT(TRIM(E156&amp;""),P156&amp;"")</f>
        <v/>
      </c>
      <c r="Z156" s="18">
        <f>AND(X156:Y156)</f>
        <v/>
      </c>
      <c r="AA156" s="19">
        <f>TRIM(IF(X156,"",$X$3&amp;" ")&amp;IF(Y156,"",$Y$3&amp;" "))</f>
        <v/>
      </c>
      <c r="AB156" s="18">
        <f>EXACT(SUBSTITUTE(M156," ",""),SUBSTITUTE(R156&amp;S156&amp;T156&amp;U156&amp;V156," ",""))</f>
        <v/>
      </c>
    </row>
    <row r="157">
      <c r="A157" s="15" t="inlineStr">
        <is>
          <t>INSERT INTO CNF_UNIT_FILTERING_TBL SELECT UNIT_ID, 14 FROM MST_UNIT_TBL WHERE UNIT_CODE = 'LF013';</t>
        </is>
      </c>
      <c r="B157" s="16" t="n"/>
      <c r="C157" s="15" t="inlineStr">
        <is>
          <t>CNF_UNIT_FILTERING_TBL</t>
        </is>
      </c>
      <c r="D157" s="15" t="inlineStr">
        <is>
          <t>UNIT_ID</t>
        </is>
      </c>
      <c r="E157" s="15" t="inlineStr">
        <is>
          <t>14</t>
        </is>
      </c>
      <c r="F157" s="15" t="inlineStr">
        <is>
          <t>MST_UNIT_TBL</t>
        </is>
      </c>
      <c r="G157" s="15" t="inlineStr">
        <is>
          <t>UNIT_CODE</t>
        </is>
      </c>
      <c r="H157" s="15" t="inlineStr">
        <is>
          <t>LF013</t>
        </is>
      </c>
      <c r="J157" s="15" t="inlineStr">
        <is>
          <t>LF013</t>
        </is>
      </c>
      <c r="K157" s="15" t="inlineStr">
        <is>
          <t>融資第二部</t>
        </is>
      </c>
      <c r="L157" s="15" t="inlineStr">
        <is>
          <t>590</t>
        </is>
      </c>
      <c r="M157" s="19">
        <f>"INSERT INTO "&amp;C157&amp;" VALUES("&amp;L157&amp;" , "&amp;E157&amp;");"</f>
        <v/>
      </c>
      <c r="O157" s="17" t="inlineStr">
        <is>
          <t>590</t>
        </is>
      </c>
      <c r="P157" s="17" t="inlineStr">
        <is>
          <t>14</t>
        </is>
      </c>
      <c r="R157" s="15" t="inlineStr">
        <is>
          <t>INSERT INTO</t>
        </is>
      </c>
      <c r="S157" s="15" t="inlineStr">
        <is>
          <t>CNF_UNIT_FILTERING_TBL</t>
        </is>
      </c>
      <c r="T157" s="15" t="inlineStr">
        <is>
          <t>VALUES(</t>
        </is>
      </c>
      <c r="U157" s="15" t="inlineStr">
        <is>
          <t>590 , 14</t>
        </is>
      </c>
      <c r="V157" s="15" t="inlineStr">
        <is>
          <t>);</t>
        </is>
      </c>
      <c r="X157" s="18">
        <f>EXACT(TRIM(L157&amp;""),O157&amp;"")</f>
        <v/>
      </c>
      <c r="Y157" s="18">
        <f>EXACT(TRIM(E157&amp;""),P157&amp;"")</f>
        <v/>
      </c>
      <c r="Z157" s="18">
        <f>AND(X157:Y157)</f>
        <v/>
      </c>
      <c r="AA157" s="19">
        <f>TRIM(IF(X157,"",$X$3&amp;" ")&amp;IF(Y157,"",$Y$3&amp;" "))</f>
        <v/>
      </c>
      <c r="AB157" s="18">
        <f>EXACT(SUBSTITUTE(M157," ",""),SUBSTITUTE(R157&amp;S157&amp;T157&amp;U157&amp;V157," ",""))</f>
        <v/>
      </c>
    </row>
    <row r="158">
      <c r="A158" s="15" t="inlineStr">
        <is>
          <t>INSERT INTO CNF_UNIT_FILTERING_TBL SELECT UNIT_ID, 15 FROM MST_UNIT_TBL WHERE UNIT_CODE = 'LF013';</t>
        </is>
      </c>
      <c r="B158" s="16" t="n"/>
      <c r="C158" s="15" t="inlineStr">
        <is>
          <t>CNF_UNIT_FILTERING_TBL</t>
        </is>
      </c>
      <c r="D158" s="15" t="inlineStr">
        <is>
          <t>UNIT_ID</t>
        </is>
      </c>
      <c r="E158" s="15" t="inlineStr">
        <is>
          <t>15</t>
        </is>
      </c>
      <c r="F158" s="15" t="inlineStr">
        <is>
          <t>MST_UNIT_TBL</t>
        </is>
      </c>
      <c r="G158" s="15" t="inlineStr">
        <is>
          <t>UNIT_CODE</t>
        </is>
      </c>
      <c r="H158" s="15" t="inlineStr">
        <is>
          <t>LF013</t>
        </is>
      </c>
      <c r="J158" s="15" t="inlineStr">
        <is>
          <t>LF013</t>
        </is>
      </c>
      <c r="K158" s="15" t="inlineStr">
        <is>
          <t>融資第二部</t>
        </is>
      </c>
      <c r="L158" s="15" t="inlineStr">
        <is>
          <t>590</t>
        </is>
      </c>
      <c r="M158" s="19">
        <f>"INSERT INTO "&amp;C158&amp;" VALUES("&amp;L158&amp;" , "&amp;E158&amp;");"</f>
        <v/>
      </c>
      <c r="O158" s="17" t="inlineStr">
        <is>
          <t>590</t>
        </is>
      </c>
      <c r="P158" s="17" t="inlineStr">
        <is>
          <t>15</t>
        </is>
      </c>
      <c r="R158" s="15" t="inlineStr">
        <is>
          <t>INSERT INTO</t>
        </is>
      </c>
      <c r="S158" s="15" t="inlineStr">
        <is>
          <t>CNF_UNIT_FILTERING_TBL</t>
        </is>
      </c>
      <c r="T158" s="15" t="inlineStr">
        <is>
          <t>VALUES(</t>
        </is>
      </c>
      <c r="U158" s="15" t="inlineStr">
        <is>
          <t>590 , 15</t>
        </is>
      </c>
      <c r="V158" s="15" t="inlineStr">
        <is>
          <t>);</t>
        </is>
      </c>
      <c r="X158" s="18">
        <f>EXACT(TRIM(L158&amp;""),O158&amp;"")</f>
        <v/>
      </c>
      <c r="Y158" s="18">
        <f>EXACT(TRIM(E158&amp;""),P158&amp;"")</f>
        <v/>
      </c>
      <c r="Z158" s="18">
        <f>AND(X158:Y158)</f>
        <v/>
      </c>
      <c r="AA158" s="19">
        <f>TRIM(IF(X158,"",$X$3&amp;" ")&amp;IF(Y158,"",$Y$3&amp;" "))</f>
        <v/>
      </c>
      <c r="AB158" s="18">
        <f>EXACT(SUBSTITUTE(M158," ",""),SUBSTITUTE(R158&amp;S158&amp;T158&amp;U158&amp;V158," ",""))</f>
        <v/>
      </c>
    </row>
    <row r="159">
      <c r="A159" s="15" t="inlineStr">
        <is>
          <t>INSERT INTO CNF_UNIT_FILTERING_TBL SELECT UNIT_ID, 16 FROM MST_UNIT_TBL WHERE UNIT_CODE = 'LF013';</t>
        </is>
      </c>
      <c r="B159" s="16" t="n"/>
      <c r="C159" s="15" t="inlineStr">
        <is>
          <t>CNF_UNIT_FILTERING_TBL</t>
        </is>
      </c>
      <c r="D159" s="15" t="inlineStr">
        <is>
          <t>UNIT_ID</t>
        </is>
      </c>
      <c r="E159" s="15" t="inlineStr">
        <is>
          <t>16</t>
        </is>
      </c>
      <c r="F159" s="15" t="inlineStr">
        <is>
          <t>MST_UNIT_TBL</t>
        </is>
      </c>
      <c r="G159" s="15" t="inlineStr">
        <is>
          <t>UNIT_CODE</t>
        </is>
      </c>
      <c r="H159" s="15" t="inlineStr">
        <is>
          <t>LF013</t>
        </is>
      </c>
      <c r="J159" s="15" t="inlineStr">
        <is>
          <t>LF013</t>
        </is>
      </c>
      <c r="K159" s="15" t="inlineStr">
        <is>
          <t>融資第二部</t>
        </is>
      </c>
      <c r="L159" s="15" t="inlineStr">
        <is>
          <t>590</t>
        </is>
      </c>
      <c r="M159" s="19">
        <f>"INSERT INTO "&amp;C159&amp;" VALUES("&amp;L159&amp;" , "&amp;E159&amp;");"</f>
        <v/>
      </c>
      <c r="O159" s="17" t="inlineStr">
        <is>
          <t>590</t>
        </is>
      </c>
      <c r="P159" s="17" t="inlineStr">
        <is>
          <t>16</t>
        </is>
      </c>
      <c r="R159" s="15" t="inlineStr">
        <is>
          <t>INSERT INTO</t>
        </is>
      </c>
      <c r="S159" s="15" t="inlineStr">
        <is>
          <t>CNF_UNIT_FILTERING_TBL</t>
        </is>
      </c>
      <c r="T159" s="15" t="inlineStr">
        <is>
          <t>VALUES(</t>
        </is>
      </c>
      <c r="U159" s="15" t="inlineStr">
        <is>
          <t>590 , 16</t>
        </is>
      </c>
      <c r="V159" s="15" t="inlineStr">
        <is>
          <t>);</t>
        </is>
      </c>
      <c r="X159" s="18">
        <f>EXACT(TRIM(L159&amp;""),O159&amp;"")</f>
        <v/>
      </c>
      <c r="Y159" s="18">
        <f>EXACT(TRIM(E159&amp;""),P159&amp;"")</f>
        <v/>
      </c>
      <c r="Z159" s="18">
        <f>AND(X159:Y159)</f>
        <v/>
      </c>
      <c r="AA159" s="19">
        <f>TRIM(IF(X159,"",$X$3&amp;" ")&amp;IF(Y159,"",$Y$3&amp;" "))</f>
        <v/>
      </c>
      <c r="AB159" s="18">
        <f>EXACT(SUBSTITUTE(M159," ",""),SUBSTITUTE(R159&amp;S159&amp;T159&amp;U159&amp;V159," ",""))</f>
        <v/>
      </c>
    </row>
    <row r="160">
      <c r="A160" s="15" t="inlineStr">
        <is>
          <t>INSERT INTO CNF_UNIT_FILTERING_TBL SELECT UNIT_ID, 1 FROM MST_UNIT_TBL WHERE UNIT_CODE = 'LF014';</t>
        </is>
      </c>
      <c r="B160" s="16" t="n"/>
      <c r="C160" s="15" t="inlineStr">
        <is>
          <t>CNF_UNIT_FILTERING_TBL</t>
        </is>
      </c>
      <c r="D160" s="15" t="inlineStr">
        <is>
          <t>UNIT_ID</t>
        </is>
      </c>
      <c r="E160" s="15" t="inlineStr">
        <is>
          <t>1</t>
        </is>
      </c>
      <c r="F160" s="15" t="inlineStr">
        <is>
          <t>MST_UNIT_TBL</t>
        </is>
      </c>
      <c r="G160" s="15" t="inlineStr">
        <is>
          <t>UNIT_CODE</t>
        </is>
      </c>
      <c r="H160" s="15" t="inlineStr">
        <is>
          <t>LF014</t>
        </is>
      </c>
      <c r="J160" s="15" t="inlineStr">
        <is>
          <t>LF014</t>
        </is>
      </c>
      <c r="K160" s="15" t="inlineStr">
        <is>
          <t>債権管理部</t>
        </is>
      </c>
      <c r="L160" s="15" t="inlineStr">
        <is>
          <t>591</t>
        </is>
      </c>
      <c r="M160" s="19">
        <f>"INSERT INTO "&amp;C160&amp;" VALUES("&amp;L160&amp;" , "&amp;E160&amp;");"</f>
        <v/>
      </c>
      <c r="O160" s="17" t="inlineStr">
        <is>
          <t>591</t>
        </is>
      </c>
      <c r="P160" s="17" t="inlineStr">
        <is>
          <t>1</t>
        </is>
      </c>
      <c r="R160" s="15" t="inlineStr">
        <is>
          <t>INSERT INTO</t>
        </is>
      </c>
      <c r="S160" s="15" t="inlineStr">
        <is>
          <t>CNF_UNIT_FILTERING_TBL</t>
        </is>
      </c>
      <c r="T160" s="15" t="inlineStr">
        <is>
          <t>VALUES(</t>
        </is>
      </c>
      <c r="U160" s="15" t="inlineStr">
        <is>
          <t>591 , 1</t>
        </is>
      </c>
      <c r="V160" s="15" t="inlineStr">
        <is>
          <t>);</t>
        </is>
      </c>
      <c r="X160" s="18">
        <f>EXACT(TRIM(L160&amp;""),O160&amp;"")</f>
        <v/>
      </c>
      <c r="Y160" s="18">
        <f>EXACT(TRIM(E160&amp;""),P160&amp;"")</f>
        <v/>
      </c>
      <c r="Z160" s="18">
        <f>AND(X160:Y160)</f>
        <v/>
      </c>
      <c r="AA160" s="19">
        <f>TRIM(IF(X160,"",$X$3&amp;" ")&amp;IF(Y160,"",$Y$3&amp;" "))</f>
        <v/>
      </c>
      <c r="AB160" s="18">
        <f>EXACT(SUBSTITUTE(M160," ",""),SUBSTITUTE(R160&amp;S160&amp;T160&amp;U160&amp;V160," ",""))</f>
        <v/>
      </c>
    </row>
    <row r="161">
      <c r="A161" s="15" t="inlineStr">
        <is>
          <t>INSERT INTO CNF_UNIT_FILTERING_TBL SELECT UNIT_ID, 4 FROM MST_UNIT_TBL WHERE UNIT_CODE = 'LF014';</t>
        </is>
      </c>
      <c r="B161" s="16" t="n"/>
      <c r="C161" s="15" t="inlineStr">
        <is>
          <t>CNF_UNIT_FILTERING_TBL</t>
        </is>
      </c>
      <c r="D161" s="15" t="inlineStr">
        <is>
          <t>UNIT_ID</t>
        </is>
      </c>
      <c r="E161" s="15" t="inlineStr">
        <is>
          <t>4</t>
        </is>
      </c>
      <c r="F161" s="15" t="inlineStr">
        <is>
          <t>MST_UNIT_TBL</t>
        </is>
      </c>
      <c r="G161" s="15" t="inlineStr">
        <is>
          <t>UNIT_CODE</t>
        </is>
      </c>
      <c r="H161" s="15" t="inlineStr">
        <is>
          <t>LF014</t>
        </is>
      </c>
      <c r="J161" s="15" t="inlineStr">
        <is>
          <t>LF014</t>
        </is>
      </c>
      <c r="K161" s="15" t="inlineStr">
        <is>
          <t>債権管理部</t>
        </is>
      </c>
      <c r="L161" s="15" t="inlineStr">
        <is>
          <t>591</t>
        </is>
      </c>
      <c r="M161" s="19">
        <f>"INSERT INTO "&amp;C161&amp;" VALUES("&amp;L161&amp;" , "&amp;E161&amp;");"</f>
        <v/>
      </c>
      <c r="O161" s="17" t="inlineStr">
        <is>
          <t>591</t>
        </is>
      </c>
      <c r="P161" s="17" t="inlineStr">
        <is>
          <t>4</t>
        </is>
      </c>
      <c r="R161" s="15" t="inlineStr">
        <is>
          <t>INSERT INTO</t>
        </is>
      </c>
      <c r="S161" s="15" t="inlineStr">
        <is>
          <t>CNF_UNIT_FILTERING_TBL</t>
        </is>
      </c>
      <c r="T161" s="15" t="inlineStr">
        <is>
          <t>VALUES(</t>
        </is>
      </c>
      <c r="U161" s="15" t="inlineStr">
        <is>
          <t>591 , 4</t>
        </is>
      </c>
      <c r="V161" s="15" t="inlineStr">
        <is>
          <t>);</t>
        </is>
      </c>
      <c r="X161" s="18">
        <f>EXACT(TRIM(L161&amp;""),O161&amp;"")</f>
        <v/>
      </c>
      <c r="Y161" s="18">
        <f>EXACT(TRIM(E161&amp;""),P161&amp;"")</f>
        <v/>
      </c>
      <c r="Z161" s="18">
        <f>AND(X161:Y161)</f>
        <v/>
      </c>
      <c r="AA161" s="19">
        <f>TRIM(IF(X161,"",$X$3&amp;" ")&amp;IF(Y161,"",$Y$3&amp;" "))</f>
        <v/>
      </c>
      <c r="AB161" s="18">
        <f>EXACT(SUBSTITUTE(M161," ",""),SUBSTITUTE(R161&amp;S161&amp;T161&amp;U161&amp;V161," ",""))</f>
        <v/>
      </c>
    </row>
    <row r="162">
      <c r="A162" s="15" t="inlineStr">
        <is>
          <t>INSERT INTO CNF_UNIT_FILTERING_TBL SELECT UNIT_ID, 5 FROM MST_UNIT_TBL WHERE UNIT_CODE = 'LF014';</t>
        </is>
      </c>
      <c r="B162" s="16" t="n"/>
      <c r="C162" s="15" t="inlineStr">
        <is>
          <t>CNF_UNIT_FILTERING_TBL</t>
        </is>
      </c>
      <c r="D162" s="15" t="inlineStr">
        <is>
          <t>UNIT_ID</t>
        </is>
      </c>
      <c r="E162" s="15" t="inlineStr">
        <is>
          <t>5</t>
        </is>
      </c>
      <c r="F162" s="15" t="inlineStr">
        <is>
          <t>MST_UNIT_TBL</t>
        </is>
      </c>
      <c r="G162" s="15" t="inlineStr">
        <is>
          <t>UNIT_CODE</t>
        </is>
      </c>
      <c r="H162" s="15" t="inlineStr">
        <is>
          <t>LF014</t>
        </is>
      </c>
      <c r="J162" s="15" t="inlineStr">
        <is>
          <t>LF014</t>
        </is>
      </c>
      <c r="K162" s="15" t="inlineStr">
        <is>
          <t>債権管理部</t>
        </is>
      </c>
      <c r="L162" s="15" t="inlineStr">
        <is>
          <t>591</t>
        </is>
      </c>
      <c r="M162" s="19">
        <f>"INSERT INTO "&amp;C162&amp;" VALUES("&amp;L162&amp;" , "&amp;E162&amp;");"</f>
        <v/>
      </c>
      <c r="O162" s="17" t="inlineStr">
        <is>
          <t>591</t>
        </is>
      </c>
      <c r="P162" s="17" t="inlineStr">
        <is>
          <t>5</t>
        </is>
      </c>
      <c r="R162" s="15" t="inlineStr">
        <is>
          <t>INSERT INTO</t>
        </is>
      </c>
      <c r="S162" s="15" t="inlineStr">
        <is>
          <t>CNF_UNIT_FILTERING_TBL</t>
        </is>
      </c>
      <c r="T162" s="15" t="inlineStr">
        <is>
          <t>VALUES(</t>
        </is>
      </c>
      <c r="U162" s="15" t="inlineStr">
        <is>
          <t>591 , 5</t>
        </is>
      </c>
      <c r="V162" s="15" t="inlineStr">
        <is>
          <t>);</t>
        </is>
      </c>
      <c r="X162" s="18">
        <f>EXACT(TRIM(L162&amp;""),O162&amp;"")</f>
        <v/>
      </c>
      <c r="Y162" s="18">
        <f>EXACT(TRIM(E162&amp;""),P162&amp;"")</f>
        <v/>
      </c>
      <c r="Z162" s="18">
        <f>AND(X162:Y162)</f>
        <v/>
      </c>
      <c r="AA162" s="19">
        <f>TRIM(IF(X162,"",$X$3&amp;" ")&amp;IF(Y162,"",$Y$3&amp;" "))</f>
        <v/>
      </c>
      <c r="AB162" s="18">
        <f>EXACT(SUBSTITUTE(M162," ",""),SUBSTITUTE(R162&amp;S162&amp;T162&amp;U162&amp;V162," ",""))</f>
        <v/>
      </c>
    </row>
    <row r="163">
      <c r="A163" s="15" t="inlineStr">
        <is>
          <t>INSERT INTO CNF_UNIT_FILTERING_TBL SELECT UNIT_ID, 7 FROM MST_UNIT_TBL WHERE UNIT_CODE = 'LF014';</t>
        </is>
      </c>
      <c r="B163" s="16" t="n"/>
      <c r="C163" s="15" t="inlineStr">
        <is>
          <t>CNF_UNIT_FILTERING_TBL</t>
        </is>
      </c>
      <c r="D163" s="15" t="inlineStr">
        <is>
          <t>UNIT_ID</t>
        </is>
      </c>
      <c r="E163" s="15" t="inlineStr">
        <is>
          <t>7</t>
        </is>
      </c>
      <c r="F163" s="15" t="inlineStr">
        <is>
          <t>MST_UNIT_TBL</t>
        </is>
      </c>
      <c r="G163" s="15" t="inlineStr">
        <is>
          <t>UNIT_CODE</t>
        </is>
      </c>
      <c r="H163" s="15" t="inlineStr">
        <is>
          <t>LF014</t>
        </is>
      </c>
      <c r="J163" s="15" t="inlineStr">
        <is>
          <t>LF014</t>
        </is>
      </c>
      <c r="K163" s="15" t="inlineStr">
        <is>
          <t>債権管理部</t>
        </is>
      </c>
      <c r="L163" s="15" t="inlineStr">
        <is>
          <t>591</t>
        </is>
      </c>
      <c r="M163" s="19">
        <f>"INSERT INTO "&amp;C163&amp;" VALUES("&amp;L163&amp;" , "&amp;E163&amp;");"</f>
        <v/>
      </c>
      <c r="O163" s="17" t="inlineStr">
        <is>
          <t>591</t>
        </is>
      </c>
      <c r="P163" s="17" t="inlineStr">
        <is>
          <t>7</t>
        </is>
      </c>
      <c r="R163" s="15" t="inlineStr">
        <is>
          <t>INSERT INTO</t>
        </is>
      </c>
      <c r="S163" s="15" t="inlineStr">
        <is>
          <t>CNF_UNIT_FILTERING_TBL</t>
        </is>
      </c>
      <c r="T163" s="15" t="inlineStr">
        <is>
          <t>VALUES(</t>
        </is>
      </c>
      <c r="U163" s="15" t="inlineStr">
        <is>
          <t>591 , 7</t>
        </is>
      </c>
      <c r="V163" s="15" t="inlineStr">
        <is>
          <t>);</t>
        </is>
      </c>
      <c r="X163" s="18">
        <f>EXACT(TRIM(L163&amp;""),O163&amp;"")</f>
        <v/>
      </c>
      <c r="Y163" s="18">
        <f>EXACT(TRIM(E163&amp;""),P163&amp;"")</f>
        <v/>
      </c>
      <c r="Z163" s="18">
        <f>AND(X163:Y163)</f>
        <v/>
      </c>
      <c r="AA163" s="19">
        <f>TRIM(IF(X163,"",$X$3&amp;" ")&amp;IF(Y163,"",$Y$3&amp;" "))</f>
        <v/>
      </c>
      <c r="AB163" s="18">
        <f>EXACT(SUBSTITUTE(M163," ",""),SUBSTITUTE(R163&amp;S163&amp;T163&amp;U163&amp;V163," ",""))</f>
        <v/>
      </c>
    </row>
    <row r="164">
      <c r="A164" s="15" t="inlineStr">
        <is>
          <t>INSERT INTO CNF_UNIT_FILTERING_TBL SELECT UNIT_ID, 8 FROM MST_UNIT_TBL WHERE UNIT_CODE = 'LF014';</t>
        </is>
      </c>
      <c r="B164" s="16" t="n"/>
      <c r="C164" s="15" t="inlineStr">
        <is>
          <t>CNF_UNIT_FILTERING_TBL</t>
        </is>
      </c>
      <c r="D164" s="15" t="inlineStr">
        <is>
          <t>UNIT_ID</t>
        </is>
      </c>
      <c r="E164" s="15" t="inlineStr">
        <is>
          <t>8</t>
        </is>
      </c>
      <c r="F164" s="15" t="inlineStr">
        <is>
          <t>MST_UNIT_TBL</t>
        </is>
      </c>
      <c r="G164" s="15" t="inlineStr">
        <is>
          <t>UNIT_CODE</t>
        </is>
      </c>
      <c r="H164" s="15" t="inlineStr">
        <is>
          <t>LF014</t>
        </is>
      </c>
      <c r="J164" s="15" t="inlineStr">
        <is>
          <t>LF014</t>
        </is>
      </c>
      <c r="K164" s="15" t="inlineStr">
        <is>
          <t>債権管理部</t>
        </is>
      </c>
      <c r="L164" s="15" t="inlineStr">
        <is>
          <t>591</t>
        </is>
      </c>
      <c r="M164" s="19">
        <f>"INSERT INTO "&amp;C164&amp;" VALUES("&amp;L164&amp;" , "&amp;E164&amp;");"</f>
        <v/>
      </c>
      <c r="O164" s="17" t="inlineStr">
        <is>
          <t>591</t>
        </is>
      </c>
      <c r="P164" s="17" t="inlineStr">
        <is>
          <t>8</t>
        </is>
      </c>
      <c r="R164" s="15" t="inlineStr">
        <is>
          <t>INSERT INTO</t>
        </is>
      </c>
      <c r="S164" s="15" t="inlineStr">
        <is>
          <t>CNF_UNIT_FILTERING_TBL</t>
        </is>
      </c>
      <c r="T164" s="15" t="inlineStr">
        <is>
          <t>VALUES(</t>
        </is>
      </c>
      <c r="U164" s="15" t="inlineStr">
        <is>
          <t>591 , 8</t>
        </is>
      </c>
      <c r="V164" s="15" t="inlineStr">
        <is>
          <t>);</t>
        </is>
      </c>
      <c r="X164" s="18">
        <f>EXACT(TRIM(L164&amp;""),O164&amp;"")</f>
        <v/>
      </c>
      <c r="Y164" s="18">
        <f>EXACT(TRIM(E164&amp;""),P164&amp;"")</f>
        <v/>
      </c>
      <c r="Z164" s="18">
        <f>AND(X164:Y164)</f>
        <v/>
      </c>
      <c r="AA164" s="19">
        <f>TRIM(IF(X164,"",$X$3&amp;" ")&amp;IF(Y164,"",$Y$3&amp;" "))</f>
        <v/>
      </c>
      <c r="AB164" s="18">
        <f>EXACT(SUBSTITUTE(M164," ",""),SUBSTITUTE(R164&amp;S164&amp;T164&amp;U164&amp;V164," ",""))</f>
        <v/>
      </c>
    </row>
    <row r="165">
      <c r="A165" s="15" t="inlineStr">
        <is>
          <t>INSERT INTO CNF_UNIT_FILTERING_TBL SELECT UNIT_ID, 9 FROM MST_UNIT_TBL WHERE UNIT_CODE = 'LF014';</t>
        </is>
      </c>
      <c r="B165" s="16" t="n"/>
      <c r="C165" s="15" t="inlineStr">
        <is>
          <t>CNF_UNIT_FILTERING_TBL</t>
        </is>
      </c>
      <c r="D165" s="15" t="inlineStr">
        <is>
          <t>UNIT_ID</t>
        </is>
      </c>
      <c r="E165" s="15" t="inlineStr">
        <is>
          <t>9</t>
        </is>
      </c>
      <c r="F165" s="15" t="inlineStr">
        <is>
          <t>MST_UNIT_TBL</t>
        </is>
      </c>
      <c r="G165" s="15" t="inlineStr">
        <is>
          <t>UNIT_CODE</t>
        </is>
      </c>
      <c r="H165" s="15" t="inlineStr">
        <is>
          <t>LF014</t>
        </is>
      </c>
      <c r="J165" s="15" t="inlineStr">
        <is>
          <t>LF014</t>
        </is>
      </c>
      <c r="K165" s="15" t="inlineStr">
        <is>
          <t>債権管理部</t>
        </is>
      </c>
      <c r="L165" s="15" t="inlineStr">
        <is>
          <t>591</t>
        </is>
      </c>
      <c r="M165" s="19">
        <f>"INSERT INTO "&amp;C165&amp;" VALUES("&amp;L165&amp;" , "&amp;E165&amp;");"</f>
        <v/>
      </c>
      <c r="O165" s="17" t="inlineStr">
        <is>
          <t>591</t>
        </is>
      </c>
      <c r="P165" s="17" t="inlineStr">
        <is>
          <t>9</t>
        </is>
      </c>
      <c r="R165" s="15" t="inlineStr">
        <is>
          <t>INSERT INTO</t>
        </is>
      </c>
      <c r="S165" s="15" t="inlineStr">
        <is>
          <t>CNF_UNIT_FILTERING_TBL</t>
        </is>
      </c>
      <c r="T165" s="15" t="inlineStr">
        <is>
          <t>VALUES(</t>
        </is>
      </c>
      <c r="U165" s="15" t="inlineStr">
        <is>
          <t>591 , 9</t>
        </is>
      </c>
      <c r="V165" s="15" t="inlineStr">
        <is>
          <t>);</t>
        </is>
      </c>
      <c r="X165" s="18">
        <f>EXACT(TRIM(L165&amp;""),O165&amp;"")</f>
        <v/>
      </c>
      <c r="Y165" s="18">
        <f>EXACT(TRIM(E165&amp;""),P165&amp;"")</f>
        <v/>
      </c>
      <c r="Z165" s="18">
        <f>AND(X165:Y165)</f>
        <v/>
      </c>
      <c r="AA165" s="19">
        <f>TRIM(IF(X165,"",$X$3&amp;" ")&amp;IF(Y165,"",$Y$3&amp;" "))</f>
        <v/>
      </c>
      <c r="AB165" s="18">
        <f>EXACT(SUBSTITUTE(M165," ",""),SUBSTITUTE(R165&amp;S165&amp;T165&amp;U165&amp;V165," ",""))</f>
        <v/>
      </c>
    </row>
    <row r="166">
      <c r="A166" s="15" t="inlineStr">
        <is>
          <t>INSERT INTO CNF_UNIT_FILTERING_TBL SELECT UNIT_ID, 11 FROM MST_UNIT_TBL WHERE UNIT_CODE = 'LF014';</t>
        </is>
      </c>
      <c r="B166" s="16" t="n"/>
      <c r="C166" s="15" t="inlineStr">
        <is>
          <t>CNF_UNIT_FILTERING_TBL</t>
        </is>
      </c>
      <c r="D166" s="15" t="inlineStr">
        <is>
          <t>UNIT_ID</t>
        </is>
      </c>
      <c r="E166" s="15" t="inlineStr">
        <is>
          <t>11</t>
        </is>
      </c>
      <c r="F166" s="15" t="inlineStr">
        <is>
          <t>MST_UNIT_TBL</t>
        </is>
      </c>
      <c r="G166" s="15" t="inlineStr">
        <is>
          <t>UNIT_CODE</t>
        </is>
      </c>
      <c r="H166" s="15" t="inlineStr">
        <is>
          <t>LF014</t>
        </is>
      </c>
      <c r="J166" s="15" t="inlineStr">
        <is>
          <t>LF014</t>
        </is>
      </c>
      <c r="K166" s="15" t="inlineStr">
        <is>
          <t>債権管理部</t>
        </is>
      </c>
      <c r="L166" s="15" t="inlineStr">
        <is>
          <t>591</t>
        </is>
      </c>
      <c r="M166" s="19">
        <f>"INSERT INTO "&amp;C166&amp;" VALUES("&amp;L166&amp;" , "&amp;E166&amp;");"</f>
        <v/>
      </c>
      <c r="O166" s="17" t="inlineStr">
        <is>
          <t>591</t>
        </is>
      </c>
      <c r="P166" s="17" t="inlineStr">
        <is>
          <t>11</t>
        </is>
      </c>
      <c r="R166" s="15" t="inlineStr">
        <is>
          <t>INSERT INTO</t>
        </is>
      </c>
      <c r="S166" s="15" t="inlineStr">
        <is>
          <t>CNF_UNIT_FILTERING_TBL</t>
        </is>
      </c>
      <c r="T166" s="15" t="inlineStr">
        <is>
          <t>VALUES(</t>
        </is>
      </c>
      <c r="U166" s="15" t="inlineStr">
        <is>
          <t>591 , 11</t>
        </is>
      </c>
      <c r="V166" s="15" t="inlineStr">
        <is>
          <t>);</t>
        </is>
      </c>
      <c r="X166" s="18">
        <f>EXACT(TRIM(L166&amp;""),O166&amp;"")</f>
        <v/>
      </c>
      <c r="Y166" s="18">
        <f>EXACT(TRIM(E166&amp;""),P166&amp;"")</f>
        <v/>
      </c>
      <c r="Z166" s="18">
        <f>AND(X166:Y166)</f>
        <v/>
      </c>
      <c r="AA166" s="19">
        <f>TRIM(IF(X166,"",$X$3&amp;" ")&amp;IF(Y166,"",$Y$3&amp;" "))</f>
        <v/>
      </c>
      <c r="AB166" s="18">
        <f>EXACT(SUBSTITUTE(M166," ",""),SUBSTITUTE(R166&amp;S166&amp;T166&amp;U166&amp;V166," ",""))</f>
        <v/>
      </c>
    </row>
    <row r="167">
      <c r="A167" s="15" t="inlineStr">
        <is>
          <t>INSERT INTO CNF_UNIT_FILTERING_TBL SELECT UNIT_ID, 12 FROM MST_UNIT_TBL WHERE UNIT_CODE = 'LF014';</t>
        </is>
      </c>
      <c r="B167" s="16" t="n"/>
      <c r="C167" s="15" t="inlineStr">
        <is>
          <t>CNF_UNIT_FILTERING_TBL</t>
        </is>
      </c>
      <c r="D167" s="15" t="inlineStr">
        <is>
          <t>UNIT_ID</t>
        </is>
      </c>
      <c r="E167" s="15" t="inlineStr">
        <is>
          <t>12</t>
        </is>
      </c>
      <c r="F167" s="15" t="inlineStr">
        <is>
          <t>MST_UNIT_TBL</t>
        </is>
      </c>
      <c r="G167" s="15" t="inlineStr">
        <is>
          <t>UNIT_CODE</t>
        </is>
      </c>
      <c r="H167" s="15" t="inlineStr">
        <is>
          <t>LF014</t>
        </is>
      </c>
      <c r="J167" s="15" t="inlineStr">
        <is>
          <t>LF014</t>
        </is>
      </c>
      <c r="K167" s="15" t="inlineStr">
        <is>
          <t>債権管理部</t>
        </is>
      </c>
      <c r="L167" s="15" t="inlineStr">
        <is>
          <t>591</t>
        </is>
      </c>
      <c r="M167" s="19">
        <f>"INSERT INTO "&amp;C167&amp;" VALUES("&amp;L167&amp;" , "&amp;E167&amp;");"</f>
        <v/>
      </c>
      <c r="O167" s="17" t="inlineStr">
        <is>
          <t>591</t>
        </is>
      </c>
      <c r="P167" s="17" t="inlineStr">
        <is>
          <t>12</t>
        </is>
      </c>
      <c r="R167" s="15" t="inlineStr">
        <is>
          <t>INSERT INTO</t>
        </is>
      </c>
      <c r="S167" s="15" t="inlineStr">
        <is>
          <t>CNF_UNIT_FILTERING_TBL</t>
        </is>
      </c>
      <c r="T167" s="15" t="inlineStr">
        <is>
          <t>VALUES(</t>
        </is>
      </c>
      <c r="U167" s="15" t="inlineStr">
        <is>
          <t>591 , 12</t>
        </is>
      </c>
      <c r="V167" s="15" t="inlineStr">
        <is>
          <t>);</t>
        </is>
      </c>
      <c r="X167" s="18">
        <f>EXACT(TRIM(L167&amp;""),O167&amp;"")</f>
        <v/>
      </c>
      <c r="Y167" s="18">
        <f>EXACT(TRIM(E167&amp;""),P167&amp;"")</f>
        <v/>
      </c>
      <c r="Z167" s="18">
        <f>AND(X167:Y167)</f>
        <v/>
      </c>
      <c r="AA167" s="19">
        <f>TRIM(IF(X167,"",$X$3&amp;" ")&amp;IF(Y167,"",$Y$3&amp;" "))</f>
        <v/>
      </c>
      <c r="AB167" s="18">
        <f>EXACT(SUBSTITUTE(M167," ",""),SUBSTITUTE(R167&amp;S167&amp;T167&amp;U167&amp;V167," ",""))</f>
        <v/>
      </c>
    </row>
    <row r="168">
      <c r="A168" s="15" t="inlineStr">
        <is>
          <t>INSERT INTO CNF_UNIT_FILTERING_TBL SELECT UNIT_ID, 13 FROM MST_UNIT_TBL WHERE UNIT_CODE = 'LF014';</t>
        </is>
      </c>
      <c r="B168" s="16" t="n"/>
      <c r="C168" s="15" t="inlineStr">
        <is>
          <t>CNF_UNIT_FILTERING_TBL</t>
        </is>
      </c>
      <c r="D168" s="15" t="inlineStr">
        <is>
          <t>UNIT_ID</t>
        </is>
      </c>
      <c r="E168" s="15" t="inlineStr">
        <is>
          <t>13</t>
        </is>
      </c>
      <c r="F168" s="15" t="inlineStr">
        <is>
          <t>MST_UNIT_TBL</t>
        </is>
      </c>
      <c r="G168" s="15" t="inlineStr">
        <is>
          <t>UNIT_CODE</t>
        </is>
      </c>
      <c r="H168" s="15" t="inlineStr">
        <is>
          <t>LF014</t>
        </is>
      </c>
      <c r="J168" s="15" t="inlineStr">
        <is>
          <t>LF014</t>
        </is>
      </c>
      <c r="K168" s="15" t="inlineStr">
        <is>
          <t>債権管理部</t>
        </is>
      </c>
      <c r="L168" s="15" t="inlineStr">
        <is>
          <t>591</t>
        </is>
      </c>
      <c r="M168" s="19">
        <f>"INSERT INTO "&amp;C168&amp;" VALUES("&amp;L168&amp;" , "&amp;E168&amp;");"</f>
        <v/>
      </c>
      <c r="O168" s="17" t="inlineStr">
        <is>
          <t>591</t>
        </is>
      </c>
      <c r="P168" s="17" t="inlineStr">
        <is>
          <t>13</t>
        </is>
      </c>
      <c r="R168" s="15" t="inlineStr">
        <is>
          <t>INSERT INTO</t>
        </is>
      </c>
      <c r="S168" s="15" t="inlineStr">
        <is>
          <t>CNF_UNIT_FILTERING_TBL</t>
        </is>
      </c>
      <c r="T168" s="15" t="inlineStr">
        <is>
          <t>VALUES(</t>
        </is>
      </c>
      <c r="U168" s="15" t="inlineStr">
        <is>
          <t>591 , 13</t>
        </is>
      </c>
      <c r="V168" s="15" t="inlineStr">
        <is>
          <t>);</t>
        </is>
      </c>
      <c r="X168" s="18">
        <f>EXACT(TRIM(L168&amp;""),O168&amp;"")</f>
        <v/>
      </c>
      <c r="Y168" s="18">
        <f>EXACT(TRIM(E168&amp;""),P168&amp;"")</f>
        <v/>
      </c>
      <c r="Z168" s="18">
        <f>AND(X168:Y168)</f>
        <v/>
      </c>
      <c r="AA168" s="19">
        <f>TRIM(IF(X168,"",$X$3&amp;" ")&amp;IF(Y168,"",$Y$3&amp;" "))</f>
        <v/>
      </c>
      <c r="AB168" s="18">
        <f>EXACT(SUBSTITUTE(M168," ",""),SUBSTITUTE(R168&amp;S168&amp;T168&amp;U168&amp;V168," ",""))</f>
        <v/>
      </c>
    </row>
    <row r="169">
      <c r="A169" s="15" t="inlineStr">
        <is>
          <t>INSERT INTO CNF_UNIT_FILTERING_TBL SELECT UNIT_ID, 14 FROM MST_UNIT_TBL WHERE UNIT_CODE = 'LF014';</t>
        </is>
      </c>
      <c r="B169" s="16" t="n"/>
      <c r="C169" s="15" t="inlineStr">
        <is>
          <t>CNF_UNIT_FILTERING_TBL</t>
        </is>
      </c>
      <c r="D169" s="15" t="inlineStr">
        <is>
          <t>UNIT_ID</t>
        </is>
      </c>
      <c r="E169" s="15" t="inlineStr">
        <is>
          <t>14</t>
        </is>
      </c>
      <c r="F169" s="15" t="inlineStr">
        <is>
          <t>MST_UNIT_TBL</t>
        </is>
      </c>
      <c r="G169" s="15" t="inlineStr">
        <is>
          <t>UNIT_CODE</t>
        </is>
      </c>
      <c r="H169" s="15" t="inlineStr">
        <is>
          <t>LF014</t>
        </is>
      </c>
      <c r="J169" s="15" t="inlineStr">
        <is>
          <t>LF014</t>
        </is>
      </c>
      <c r="K169" s="15" t="inlineStr">
        <is>
          <t>債権管理部</t>
        </is>
      </c>
      <c r="L169" s="15" t="inlineStr">
        <is>
          <t>591</t>
        </is>
      </c>
      <c r="M169" s="19">
        <f>"INSERT INTO "&amp;C169&amp;" VALUES("&amp;L169&amp;" , "&amp;E169&amp;");"</f>
        <v/>
      </c>
      <c r="O169" s="17" t="inlineStr">
        <is>
          <t>591</t>
        </is>
      </c>
      <c r="P169" s="17" t="inlineStr">
        <is>
          <t>14</t>
        </is>
      </c>
      <c r="R169" s="15" t="inlineStr">
        <is>
          <t>INSERT INTO</t>
        </is>
      </c>
      <c r="S169" s="15" t="inlineStr">
        <is>
          <t>CNF_UNIT_FILTERING_TBL</t>
        </is>
      </c>
      <c r="T169" s="15" t="inlineStr">
        <is>
          <t>VALUES(</t>
        </is>
      </c>
      <c r="U169" s="15" t="inlineStr">
        <is>
          <t>591 , 14</t>
        </is>
      </c>
      <c r="V169" s="15" t="inlineStr">
        <is>
          <t>);</t>
        </is>
      </c>
      <c r="X169" s="18">
        <f>EXACT(TRIM(L169&amp;""),O169&amp;"")</f>
        <v/>
      </c>
      <c r="Y169" s="18">
        <f>EXACT(TRIM(E169&amp;""),P169&amp;"")</f>
        <v/>
      </c>
      <c r="Z169" s="18">
        <f>AND(X169:Y169)</f>
        <v/>
      </c>
      <c r="AA169" s="19">
        <f>TRIM(IF(X169,"",$X$3&amp;" ")&amp;IF(Y169,"",$Y$3&amp;" "))</f>
        <v/>
      </c>
      <c r="AB169" s="18">
        <f>EXACT(SUBSTITUTE(M169," ",""),SUBSTITUTE(R169&amp;S169&amp;T169&amp;U169&amp;V169," ",""))</f>
        <v/>
      </c>
    </row>
    <row r="170">
      <c r="A170" s="15" t="inlineStr">
        <is>
          <t>INSERT INTO CNF_UNIT_FILTERING_TBL SELECT UNIT_ID, 15 FROM MST_UNIT_TBL WHERE UNIT_CODE = 'LF014';</t>
        </is>
      </c>
      <c r="B170" s="16" t="n"/>
      <c r="C170" s="15" t="inlineStr">
        <is>
          <t>CNF_UNIT_FILTERING_TBL</t>
        </is>
      </c>
      <c r="D170" s="15" t="inlineStr">
        <is>
          <t>UNIT_ID</t>
        </is>
      </c>
      <c r="E170" s="15" t="inlineStr">
        <is>
          <t>15</t>
        </is>
      </c>
      <c r="F170" s="15" t="inlineStr">
        <is>
          <t>MST_UNIT_TBL</t>
        </is>
      </c>
      <c r="G170" s="15" t="inlineStr">
        <is>
          <t>UNIT_CODE</t>
        </is>
      </c>
      <c r="H170" s="15" t="inlineStr">
        <is>
          <t>LF014</t>
        </is>
      </c>
      <c r="J170" s="15" t="inlineStr">
        <is>
          <t>LF014</t>
        </is>
      </c>
      <c r="K170" s="15" t="inlineStr">
        <is>
          <t>債権管理部</t>
        </is>
      </c>
      <c r="L170" s="15" t="inlineStr">
        <is>
          <t>591</t>
        </is>
      </c>
      <c r="M170" s="19">
        <f>"INSERT INTO "&amp;C170&amp;" VALUES("&amp;L170&amp;" , "&amp;E170&amp;");"</f>
        <v/>
      </c>
      <c r="O170" s="17" t="inlineStr">
        <is>
          <t>591</t>
        </is>
      </c>
      <c r="P170" s="17" t="inlineStr">
        <is>
          <t>15</t>
        </is>
      </c>
      <c r="R170" s="15" t="inlineStr">
        <is>
          <t>INSERT INTO</t>
        </is>
      </c>
      <c r="S170" s="15" t="inlineStr">
        <is>
          <t>CNF_UNIT_FILTERING_TBL</t>
        </is>
      </c>
      <c r="T170" s="15" t="inlineStr">
        <is>
          <t>VALUES(</t>
        </is>
      </c>
      <c r="U170" s="15" t="inlineStr">
        <is>
          <t>591 , 15</t>
        </is>
      </c>
      <c r="V170" s="15" t="inlineStr">
        <is>
          <t>);</t>
        </is>
      </c>
      <c r="X170" s="18">
        <f>EXACT(TRIM(L170&amp;""),O170&amp;"")</f>
        <v/>
      </c>
      <c r="Y170" s="18">
        <f>EXACT(TRIM(E170&amp;""),P170&amp;"")</f>
        <v/>
      </c>
      <c r="Z170" s="18">
        <f>AND(X170:Y170)</f>
        <v/>
      </c>
      <c r="AA170" s="19">
        <f>TRIM(IF(X170,"",$X$3&amp;" ")&amp;IF(Y170,"",$Y$3&amp;" "))</f>
        <v/>
      </c>
      <c r="AB170" s="18">
        <f>EXACT(SUBSTITUTE(M170," ",""),SUBSTITUTE(R170&amp;S170&amp;T170&amp;U170&amp;V170," ",""))</f>
        <v/>
      </c>
    </row>
    <row r="171">
      <c r="A171" s="15" t="inlineStr">
        <is>
          <t>INSERT INTO CNF_UNIT_FILTERING_TBL SELECT UNIT_ID, 16 FROM MST_UNIT_TBL WHERE UNIT_CODE = 'LF014';</t>
        </is>
      </c>
      <c r="B171" s="16" t="n"/>
      <c r="C171" s="15" t="inlineStr">
        <is>
          <t>CNF_UNIT_FILTERING_TBL</t>
        </is>
      </c>
      <c r="D171" s="15" t="inlineStr">
        <is>
          <t>UNIT_ID</t>
        </is>
      </c>
      <c r="E171" s="15" t="inlineStr">
        <is>
          <t>16</t>
        </is>
      </c>
      <c r="F171" s="15" t="inlineStr">
        <is>
          <t>MST_UNIT_TBL</t>
        </is>
      </c>
      <c r="G171" s="15" t="inlineStr">
        <is>
          <t>UNIT_CODE</t>
        </is>
      </c>
      <c r="H171" s="15" t="inlineStr">
        <is>
          <t>LF014</t>
        </is>
      </c>
      <c r="J171" s="15" t="inlineStr">
        <is>
          <t>LF014</t>
        </is>
      </c>
      <c r="K171" s="15" t="inlineStr">
        <is>
          <t>債権管理部</t>
        </is>
      </c>
      <c r="L171" s="15" t="inlineStr">
        <is>
          <t>591</t>
        </is>
      </c>
      <c r="M171" s="19">
        <f>"INSERT INTO "&amp;C171&amp;" VALUES("&amp;L171&amp;" , "&amp;E171&amp;");"</f>
        <v/>
      </c>
      <c r="O171" s="17" t="inlineStr">
        <is>
          <t>591</t>
        </is>
      </c>
      <c r="P171" s="17" t="inlineStr">
        <is>
          <t>16</t>
        </is>
      </c>
      <c r="R171" s="15" t="inlineStr">
        <is>
          <t>INSERT INTO</t>
        </is>
      </c>
      <c r="S171" s="15" t="inlineStr">
        <is>
          <t>CNF_UNIT_FILTERING_TBL</t>
        </is>
      </c>
      <c r="T171" s="15" t="inlineStr">
        <is>
          <t>VALUES(</t>
        </is>
      </c>
      <c r="U171" s="15" t="inlineStr">
        <is>
          <t>591 , 16</t>
        </is>
      </c>
      <c r="V171" s="15" t="inlineStr">
        <is>
          <t>);</t>
        </is>
      </c>
      <c r="X171" s="18">
        <f>EXACT(TRIM(L171&amp;""),O171&amp;"")</f>
        <v/>
      </c>
      <c r="Y171" s="18">
        <f>EXACT(TRIM(E171&amp;""),P171&amp;"")</f>
        <v/>
      </c>
      <c r="Z171" s="18">
        <f>AND(X171:Y171)</f>
        <v/>
      </c>
      <c r="AA171" s="19">
        <f>TRIM(IF(X171,"",$X$3&amp;" ")&amp;IF(Y171,"",$Y$3&amp;" "))</f>
        <v/>
      </c>
      <c r="AB171" s="18">
        <f>EXACT(SUBSTITUTE(M171," ",""),SUBSTITUTE(R171&amp;S171&amp;T171&amp;U171&amp;V171," ",""))</f>
        <v/>
      </c>
    </row>
    <row r="172">
      <c r="A172" s="15" t="inlineStr">
        <is>
          <t>INSERT INTO CNF_UNIT_FILTERING_TBL SELECT UNIT_ID, 1 FROM MST_UNIT_TBL WHERE UNIT_CODE = 'LF015';</t>
        </is>
      </c>
      <c r="B172" s="16" t="n"/>
      <c r="C172" s="15" t="inlineStr">
        <is>
          <t>CNF_UNIT_FILTERING_TBL</t>
        </is>
      </c>
      <c r="D172" s="15" t="inlineStr">
        <is>
          <t>UNIT_ID</t>
        </is>
      </c>
      <c r="E172" s="15" t="inlineStr">
        <is>
          <t>1</t>
        </is>
      </c>
      <c r="F172" s="15" t="inlineStr">
        <is>
          <t>MST_UNIT_TBL</t>
        </is>
      </c>
      <c r="G172" s="15" t="inlineStr">
        <is>
          <t>UNIT_CODE</t>
        </is>
      </c>
      <c r="H172" s="15" t="inlineStr">
        <is>
          <t>LF015</t>
        </is>
      </c>
      <c r="J172" s="15" t="inlineStr">
        <is>
          <t>LF015</t>
        </is>
      </c>
      <c r="K172" s="15" t="inlineStr">
        <is>
          <t>本店営業第一部</t>
        </is>
      </c>
      <c r="L172" s="15" t="inlineStr">
        <is>
          <t>592</t>
        </is>
      </c>
      <c r="M172" s="19">
        <f>"INSERT INTO "&amp;C172&amp;" VALUES("&amp;L172&amp;" , "&amp;E172&amp;");"</f>
        <v/>
      </c>
      <c r="O172" s="17" t="inlineStr">
        <is>
          <t>592</t>
        </is>
      </c>
      <c r="P172" s="17" t="inlineStr">
        <is>
          <t>1</t>
        </is>
      </c>
      <c r="R172" s="15" t="inlineStr">
        <is>
          <t>INSERT INTO</t>
        </is>
      </c>
      <c r="S172" s="15" t="inlineStr">
        <is>
          <t>CNF_UNIT_FILTERING_TBL</t>
        </is>
      </c>
      <c r="T172" s="15" t="inlineStr">
        <is>
          <t>VALUES(</t>
        </is>
      </c>
      <c r="U172" s="15" t="inlineStr">
        <is>
          <t>592 , 1</t>
        </is>
      </c>
      <c r="V172" s="15" t="inlineStr">
        <is>
          <t>);</t>
        </is>
      </c>
      <c r="X172" s="18">
        <f>EXACT(TRIM(L172&amp;""),O172&amp;"")</f>
        <v/>
      </c>
      <c r="Y172" s="18">
        <f>EXACT(TRIM(E172&amp;""),P172&amp;"")</f>
        <v/>
      </c>
      <c r="Z172" s="18">
        <f>AND(X172:Y172)</f>
        <v/>
      </c>
      <c r="AA172" s="19">
        <f>TRIM(IF(X172,"",$X$3&amp;" ")&amp;IF(Y172,"",$Y$3&amp;" "))</f>
        <v/>
      </c>
      <c r="AB172" s="18">
        <f>EXACT(SUBSTITUTE(M172," ",""),SUBSTITUTE(R172&amp;S172&amp;T172&amp;U172&amp;V172," ",""))</f>
        <v/>
      </c>
    </row>
    <row r="173">
      <c r="A173" s="15" t="inlineStr">
        <is>
          <t>INSERT INTO CNF_UNIT_FILTERING_TBL SELECT UNIT_ID, 4 FROM MST_UNIT_TBL WHERE UNIT_CODE = 'LF015';</t>
        </is>
      </c>
      <c r="B173" s="16" t="n"/>
      <c r="C173" s="15" t="inlineStr">
        <is>
          <t>CNF_UNIT_FILTERING_TBL</t>
        </is>
      </c>
      <c r="D173" s="15" t="inlineStr">
        <is>
          <t>UNIT_ID</t>
        </is>
      </c>
      <c r="E173" s="15" t="inlineStr">
        <is>
          <t>4</t>
        </is>
      </c>
      <c r="F173" s="15" t="inlineStr">
        <is>
          <t>MST_UNIT_TBL</t>
        </is>
      </c>
      <c r="G173" s="15" t="inlineStr">
        <is>
          <t>UNIT_CODE</t>
        </is>
      </c>
      <c r="H173" s="15" t="inlineStr">
        <is>
          <t>LF015</t>
        </is>
      </c>
      <c r="J173" s="15" t="inlineStr">
        <is>
          <t>LF015</t>
        </is>
      </c>
      <c r="K173" s="15" t="inlineStr">
        <is>
          <t>本店営業第一部</t>
        </is>
      </c>
      <c r="L173" s="15" t="inlineStr">
        <is>
          <t>592</t>
        </is>
      </c>
      <c r="M173" s="19">
        <f>"INSERT INTO "&amp;C173&amp;" VALUES("&amp;L173&amp;" , "&amp;E173&amp;");"</f>
        <v/>
      </c>
      <c r="O173" s="17" t="inlineStr">
        <is>
          <t>592</t>
        </is>
      </c>
      <c r="P173" s="17" t="inlineStr">
        <is>
          <t>4</t>
        </is>
      </c>
      <c r="R173" s="15" t="inlineStr">
        <is>
          <t>INSERT INTO</t>
        </is>
      </c>
      <c r="S173" s="15" t="inlineStr">
        <is>
          <t>CNF_UNIT_FILTERING_TBL</t>
        </is>
      </c>
      <c r="T173" s="15" t="inlineStr">
        <is>
          <t>VALUES(</t>
        </is>
      </c>
      <c r="U173" s="15" t="inlineStr">
        <is>
          <t>592 , 4</t>
        </is>
      </c>
      <c r="V173" s="15" t="inlineStr">
        <is>
          <t>);</t>
        </is>
      </c>
      <c r="X173" s="18">
        <f>EXACT(TRIM(L173&amp;""),O173&amp;"")</f>
        <v/>
      </c>
      <c r="Y173" s="18">
        <f>EXACT(TRIM(E173&amp;""),P173&amp;"")</f>
        <v/>
      </c>
      <c r="Z173" s="18">
        <f>AND(X173:Y173)</f>
        <v/>
      </c>
      <c r="AA173" s="19">
        <f>TRIM(IF(X173,"",$X$3&amp;" ")&amp;IF(Y173,"",$Y$3&amp;" "))</f>
        <v/>
      </c>
      <c r="AB173" s="18">
        <f>EXACT(SUBSTITUTE(M173," ",""),SUBSTITUTE(R173&amp;S173&amp;T173&amp;U173&amp;V173," ",""))</f>
        <v/>
      </c>
    </row>
    <row r="174">
      <c r="A174" s="15" t="inlineStr">
        <is>
          <t>INSERT INTO CNF_UNIT_FILTERING_TBL SELECT UNIT_ID, 5 FROM MST_UNIT_TBL WHERE UNIT_CODE = 'LF015';</t>
        </is>
      </c>
      <c r="B174" s="16" t="n"/>
      <c r="C174" s="15" t="inlineStr">
        <is>
          <t>CNF_UNIT_FILTERING_TBL</t>
        </is>
      </c>
      <c r="D174" s="15" t="inlineStr">
        <is>
          <t>UNIT_ID</t>
        </is>
      </c>
      <c r="E174" s="15" t="inlineStr">
        <is>
          <t>5</t>
        </is>
      </c>
      <c r="F174" s="15" t="inlineStr">
        <is>
          <t>MST_UNIT_TBL</t>
        </is>
      </c>
      <c r="G174" s="15" t="inlineStr">
        <is>
          <t>UNIT_CODE</t>
        </is>
      </c>
      <c r="H174" s="15" t="inlineStr">
        <is>
          <t>LF015</t>
        </is>
      </c>
      <c r="J174" s="15" t="inlineStr">
        <is>
          <t>LF015</t>
        </is>
      </c>
      <c r="K174" s="15" t="inlineStr">
        <is>
          <t>本店営業第一部</t>
        </is>
      </c>
      <c r="L174" s="15" t="inlineStr">
        <is>
          <t>592</t>
        </is>
      </c>
      <c r="M174" s="19">
        <f>"INSERT INTO "&amp;C174&amp;" VALUES("&amp;L174&amp;" , "&amp;E174&amp;");"</f>
        <v/>
      </c>
      <c r="O174" s="17" t="inlineStr">
        <is>
          <t>592</t>
        </is>
      </c>
      <c r="P174" s="17" t="inlineStr">
        <is>
          <t>5</t>
        </is>
      </c>
      <c r="R174" s="15" t="inlineStr">
        <is>
          <t>INSERT INTO</t>
        </is>
      </c>
      <c r="S174" s="15" t="inlineStr">
        <is>
          <t>CNF_UNIT_FILTERING_TBL</t>
        </is>
      </c>
      <c r="T174" s="15" t="inlineStr">
        <is>
          <t>VALUES(</t>
        </is>
      </c>
      <c r="U174" s="15" t="inlineStr">
        <is>
          <t>592 , 5</t>
        </is>
      </c>
      <c r="V174" s="15" t="inlineStr">
        <is>
          <t>);</t>
        </is>
      </c>
      <c r="X174" s="18">
        <f>EXACT(TRIM(L174&amp;""),O174&amp;"")</f>
        <v/>
      </c>
      <c r="Y174" s="18">
        <f>EXACT(TRIM(E174&amp;""),P174&amp;"")</f>
        <v/>
      </c>
      <c r="Z174" s="18">
        <f>AND(X174:Y174)</f>
        <v/>
      </c>
      <c r="AA174" s="19">
        <f>TRIM(IF(X174,"",$X$3&amp;" ")&amp;IF(Y174,"",$Y$3&amp;" "))</f>
        <v/>
      </c>
      <c r="AB174" s="18">
        <f>EXACT(SUBSTITUTE(M174," ",""),SUBSTITUTE(R174&amp;S174&amp;T174&amp;U174&amp;V174," ",""))</f>
        <v/>
      </c>
    </row>
    <row r="175">
      <c r="A175" s="15" t="inlineStr">
        <is>
          <t>INSERT INTO CNF_UNIT_FILTERING_TBL SELECT UNIT_ID, 7 FROM MST_UNIT_TBL WHERE UNIT_CODE = 'LF015';</t>
        </is>
      </c>
      <c r="B175" s="16" t="n"/>
      <c r="C175" s="15" t="inlineStr">
        <is>
          <t>CNF_UNIT_FILTERING_TBL</t>
        </is>
      </c>
      <c r="D175" s="15" t="inlineStr">
        <is>
          <t>UNIT_ID</t>
        </is>
      </c>
      <c r="E175" s="15" t="inlineStr">
        <is>
          <t>7</t>
        </is>
      </c>
      <c r="F175" s="15" t="inlineStr">
        <is>
          <t>MST_UNIT_TBL</t>
        </is>
      </c>
      <c r="G175" s="15" t="inlineStr">
        <is>
          <t>UNIT_CODE</t>
        </is>
      </c>
      <c r="H175" s="15" t="inlineStr">
        <is>
          <t>LF015</t>
        </is>
      </c>
      <c r="J175" s="15" t="inlineStr">
        <is>
          <t>LF015</t>
        </is>
      </c>
      <c r="K175" s="15" t="inlineStr">
        <is>
          <t>本店営業第一部</t>
        </is>
      </c>
      <c r="L175" s="15" t="inlineStr">
        <is>
          <t>592</t>
        </is>
      </c>
      <c r="M175" s="19">
        <f>"INSERT INTO "&amp;C175&amp;" VALUES("&amp;L175&amp;" , "&amp;E175&amp;");"</f>
        <v/>
      </c>
      <c r="O175" s="17" t="inlineStr">
        <is>
          <t>592</t>
        </is>
      </c>
      <c r="P175" s="17" t="inlineStr">
        <is>
          <t>7</t>
        </is>
      </c>
      <c r="R175" s="15" t="inlineStr">
        <is>
          <t>INSERT INTO</t>
        </is>
      </c>
      <c r="S175" s="15" t="inlineStr">
        <is>
          <t>CNF_UNIT_FILTERING_TBL</t>
        </is>
      </c>
      <c r="T175" s="15" t="inlineStr">
        <is>
          <t>VALUES(</t>
        </is>
      </c>
      <c r="U175" s="15" t="inlineStr">
        <is>
          <t>592 , 7</t>
        </is>
      </c>
      <c r="V175" s="15" t="inlineStr">
        <is>
          <t>);</t>
        </is>
      </c>
      <c r="X175" s="18">
        <f>EXACT(TRIM(L175&amp;""),O175&amp;"")</f>
        <v/>
      </c>
      <c r="Y175" s="18">
        <f>EXACT(TRIM(E175&amp;""),P175&amp;"")</f>
        <v/>
      </c>
      <c r="Z175" s="18">
        <f>AND(X175:Y175)</f>
        <v/>
      </c>
      <c r="AA175" s="19">
        <f>TRIM(IF(X175,"",$X$3&amp;" ")&amp;IF(Y175,"",$Y$3&amp;" "))</f>
        <v/>
      </c>
      <c r="AB175" s="18">
        <f>EXACT(SUBSTITUTE(M175," ",""),SUBSTITUTE(R175&amp;S175&amp;T175&amp;U175&amp;V175," ",""))</f>
        <v/>
      </c>
    </row>
    <row r="176">
      <c r="A176" s="15" t="inlineStr">
        <is>
          <t>INSERT INTO CNF_UNIT_FILTERING_TBL SELECT UNIT_ID, 8 FROM MST_UNIT_TBL WHERE UNIT_CODE = 'LF015';</t>
        </is>
      </c>
      <c r="B176" s="16" t="n"/>
      <c r="C176" s="15" t="inlineStr">
        <is>
          <t>CNF_UNIT_FILTERING_TBL</t>
        </is>
      </c>
      <c r="D176" s="15" t="inlineStr">
        <is>
          <t>UNIT_ID</t>
        </is>
      </c>
      <c r="E176" s="15" t="inlineStr">
        <is>
          <t>8</t>
        </is>
      </c>
      <c r="F176" s="15" t="inlineStr">
        <is>
          <t>MST_UNIT_TBL</t>
        </is>
      </c>
      <c r="G176" s="15" t="inlineStr">
        <is>
          <t>UNIT_CODE</t>
        </is>
      </c>
      <c r="H176" s="15" t="inlineStr">
        <is>
          <t>LF015</t>
        </is>
      </c>
      <c r="J176" s="15" t="inlineStr">
        <is>
          <t>LF015</t>
        </is>
      </c>
      <c r="K176" s="15" t="inlineStr">
        <is>
          <t>本店営業第一部</t>
        </is>
      </c>
      <c r="L176" s="15" t="inlineStr">
        <is>
          <t>592</t>
        </is>
      </c>
      <c r="M176" s="19">
        <f>"INSERT INTO "&amp;C176&amp;" VALUES("&amp;L176&amp;" , "&amp;E176&amp;");"</f>
        <v/>
      </c>
      <c r="O176" s="17" t="inlineStr">
        <is>
          <t>592</t>
        </is>
      </c>
      <c r="P176" s="17" t="inlineStr">
        <is>
          <t>8</t>
        </is>
      </c>
      <c r="R176" s="15" t="inlineStr">
        <is>
          <t>INSERT INTO</t>
        </is>
      </c>
      <c r="S176" s="15" t="inlineStr">
        <is>
          <t>CNF_UNIT_FILTERING_TBL</t>
        </is>
      </c>
      <c r="T176" s="15" t="inlineStr">
        <is>
          <t>VALUES(</t>
        </is>
      </c>
      <c r="U176" s="15" t="inlineStr">
        <is>
          <t>592 , 8</t>
        </is>
      </c>
      <c r="V176" s="15" t="inlineStr">
        <is>
          <t>);</t>
        </is>
      </c>
      <c r="X176" s="18">
        <f>EXACT(TRIM(L176&amp;""),O176&amp;"")</f>
        <v/>
      </c>
      <c r="Y176" s="18">
        <f>EXACT(TRIM(E176&amp;""),P176&amp;"")</f>
        <v/>
      </c>
      <c r="Z176" s="18">
        <f>AND(X176:Y176)</f>
        <v/>
      </c>
      <c r="AA176" s="19">
        <f>TRIM(IF(X176,"",$X$3&amp;" ")&amp;IF(Y176,"",$Y$3&amp;" "))</f>
        <v/>
      </c>
      <c r="AB176" s="18">
        <f>EXACT(SUBSTITUTE(M176," ",""),SUBSTITUTE(R176&amp;S176&amp;T176&amp;U176&amp;V176," ",""))</f>
        <v/>
      </c>
    </row>
    <row r="177">
      <c r="A177" s="15" t="inlineStr">
        <is>
          <t>INSERT INTO CNF_UNIT_FILTERING_TBL SELECT UNIT_ID, 9 FROM MST_UNIT_TBL WHERE UNIT_CODE = 'LF015';</t>
        </is>
      </c>
      <c r="B177" s="16" t="n"/>
      <c r="C177" s="15" t="inlineStr">
        <is>
          <t>CNF_UNIT_FILTERING_TBL</t>
        </is>
      </c>
      <c r="D177" s="15" t="inlineStr">
        <is>
          <t>UNIT_ID</t>
        </is>
      </c>
      <c r="E177" s="15" t="inlineStr">
        <is>
          <t>9</t>
        </is>
      </c>
      <c r="F177" s="15" t="inlineStr">
        <is>
          <t>MST_UNIT_TBL</t>
        </is>
      </c>
      <c r="G177" s="15" t="inlineStr">
        <is>
          <t>UNIT_CODE</t>
        </is>
      </c>
      <c r="H177" s="15" t="inlineStr">
        <is>
          <t>LF015</t>
        </is>
      </c>
      <c r="J177" s="15" t="inlineStr">
        <is>
          <t>LF015</t>
        </is>
      </c>
      <c r="K177" s="15" t="inlineStr">
        <is>
          <t>本店営業第一部</t>
        </is>
      </c>
      <c r="L177" s="15" t="inlineStr">
        <is>
          <t>592</t>
        </is>
      </c>
      <c r="M177" s="19">
        <f>"INSERT INTO "&amp;C177&amp;" VALUES("&amp;L177&amp;" , "&amp;E177&amp;");"</f>
        <v/>
      </c>
      <c r="O177" s="17" t="inlineStr">
        <is>
          <t>592</t>
        </is>
      </c>
      <c r="P177" s="17" t="inlineStr">
        <is>
          <t>9</t>
        </is>
      </c>
      <c r="R177" s="15" t="inlineStr">
        <is>
          <t>INSERT INTO</t>
        </is>
      </c>
      <c r="S177" s="15" t="inlineStr">
        <is>
          <t>CNF_UNIT_FILTERING_TBL</t>
        </is>
      </c>
      <c r="T177" s="15" t="inlineStr">
        <is>
          <t>VALUES(</t>
        </is>
      </c>
      <c r="U177" s="15" t="inlineStr">
        <is>
          <t>592 , 9</t>
        </is>
      </c>
      <c r="V177" s="15" t="inlineStr">
        <is>
          <t>);</t>
        </is>
      </c>
      <c r="X177" s="18">
        <f>EXACT(TRIM(L177&amp;""),O177&amp;"")</f>
        <v/>
      </c>
      <c r="Y177" s="18">
        <f>EXACT(TRIM(E177&amp;""),P177&amp;"")</f>
        <v/>
      </c>
      <c r="Z177" s="18">
        <f>AND(X177:Y177)</f>
        <v/>
      </c>
      <c r="AA177" s="19">
        <f>TRIM(IF(X177,"",$X$3&amp;" ")&amp;IF(Y177,"",$Y$3&amp;" "))</f>
        <v/>
      </c>
      <c r="AB177" s="18">
        <f>EXACT(SUBSTITUTE(M177," ",""),SUBSTITUTE(R177&amp;S177&amp;T177&amp;U177&amp;V177," ",""))</f>
        <v/>
      </c>
    </row>
    <row r="178">
      <c r="A178" s="15" t="inlineStr">
        <is>
          <t>INSERT INTO CNF_UNIT_FILTERING_TBL SELECT UNIT_ID, 11 FROM MST_UNIT_TBL WHERE UNIT_CODE = 'LF015';</t>
        </is>
      </c>
      <c r="B178" s="16" t="n"/>
      <c r="C178" s="15" t="inlineStr">
        <is>
          <t>CNF_UNIT_FILTERING_TBL</t>
        </is>
      </c>
      <c r="D178" s="15" t="inlineStr">
        <is>
          <t>UNIT_ID</t>
        </is>
      </c>
      <c r="E178" s="15" t="inlineStr">
        <is>
          <t>11</t>
        </is>
      </c>
      <c r="F178" s="15" t="inlineStr">
        <is>
          <t>MST_UNIT_TBL</t>
        </is>
      </c>
      <c r="G178" s="15" t="inlineStr">
        <is>
          <t>UNIT_CODE</t>
        </is>
      </c>
      <c r="H178" s="15" t="inlineStr">
        <is>
          <t>LF015</t>
        </is>
      </c>
      <c r="J178" s="15" t="inlineStr">
        <is>
          <t>LF015</t>
        </is>
      </c>
      <c r="K178" s="15" t="inlineStr">
        <is>
          <t>本店営業第一部</t>
        </is>
      </c>
      <c r="L178" s="15" t="inlineStr">
        <is>
          <t>592</t>
        </is>
      </c>
      <c r="M178" s="19">
        <f>"INSERT INTO "&amp;C178&amp;" VALUES("&amp;L178&amp;" , "&amp;E178&amp;");"</f>
        <v/>
      </c>
      <c r="O178" s="17" t="inlineStr">
        <is>
          <t>592</t>
        </is>
      </c>
      <c r="P178" s="17" t="inlineStr">
        <is>
          <t>11</t>
        </is>
      </c>
      <c r="R178" s="15" t="inlineStr">
        <is>
          <t>INSERT INTO</t>
        </is>
      </c>
      <c r="S178" s="15" t="inlineStr">
        <is>
          <t>CNF_UNIT_FILTERING_TBL</t>
        </is>
      </c>
      <c r="T178" s="15" t="inlineStr">
        <is>
          <t>VALUES(</t>
        </is>
      </c>
      <c r="U178" s="15" t="inlineStr">
        <is>
          <t>592 , 11</t>
        </is>
      </c>
      <c r="V178" s="15" t="inlineStr">
        <is>
          <t>);</t>
        </is>
      </c>
      <c r="X178" s="18">
        <f>EXACT(TRIM(L178&amp;""),O178&amp;"")</f>
        <v/>
      </c>
      <c r="Y178" s="18">
        <f>EXACT(TRIM(E178&amp;""),P178&amp;"")</f>
        <v/>
      </c>
      <c r="Z178" s="18">
        <f>AND(X178:Y178)</f>
        <v/>
      </c>
      <c r="AA178" s="19">
        <f>TRIM(IF(X178,"",$X$3&amp;" ")&amp;IF(Y178,"",$Y$3&amp;" "))</f>
        <v/>
      </c>
      <c r="AB178" s="18">
        <f>EXACT(SUBSTITUTE(M178," ",""),SUBSTITUTE(R178&amp;S178&amp;T178&amp;U178&amp;V178," ",""))</f>
        <v/>
      </c>
    </row>
    <row r="179">
      <c r="A179" s="15" t="inlineStr">
        <is>
          <t>INSERT INTO CNF_UNIT_FILTERING_TBL SELECT UNIT_ID, 12 FROM MST_UNIT_TBL WHERE UNIT_CODE = 'LF015';</t>
        </is>
      </c>
      <c r="B179" s="16" t="n"/>
      <c r="C179" s="15" t="inlineStr">
        <is>
          <t>CNF_UNIT_FILTERING_TBL</t>
        </is>
      </c>
      <c r="D179" s="15" t="inlineStr">
        <is>
          <t>UNIT_ID</t>
        </is>
      </c>
      <c r="E179" s="15" t="inlineStr">
        <is>
          <t>12</t>
        </is>
      </c>
      <c r="F179" s="15" t="inlineStr">
        <is>
          <t>MST_UNIT_TBL</t>
        </is>
      </c>
      <c r="G179" s="15" t="inlineStr">
        <is>
          <t>UNIT_CODE</t>
        </is>
      </c>
      <c r="H179" s="15" t="inlineStr">
        <is>
          <t>LF015</t>
        </is>
      </c>
      <c r="J179" s="15" t="inlineStr">
        <is>
          <t>LF015</t>
        </is>
      </c>
      <c r="K179" s="15" t="inlineStr">
        <is>
          <t>本店営業第一部</t>
        </is>
      </c>
      <c r="L179" s="15" t="inlineStr">
        <is>
          <t>592</t>
        </is>
      </c>
      <c r="M179" s="19">
        <f>"INSERT INTO "&amp;C179&amp;" VALUES("&amp;L179&amp;" , "&amp;E179&amp;");"</f>
        <v/>
      </c>
      <c r="O179" s="17" t="inlineStr">
        <is>
          <t>592</t>
        </is>
      </c>
      <c r="P179" s="17" t="inlineStr">
        <is>
          <t>12</t>
        </is>
      </c>
      <c r="R179" s="15" t="inlineStr">
        <is>
          <t>INSERT INTO</t>
        </is>
      </c>
      <c r="S179" s="15" t="inlineStr">
        <is>
          <t>CNF_UNIT_FILTERING_TBL</t>
        </is>
      </c>
      <c r="T179" s="15" t="inlineStr">
        <is>
          <t>VALUES(</t>
        </is>
      </c>
      <c r="U179" s="15" t="inlineStr">
        <is>
          <t>592 , 12</t>
        </is>
      </c>
      <c r="V179" s="15" t="inlineStr">
        <is>
          <t>);</t>
        </is>
      </c>
      <c r="X179" s="18">
        <f>EXACT(TRIM(L179&amp;""),O179&amp;"")</f>
        <v/>
      </c>
      <c r="Y179" s="18">
        <f>EXACT(TRIM(E179&amp;""),P179&amp;"")</f>
        <v/>
      </c>
      <c r="Z179" s="18">
        <f>AND(X179:Y179)</f>
        <v/>
      </c>
      <c r="AA179" s="19">
        <f>TRIM(IF(X179,"",$X$3&amp;" ")&amp;IF(Y179,"",$Y$3&amp;" "))</f>
        <v/>
      </c>
      <c r="AB179" s="18">
        <f>EXACT(SUBSTITUTE(M179," ",""),SUBSTITUTE(R179&amp;S179&amp;T179&amp;U179&amp;V179," ",""))</f>
        <v/>
      </c>
    </row>
    <row r="180">
      <c r="A180" s="15" t="inlineStr">
        <is>
          <t>INSERT INTO CNF_UNIT_FILTERING_TBL SELECT UNIT_ID, 13 FROM MST_UNIT_TBL WHERE UNIT_CODE = 'LF015';</t>
        </is>
      </c>
      <c r="B180" s="16" t="n"/>
      <c r="C180" s="15" t="inlineStr">
        <is>
          <t>CNF_UNIT_FILTERING_TBL</t>
        </is>
      </c>
      <c r="D180" s="15" t="inlineStr">
        <is>
          <t>UNIT_ID</t>
        </is>
      </c>
      <c r="E180" s="15" t="inlineStr">
        <is>
          <t>13</t>
        </is>
      </c>
      <c r="F180" s="15" t="inlineStr">
        <is>
          <t>MST_UNIT_TBL</t>
        </is>
      </c>
      <c r="G180" s="15" t="inlineStr">
        <is>
          <t>UNIT_CODE</t>
        </is>
      </c>
      <c r="H180" s="15" t="inlineStr">
        <is>
          <t>LF015</t>
        </is>
      </c>
      <c r="J180" s="15" t="inlineStr">
        <is>
          <t>LF015</t>
        </is>
      </c>
      <c r="K180" s="15" t="inlineStr">
        <is>
          <t>本店営業第一部</t>
        </is>
      </c>
      <c r="L180" s="15" t="inlineStr">
        <is>
          <t>592</t>
        </is>
      </c>
      <c r="M180" s="19">
        <f>"INSERT INTO "&amp;C180&amp;" VALUES("&amp;L180&amp;" , "&amp;E180&amp;");"</f>
        <v/>
      </c>
      <c r="O180" s="17" t="inlineStr">
        <is>
          <t>592</t>
        </is>
      </c>
      <c r="P180" s="17" t="inlineStr">
        <is>
          <t>13</t>
        </is>
      </c>
      <c r="R180" s="15" t="inlineStr">
        <is>
          <t>INSERT INTO</t>
        </is>
      </c>
      <c r="S180" s="15" t="inlineStr">
        <is>
          <t>CNF_UNIT_FILTERING_TBL</t>
        </is>
      </c>
      <c r="T180" s="15" t="inlineStr">
        <is>
          <t>VALUES(</t>
        </is>
      </c>
      <c r="U180" s="15" t="inlineStr">
        <is>
          <t>592 , 13</t>
        </is>
      </c>
      <c r="V180" s="15" t="inlineStr">
        <is>
          <t>);</t>
        </is>
      </c>
      <c r="X180" s="18">
        <f>EXACT(TRIM(L180&amp;""),O180&amp;"")</f>
        <v/>
      </c>
      <c r="Y180" s="18">
        <f>EXACT(TRIM(E180&amp;""),P180&amp;"")</f>
        <v/>
      </c>
      <c r="Z180" s="18">
        <f>AND(X180:Y180)</f>
        <v/>
      </c>
      <c r="AA180" s="19">
        <f>TRIM(IF(X180,"",$X$3&amp;" ")&amp;IF(Y180,"",$Y$3&amp;" "))</f>
        <v/>
      </c>
      <c r="AB180" s="18">
        <f>EXACT(SUBSTITUTE(M180," ",""),SUBSTITUTE(R180&amp;S180&amp;T180&amp;U180&amp;V180," ",""))</f>
        <v/>
      </c>
    </row>
    <row r="181">
      <c r="A181" s="15" t="inlineStr">
        <is>
          <t>INSERT INTO CNF_UNIT_FILTERING_TBL SELECT UNIT_ID, 14 FROM MST_UNIT_TBL WHERE UNIT_CODE = 'LF015';</t>
        </is>
      </c>
      <c r="B181" s="16" t="n"/>
      <c r="C181" s="15" t="inlineStr">
        <is>
          <t>CNF_UNIT_FILTERING_TBL</t>
        </is>
      </c>
      <c r="D181" s="15" t="inlineStr">
        <is>
          <t>UNIT_ID</t>
        </is>
      </c>
      <c r="E181" s="15" t="inlineStr">
        <is>
          <t>14</t>
        </is>
      </c>
      <c r="F181" s="15" t="inlineStr">
        <is>
          <t>MST_UNIT_TBL</t>
        </is>
      </c>
      <c r="G181" s="15" t="inlineStr">
        <is>
          <t>UNIT_CODE</t>
        </is>
      </c>
      <c r="H181" s="15" t="inlineStr">
        <is>
          <t>LF015</t>
        </is>
      </c>
      <c r="J181" s="15" t="inlineStr">
        <is>
          <t>LF015</t>
        </is>
      </c>
      <c r="K181" s="15" t="inlineStr">
        <is>
          <t>本店営業第一部</t>
        </is>
      </c>
      <c r="L181" s="15" t="inlineStr">
        <is>
          <t>592</t>
        </is>
      </c>
      <c r="M181" s="19">
        <f>"INSERT INTO "&amp;C181&amp;" VALUES("&amp;L181&amp;" , "&amp;E181&amp;");"</f>
        <v/>
      </c>
      <c r="O181" s="17" t="inlineStr">
        <is>
          <t>592</t>
        </is>
      </c>
      <c r="P181" s="17" t="inlineStr">
        <is>
          <t>14</t>
        </is>
      </c>
      <c r="R181" s="15" t="inlineStr">
        <is>
          <t>INSERT INTO</t>
        </is>
      </c>
      <c r="S181" s="15" t="inlineStr">
        <is>
          <t>CNF_UNIT_FILTERING_TBL</t>
        </is>
      </c>
      <c r="T181" s="15" t="inlineStr">
        <is>
          <t>VALUES(</t>
        </is>
      </c>
      <c r="U181" s="15" t="inlineStr">
        <is>
          <t>592 , 14</t>
        </is>
      </c>
      <c r="V181" s="15" t="inlineStr">
        <is>
          <t>);</t>
        </is>
      </c>
      <c r="X181" s="18">
        <f>EXACT(TRIM(L181&amp;""),O181&amp;"")</f>
        <v/>
      </c>
      <c r="Y181" s="18">
        <f>EXACT(TRIM(E181&amp;""),P181&amp;"")</f>
        <v/>
      </c>
      <c r="Z181" s="18">
        <f>AND(X181:Y181)</f>
        <v/>
      </c>
      <c r="AA181" s="19">
        <f>TRIM(IF(X181,"",$X$3&amp;" ")&amp;IF(Y181,"",$Y$3&amp;" "))</f>
        <v/>
      </c>
      <c r="AB181" s="18">
        <f>EXACT(SUBSTITUTE(M181," ",""),SUBSTITUTE(R181&amp;S181&amp;T181&amp;U181&amp;V181," ",""))</f>
        <v/>
      </c>
    </row>
    <row r="182">
      <c r="A182" s="15" t="inlineStr">
        <is>
          <t>INSERT INTO CNF_UNIT_FILTERING_TBL SELECT UNIT_ID, 15 FROM MST_UNIT_TBL WHERE UNIT_CODE = 'LF015';</t>
        </is>
      </c>
      <c r="B182" s="16" t="n"/>
      <c r="C182" s="15" t="inlineStr">
        <is>
          <t>CNF_UNIT_FILTERING_TBL</t>
        </is>
      </c>
      <c r="D182" s="15" t="inlineStr">
        <is>
          <t>UNIT_ID</t>
        </is>
      </c>
      <c r="E182" s="15" t="inlineStr">
        <is>
          <t>15</t>
        </is>
      </c>
      <c r="F182" s="15" t="inlineStr">
        <is>
          <t>MST_UNIT_TBL</t>
        </is>
      </c>
      <c r="G182" s="15" t="inlineStr">
        <is>
          <t>UNIT_CODE</t>
        </is>
      </c>
      <c r="H182" s="15" t="inlineStr">
        <is>
          <t>LF015</t>
        </is>
      </c>
      <c r="J182" s="15" t="inlineStr">
        <is>
          <t>LF015</t>
        </is>
      </c>
      <c r="K182" s="15" t="inlineStr">
        <is>
          <t>本店営業第一部</t>
        </is>
      </c>
      <c r="L182" s="15" t="inlineStr">
        <is>
          <t>592</t>
        </is>
      </c>
      <c r="M182" s="19">
        <f>"INSERT INTO "&amp;C182&amp;" VALUES("&amp;L182&amp;" , "&amp;E182&amp;");"</f>
        <v/>
      </c>
      <c r="O182" s="17" t="inlineStr">
        <is>
          <t>592</t>
        </is>
      </c>
      <c r="P182" s="17" t="inlineStr">
        <is>
          <t>15</t>
        </is>
      </c>
      <c r="R182" s="15" t="inlineStr">
        <is>
          <t>INSERT INTO</t>
        </is>
      </c>
      <c r="S182" s="15" t="inlineStr">
        <is>
          <t>CNF_UNIT_FILTERING_TBL</t>
        </is>
      </c>
      <c r="T182" s="15" t="inlineStr">
        <is>
          <t>VALUES(</t>
        </is>
      </c>
      <c r="U182" s="15" t="inlineStr">
        <is>
          <t>592 , 15</t>
        </is>
      </c>
      <c r="V182" s="15" t="inlineStr">
        <is>
          <t>);</t>
        </is>
      </c>
      <c r="X182" s="18">
        <f>EXACT(TRIM(L182&amp;""),O182&amp;"")</f>
        <v/>
      </c>
      <c r="Y182" s="18">
        <f>EXACT(TRIM(E182&amp;""),P182&amp;"")</f>
        <v/>
      </c>
      <c r="Z182" s="18">
        <f>AND(X182:Y182)</f>
        <v/>
      </c>
      <c r="AA182" s="19">
        <f>TRIM(IF(X182,"",$X$3&amp;" ")&amp;IF(Y182,"",$Y$3&amp;" "))</f>
        <v/>
      </c>
      <c r="AB182" s="18">
        <f>EXACT(SUBSTITUTE(M182," ",""),SUBSTITUTE(R182&amp;S182&amp;T182&amp;U182&amp;V182," ",""))</f>
        <v/>
      </c>
    </row>
    <row r="183">
      <c r="A183" s="15" t="inlineStr">
        <is>
          <t>INSERT INTO CNF_UNIT_FILTERING_TBL SELECT UNIT_ID, 16 FROM MST_UNIT_TBL WHERE UNIT_CODE = 'LF015';</t>
        </is>
      </c>
      <c r="B183" s="16" t="n"/>
      <c r="C183" s="15" t="inlineStr">
        <is>
          <t>CNF_UNIT_FILTERING_TBL</t>
        </is>
      </c>
      <c r="D183" s="15" t="inlineStr">
        <is>
          <t>UNIT_ID</t>
        </is>
      </c>
      <c r="E183" s="15" t="inlineStr">
        <is>
          <t>16</t>
        </is>
      </c>
      <c r="F183" s="15" t="inlineStr">
        <is>
          <t>MST_UNIT_TBL</t>
        </is>
      </c>
      <c r="G183" s="15" t="inlineStr">
        <is>
          <t>UNIT_CODE</t>
        </is>
      </c>
      <c r="H183" s="15" t="inlineStr">
        <is>
          <t>LF015</t>
        </is>
      </c>
      <c r="J183" s="15" t="inlineStr">
        <is>
          <t>LF015</t>
        </is>
      </c>
      <c r="K183" s="15" t="inlineStr">
        <is>
          <t>本店営業第一部</t>
        </is>
      </c>
      <c r="L183" s="15" t="inlineStr">
        <is>
          <t>592</t>
        </is>
      </c>
      <c r="M183" s="19">
        <f>"INSERT INTO "&amp;C183&amp;" VALUES("&amp;L183&amp;" , "&amp;E183&amp;");"</f>
        <v/>
      </c>
      <c r="O183" s="17" t="inlineStr">
        <is>
          <t>592</t>
        </is>
      </c>
      <c r="P183" s="17" t="inlineStr">
        <is>
          <t>16</t>
        </is>
      </c>
      <c r="R183" s="15" t="inlineStr">
        <is>
          <t>INSERT INTO</t>
        </is>
      </c>
      <c r="S183" s="15" t="inlineStr">
        <is>
          <t>CNF_UNIT_FILTERING_TBL</t>
        </is>
      </c>
      <c r="T183" s="15" t="inlineStr">
        <is>
          <t>VALUES(</t>
        </is>
      </c>
      <c r="U183" s="15" t="inlineStr">
        <is>
          <t>592 , 16</t>
        </is>
      </c>
      <c r="V183" s="15" t="inlineStr">
        <is>
          <t>);</t>
        </is>
      </c>
      <c r="X183" s="18">
        <f>EXACT(TRIM(L183&amp;""),O183&amp;"")</f>
        <v/>
      </c>
      <c r="Y183" s="18">
        <f>EXACT(TRIM(E183&amp;""),P183&amp;"")</f>
        <v/>
      </c>
      <c r="Z183" s="18">
        <f>AND(X183:Y183)</f>
        <v/>
      </c>
      <c r="AA183" s="19">
        <f>TRIM(IF(X183,"",$X$3&amp;" ")&amp;IF(Y183,"",$Y$3&amp;" "))</f>
        <v/>
      </c>
      <c r="AB183" s="18">
        <f>EXACT(SUBSTITUTE(M183," ",""),SUBSTITUTE(R183&amp;S183&amp;T183&amp;U183&amp;V183," ",""))</f>
        <v/>
      </c>
    </row>
    <row r="184">
      <c r="A184" s="15" t="inlineStr">
        <is>
          <t>INSERT INTO CNF_UNIT_FILTERING_TBL SELECT UNIT_ID, 1 FROM MST_UNIT_TBL WHERE UNIT_CODE = 'LF016';</t>
        </is>
      </c>
      <c r="B184" s="16" t="n"/>
      <c r="C184" s="15" t="inlineStr">
        <is>
          <t>CNF_UNIT_FILTERING_TBL</t>
        </is>
      </c>
      <c r="D184" s="15" t="inlineStr">
        <is>
          <t>UNIT_ID</t>
        </is>
      </c>
      <c r="E184" s="15" t="inlineStr">
        <is>
          <t>1</t>
        </is>
      </c>
      <c r="F184" s="15" t="inlineStr">
        <is>
          <t>MST_UNIT_TBL</t>
        </is>
      </c>
      <c r="G184" s="15" t="inlineStr">
        <is>
          <t>UNIT_CODE</t>
        </is>
      </c>
      <c r="H184" s="15" t="inlineStr">
        <is>
          <t>LF016</t>
        </is>
      </c>
      <c r="J184" s="15" t="inlineStr">
        <is>
          <t>LF016</t>
        </is>
      </c>
      <c r="K184" s="15" t="inlineStr">
        <is>
          <t>本店営業第二部</t>
        </is>
      </c>
      <c r="L184" s="15" t="inlineStr">
        <is>
          <t>593</t>
        </is>
      </c>
      <c r="M184" s="19">
        <f>"INSERT INTO "&amp;C184&amp;" VALUES("&amp;L184&amp;" , "&amp;E184&amp;");"</f>
        <v/>
      </c>
      <c r="O184" s="17" t="inlineStr">
        <is>
          <t>593</t>
        </is>
      </c>
      <c r="P184" s="17" t="inlineStr">
        <is>
          <t>1</t>
        </is>
      </c>
      <c r="R184" s="15" t="inlineStr">
        <is>
          <t>INSERT INTO</t>
        </is>
      </c>
      <c r="S184" s="15" t="inlineStr">
        <is>
          <t>CNF_UNIT_FILTERING_TBL</t>
        </is>
      </c>
      <c r="T184" s="15" t="inlineStr">
        <is>
          <t>VALUES(</t>
        </is>
      </c>
      <c r="U184" s="15" t="inlineStr">
        <is>
          <t>593 , 1</t>
        </is>
      </c>
      <c r="V184" s="15" t="inlineStr">
        <is>
          <t>);</t>
        </is>
      </c>
      <c r="X184" s="18">
        <f>EXACT(TRIM(L184&amp;""),O184&amp;"")</f>
        <v/>
      </c>
      <c r="Y184" s="18">
        <f>EXACT(TRIM(E184&amp;""),P184&amp;"")</f>
        <v/>
      </c>
      <c r="Z184" s="18">
        <f>AND(X184:Y184)</f>
        <v/>
      </c>
      <c r="AA184" s="19">
        <f>TRIM(IF(X184,"",$X$3&amp;" ")&amp;IF(Y184,"",$Y$3&amp;" "))</f>
        <v/>
      </c>
      <c r="AB184" s="18">
        <f>EXACT(SUBSTITUTE(M184," ",""),SUBSTITUTE(R184&amp;S184&amp;T184&amp;U184&amp;V184," ",""))</f>
        <v/>
      </c>
    </row>
    <row r="185">
      <c r="A185" s="15" t="inlineStr">
        <is>
          <t>INSERT INTO CNF_UNIT_FILTERING_TBL SELECT UNIT_ID, 4 FROM MST_UNIT_TBL WHERE UNIT_CODE = 'LF016';</t>
        </is>
      </c>
      <c r="B185" s="16" t="n"/>
      <c r="C185" s="15" t="inlineStr">
        <is>
          <t>CNF_UNIT_FILTERING_TBL</t>
        </is>
      </c>
      <c r="D185" s="15" t="inlineStr">
        <is>
          <t>UNIT_ID</t>
        </is>
      </c>
      <c r="E185" s="15" t="inlineStr">
        <is>
          <t>4</t>
        </is>
      </c>
      <c r="F185" s="15" t="inlineStr">
        <is>
          <t>MST_UNIT_TBL</t>
        </is>
      </c>
      <c r="G185" s="15" t="inlineStr">
        <is>
          <t>UNIT_CODE</t>
        </is>
      </c>
      <c r="H185" s="15" t="inlineStr">
        <is>
          <t>LF016</t>
        </is>
      </c>
      <c r="J185" s="15" t="inlineStr">
        <is>
          <t>LF016</t>
        </is>
      </c>
      <c r="K185" s="15" t="inlineStr">
        <is>
          <t>本店営業第二部</t>
        </is>
      </c>
      <c r="L185" s="15" t="inlineStr">
        <is>
          <t>593</t>
        </is>
      </c>
      <c r="M185" s="19">
        <f>"INSERT INTO "&amp;C185&amp;" VALUES("&amp;L185&amp;" , "&amp;E185&amp;");"</f>
        <v/>
      </c>
      <c r="O185" s="17" t="inlineStr">
        <is>
          <t>593</t>
        </is>
      </c>
      <c r="P185" s="17" t="inlineStr">
        <is>
          <t>4</t>
        </is>
      </c>
      <c r="R185" s="15" t="inlineStr">
        <is>
          <t>INSERT INTO</t>
        </is>
      </c>
      <c r="S185" s="15" t="inlineStr">
        <is>
          <t>CNF_UNIT_FILTERING_TBL</t>
        </is>
      </c>
      <c r="T185" s="15" t="inlineStr">
        <is>
          <t>VALUES(</t>
        </is>
      </c>
      <c r="U185" s="15" t="inlineStr">
        <is>
          <t>593 , 4</t>
        </is>
      </c>
      <c r="V185" s="15" t="inlineStr">
        <is>
          <t>);</t>
        </is>
      </c>
      <c r="X185" s="18">
        <f>EXACT(TRIM(L185&amp;""),O185&amp;"")</f>
        <v/>
      </c>
      <c r="Y185" s="18">
        <f>EXACT(TRIM(E185&amp;""),P185&amp;"")</f>
        <v/>
      </c>
      <c r="Z185" s="18">
        <f>AND(X185:Y185)</f>
        <v/>
      </c>
      <c r="AA185" s="19">
        <f>TRIM(IF(X185,"",$X$3&amp;" ")&amp;IF(Y185,"",$Y$3&amp;" "))</f>
        <v/>
      </c>
      <c r="AB185" s="18">
        <f>EXACT(SUBSTITUTE(M185," ",""),SUBSTITUTE(R185&amp;S185&amp;T185&amp;U185&amp;V185," ",""))</f>
        <v/>
      </c>
    </row>
    <row r="186">
      <c r="A186" s="15" t="inlineStr">
        <is>
          <t>INSERT INTO CNF_UNIT_FILTERING_TBL SELECT UNIT_ID, 5 FROM MST_UNIT_TBL WHERE UNIT_CODE = 'LF016';</t>
        </is>
      </c>
      <c r="B186" s="16" t="n"/>
      <c r="C186" s="15" t="inlineStr">
        <is>
          <t>CNF_UNIT_FILTERING_TBL</t>
        </is>
      </c>
      <c r="D186" s="15" t="inlineStr">
        <is>
          <t>UNIT_ID</t>
        </is>
      </c>
      <c r="E186" s="15" t="inlineStr">
        <is>
          <t>5</t>
        </is>
      </c>
      <c r="F186" s="15" t="inlineStr">
        <is>
          <t>MST_UNIT_TBL</t>
        </is>
      </c>
      <c r="G186" s="15" t="inlineStr">
        <is>
          <t>UNIT_CODE</t>
        </is>
      </c>
      <c r="H186" s="15" t="inlineStr">
        <is>
          <t>LF016</t>
        </is>
      </c>
      <c r="J186" s="15" t="inlineStr">
        <is>
          <t>LF016</t>
        </is>
      </c>
      <c r="K186" s="15" t="inlineStr">
        <is>
          <t>本店営業第二部</t>
        </is>
      </c>
      <c r="L186" s="15" t="inlineStr">
        <is>
          <t>593</t>
        </is>
      </c>
      <c r="M186" s="19">
        <f>"INSERT INTO "&amp;C186&amp;" VALUES("&amp;L186&amp;" , "&amp;E186&amp;");"</f>
        <v/>
      </c>
      <c r="O186" s="17" t="inlineStr">
        <is>
          <t>593</t>
        </is>
      </c>
      <c r="P186" s="17" t="inlineStr">
        <is>
          <t>5</t>
        </is>
      </c>
      <c r="R186" s="15" t="inlineStr">
        <is>
          <t>INSERT INTO</t>
        </is>
      </c>
      <c r="S186" s="15" t="inlineStr">
        <is>
          <t>CNF_UNIT_FILTERING_TBL</t>
        </is>
      </c>
      <c r="T186" s="15" t="inlineStr">
        <is>
          <t>VALUES(</t>
        </is>
      </c>
      <c r="U186" s="15" t="inlineStr">
        <is>
          <t>593 , 5</t>
        </is>
      </c>
      <c r="V186" s="15" t="inlineStr">
        <is>
          <t>);</t>
        </is>
      </c>
      <c r="X186" s="18">
        <f>EXACT(TRIM(L186&amp;""),O186&amp;"")</f>
        <v/>
      </c>
      <c r="Y186" s="18">
        <f>EXACT(TRIM(E186&amp;""),P186&amp;"")</f>
        <v/>
      </c>
      <c r="Z186" s="18">
        <f>AND(X186:Y186)</f>
        <v/>
      </c>
      <c r="AA186" s="19">
        <f>TRIM(IF(X186,"",$X$3&amp;" ")&amp;IF(Y186,"",$Y$3&amp;" "))</f>
        <v/>
      </c>
      <c r="AB186" s="18">
        <f>EXACT(SUBSTITUTE(M186," ",""),SUBSTITUTE(R186&amp;S186&amp;T186&amp;U186&amp;V186," ",""))</f>
        <v/>
      </c>
    </row>
    <row r="187">
      <c r="A187" s="15" t="inlineStr">
        <is>
          <t>INSERT INTO CNF_UNIT_FILTERING_TBL SELECT UNIT_ID, 7 FROM MST_UNIT_TBL WHERE UNIT_CODE = 'LF016';</t>
        </is>
      </c>
      <c r="B187" s="16" t="n"/>
      <c r="C187" s="15" t="inlineStr">
        <is>
          <t>CNF_UNIT_FILTERING_TBL</t>
        </is>
      </c>
      <c r="D187" s="15" t="inlineStr">
        <is>
          <t>UNIT_ID</t>
        </is>
      </c>
      <c r="E187" s="15" t="inlineStr">
        <is>
          <t>7</t>
        </is>
      </c>
      <c r="F187" s="15" t="inlineStr">
        <is>
          <t>MST_UNIT_TBL</t>
        </is>
      </c>
      <c r="G187" s="15" t="inlineStr">
        <is>
          <t>UNIT_CODE</t>
        </is>
      </c>
      <c r="H187" s="15" t="inlineStr">
        <is>
          <t>LF016</t>
        </is>
      </c>
      <c r="J187" s="15" t="inlineStr">
        <is>
          <t>LF016</t>
        </is>
      </c>
      <c r="K187" s="15" t="inlineStr">
        <is>
          <t>本店営業第二部</t>
        </is>
      </c>
      <c r="L187" s="15" t="inlineStr">
        <is>
          <t>593</t>
        </is>
      </c>
      <c r="M187" s="19">
        <f>"INSERT INTO "&amp;C187&amp;" VALUES("&amp;L187&amp;" , "&amp;E187&amp;");"</f>
        <v/>
      </c>
      <c r="O187" s="17" t="inlineStr">
        <is>
          <t>593</t>
        </is>
      </c>
      <c r="P187" s="17" t="inlineStr">
        <is>
          <t>7</t>
        </is>
      </c>
      <c r="R187" s="15" t="inlineStr">
        <is>
          <t>INSERT INTO</t>
        </is>
      </c>
      <c r="S187" s="15" t="inlineStr">
        <is>
          <t>CNF_UNIT_FILTERING_TBL</t>
        </is>
      </c>
      <c r="T187" s="15" t="inlineStr">
        <is>
          <t>VALUES(</t>
        </is>
      </c>
      <c r="U187" s="15" t="inlineStr">
        <is>
          <t>593 , 7</t>
        </is>
      </c>
      <c r="V187" s="15" t="inlineStr">
        <is>
          <t>);</t>
        </is>
      </c>
      <c r="X187" s="18">
        <f>EXACT(TRIM(L187&amp;""),O187&amp;"")</f>
        <v/>
      </c>
      <c r="Y187" s="18">
        <f>EXACT(TRIM(E187&amp;""),P187&amp;"")</f>
        <v/>
      </c>
      <c r="Z187" s="18">
        <f>AND(X187:Y187)</f>
        <v/>
      </c>
      <c r="AA187" s="19">
        <f>TRIM(IF(X187,"",$X$3&amp;" ")&amp;IF(Y187,"",$Y$3&amp;" "))</f>
        <v/>
      </c>
      <c r="AB187" s="18">
        <f>EXACT(SUBSTITUTE(M187," ",""),SUBSTITUTE(R187&amp;S187&amp;T187&amp;U187&amp;V187," ",""))</f>
        <v/>
      </c>
    </row>
    <row r="188">
      <c r="A188" s="15" t="inlineStr">
        <is>
          <t>INSERT INTO CNF_UNIT_FILTERING_TBL SELECT UNIT_ID, 8 FROM MST_UNIT_TBL WHERE UNIT_CODE = 'LF016';</t>
        </is>
      </c>
      <c r="B188" s="16" t="n"/>
      <c r="C188" s="15" t="inlineStr">
        <is>
          <t>CNF_UNIT_FILTERING_TBL</t>
        </is>
      </c>
      <c r="D188" s="15" t="inlineStr">
        <is>
          <t>UNIT_ID</t>
        </is>
      </c>
      <c r="E188" s="15" t="inlineStr">
        <is>
          <t>8</t>
        </is>
      </c>
      <c r="F188" s="15" t="inlineStr">
        <is>
          <t>MST_UNIT_TBL</t>
        </is>
      </c>
      <c r="G188" s="15" t="inlineStr">
        <is>
          <t>UNIT_CODE</t>
        </is>
      </c>
      <c r="H188" s="15" t="inlineStr">
        <is>
          <t>LF016</t>
        </is>
      </c>
      <c r="J188" s="15" t="inlineStr">
        <is>
          <t>LF016</t>
        </is>
      </c>
      <c r="K188" s="15" t="inlineStr">
        <is>
          <t>本店営業第二部</t>
        </is>
      </c>
      <c r="L188" s="15" t="inlineStr">
        <is>
          <t>593</t>
        </is>
      </c>
      <c r="M188" s="19">
        <f>"INSERT INTO "&amp;C188&amp;" VALUES("&amp;L188&amp;" , "&amp;E188&amp;");"</f>
        <v/>
      </c>
      <c r="O188" s="17" t="inlineStr">
        <is>
          <t>593</t>
        </is>
      </c>
      <c r="P188" s="17" t="inlineStr">
        <is>
          <t>8</t>
        </is>
      </c>
      <c r="R188" s="15" t="inlineStr">
        <is>
          <t>INSERT INTO</t>
        </is>
      </c>
      <c r="S188" s="15" t="inlineStr">
        <is>
          <t>CNF_UNIT_FILTERING_TBL</t>
        </is>
      </c>
      <c r="T188" s="15" t="inlineStr">
        <is>
          <t>VALUES(</t>
        </is>
      </c>
      <c r="U188" s="15" t="inlineStr">
        <is>
          <t>593 , 8</t>
        </is>
      </c>
      <c r="V188" s="15" t="inlineStr">
        <is>
          <t>);</t>
        </is>
      </c>
      <c r="X188" s="18">
        <f>EXACT(TRIM(L188&amp;""),O188&amp;"")</f>
        <v/>
      </c>
      <c r="Y188" s="18">
        <f>EXACT(TRIM(E188&amp;""),P188&amp;"")</f>
        <v/>
      </c>
      <c r="Z188" s="18">
        <f>AND(X188:Y188)</f>
        <v/>
      </c>
      <c r="AA188" s="19">
        <f>TRIM(IF(X188,"",$X$3&amp;" ")&amp;IF(Y188,"",$Y$3&amp;" "))</f>
        <v/>
      </c>
      <c r="AB188" s="18">
        <f>EXACT(SUBSTITUTE(M188," ",""),SUBSTITUTE(R188&amp;S188&amp;T188&amp;U188&amp;V188," ",""))</f>
        <v/>
      </c>
    </row>
    <row r="189">
      <c r="A189" s="15" t="inlineStr">
        <is>
          <t>INSERT INTO CNF_UNIT_FILTERING_TBL SELECT UNIT_ID, 9 FROM MST_UNIT_TBL WHERE UNIT_CODE = 'LF016';</t>
        </is>
      </c>
      <c r="B189" s="16" t="n"/>
      <c r="C189" s="15" t="inlineStr">
        <is>
          <t>CNF_UNIT_FILTERING_TBL</t>
        </is>
      </c>
      <c r="D189" s="15" t="inlineStr">
        <is>
          <t>UNIT_ID</t>
        </is>
      </c>
      <c r="E189" s="15" t="inlineStr">
        <is>
          <t>9</t>
        </is>
      </c>
      <c r="F189" s="15" t="inlineStr">
        <is>
          <t>MST_UNIT_TBL</t>
        </is>
      </c>
      <c r="G189" s="15" t="inlineStr">
        <is>
          <t>UNIT_CODE</t>
        </is>
      </c>
      <c r="H189" s="15" t="inlineStr">
        <is>
          <t>LF016</t>
        </is>
      </c>
      <c r="J189" s="15" t="inlineStr">
        <is>
          <t>LF016</t>
        </is>
      </c>
      <c r="K189" s="15" t="inlineStr">
        <is>
          <t>本店営業第二部</t>
        </is>
      </c>
      <c r="L189" s="15" t="inlineStr">
        <is>
          <t>593</t>
        </is>
      </c>
      <c r="M189" s="19">
        <f>"INSERT INTO "&amp;C189&amp;" VALUES("&amp;L189&amp;" , "&amp;E189&amp;");"</f>
        <v/>
      </c>
      <c r="O189" s="17" t="inlineStr">
        <is>
          <t>593</t>
        </is>
      </c>
      <c r="P189" s="17" t="inlineStr">
        <is>
          <t>9</t>
        </is>
      </c>
      <c r="R189" s="15" t="inlineStr">
        <is>
          <t>INSERT INTO</t>
        </is>
      </c>
      <c r="S189" s="15" t="inlineStr">
        <is>
          <t>CNF_UNIT_FILTERING_TBL</t>
        </is>
      </c>
      <c r="T189" s="15" t="inlineStr">
        <is>
          <t>VALUES(</t>
        </is>
      </c>
      <c r="U189" s="15" t="inlineStr">
        <is>
          <t>593 , 9</t>
        </is>
      </c>
      <c r="V189" s="15" t="inlineStr">
        <is>
          <t>);</t>
        </is>
      </c>
      <c r="X189" s="18">
        <f>EXACT(TRIM(L189&amp;""),O189&amp;"")</f>
        <v/>
      </c>
      <c r="Y189" s="18">
        <f>EXACT(TRIM(E189&amp;""),P189&amp;"")</f>
        <v/>
      </c>
      <c r="Z189" s="18">
        <f>AND(X189:Y189)</f>
        <v/>
      </c>
      <c r="AA189" s="19">
        <f>TRIM(IF(X189,"",$X$3&amp;" ")&amp;IF(Y189,"",$Y$3&amp;" "))</f>
        <v/>
      </c>
      <c r="AB189" s="18">
        <f>EXACT(SUBSTITUTE(M189," ",""),SUBSTITUTE(R189&amp;S189&amp;T189&amp;U189&amp;V189," ",""))</f>
        <v/>
      </c>
    </row>
    <row r="190">
      <c r="A190" s="15" t="inlineStr">
        <is>
          <t>INSERT INTO CNF_UNIT_FILTERING_TBL SELECT UNIT_ID, 11 FROM MST_UNIT_TBL WHERE UNIT_CODE = 'LF016';</t>
        </is>
      </c>
      <c r="B190" s="16" t="n"/>
      <c r="C190" s="15" t="inlineStr">
        <is>
          <t>CNF_UNIT_FILTERING_TBL</t>
        </is>
      </c>
      <c r="D190" s="15" t="inlineStr">
        <is>
          <t>UNIT_ID</t>
        </is>
      </c>
      <c r="E190" s="15" t="inlineStr">
        <is>
          <t>11</t>
        </is>
      </c>
      <c r="F190" s="15" t="inlineStr">
        <is>
          <t>MST_UNIT_TBL</t>
        </is>
      </c>
      <c r="G190" s="15" t="inlineStr">
        <is>
          <t>UNIT_CODE</t>
        </is>
      </c>
      <c r="H190" s="15" t="inlineStr">
        <is>
          <t>LF016</t>
        </is>
      </c>
      <c r="J190" s="15" t="inlineStr">
        <is>
          <t>LF016</t>
        </is>
      </c>
      <c r="K190" s="15" t="inlineStr">
        <is>
          <t>本店営業第二部</t>
        </is>
      </c>
      <c r="L190" s="15" t="inlineStr">
        <is>
          <t>593</t>
        </is>
      </c>
      <c r="M190" s="19">
        <f>"INSERT INTO "&amp;C190&amp;" VALUES("&amp;L190&amp;" , "&amp;E190&amp;");"</f>
        <v/>
      </c>
      <c r="O190" s="17" t="inlineStr">
        <is>
          <t>593</t>
        </is>
      </c>
      <c r="P190" s="17" t="inlineStr">
        <is>
          <t>11</t>
        </is>
      </c>
      <c r="R190" s="15" t="inlineStr">
        <is>
          <t>INSERT INTO</t>
        </is>
      </c>
      <c r="S190" s="15" t="inlineStr">
        <is>
          <t>CNF_UNIT_FILTERING_TBL</t>
        </is>
      </c>
      <c r="T190" s="15" t="inlineStr">
        <is>
          <t>VALUES(</t>
        </is>
      </c>
      <c r="U190" s="15" t="inlineStr">
        <is>
          <t>593 , 11</t>
        </is>
      </c>
      <c r="V190" s="15" t="inlineStr">
        <is>
          <t>);</t>
        </is>
      </c>
      <c r="X190" s="18">
        <f>EXACT(TRIM(L190&amp;""),O190&amp;"")</f>
        <v/>
      </c>
      <c r="Y190" s="18">
        <f>EXACT(TRIM(E190&amp;""),P190&amp;"")</f>
        <v/>
      </c>
      <c r="Z190" s="18">
        <f>AND(X190:Y190)</f>
        <v/>
      </c>
      <c r="AA190" s="19">
        <f>TRIM(IF(X190,"",$X$3&amp;" ")&amp;IF(Y190,"",$Y$3&amp;" "))</f>
        <v/>
      </c>
      <c r="AB190" s="18">
        <f>EXACT(SUBSTITUTE(M190," ",""),SUBSTITUTE(R190&amp;S190&amp;T190&amp;U190&amp;V190," ",""))</f>
        <v/>
      </c>
    </row>
    <row r="191">
      <c r="A191" s="15" t="inlineStr">
        <is>
          <t>INSERT INTO CNF_UNIT_FILTERING_TBL SELECT UNIT_ID, 12 FROM MST_UNIT_TBL WHERE UNIT_CODE = 'LF016';</t>
        </is>
      </c>
      <c r="B191" s="16" t="n"/>
      <c r="C191" s="15" t="inlineStr">
        <is>
          <t>CNF_UNIT_FILTERING_TBL</t>
        </is>
      </c>
      <c r="D191" s="15" t="inlineStr">
        <is>
          <t>UNIT_ID</t>
        </is>
      </c>
      <c r="E191" s="15" t="inlineStr">
        <is>
          <t>12</t>
        </is>
      </c>
      <c r="F191" s="15" t="inlineStr">
        <is>
          <t>MST_UNIT_TBL</t>
        </is>
      </c>
      <c r="G191" s="15" t="inlineStr">
        <is>
          <t>UNIT_CODE</t>
        </is>
      </c>
      <c r="H191" s="15" t="inlineStr">
        <is>
          <t>LF016</t>
        </is>
      </c>
      <c r="J191" s="15" t="inlineStr">
        <is>
          <t>LF016</t>
        </is>
      </c>
      <c r="K191" s="15" t="inlineStr">
        <is>
          <t>本店営業第二部</t>
        </is>
      </c>
      <c r="L191" s="15" t="inlineStr">
        <is>
          <t>593</t>
        </is>
      </c>
      <c r="M191" s="19">
        <f>"INSERT INTO "&amp;C191&amp;" VALUES("&amp;L191&amp;" , "&amp;E191&amp;");"</f>
        <v/>
      </c>
      <c r="O191" s="17" t="inlineStr">
        <is>
          <t>593</t>
        </is>
      </c>
      <c r="P191" s="17" t="inlineStr">
        <is>
          <t>12</t>
        </is>
      </c>
      <c r="R191" s="15" t="inlineStr">
        <is>
          <t>INSERT INTO</t>
        </is>
      </c>
      <c r="S191" s="15" t="inlineStr">
        <is>
          <t>CNF_UNIT_FILTERING_TBL</t>
        </is>
      </c>
      <c r="T191" s="15" t="inlineStr">
        <is>
          <t>VALUES(</t>
        </is>
      </c>
      <c r="U191" s="15" t="inlineStr">
        <is>
          <t>593 , 12</t>
        </is>
      </c>
      <c r="V191" s="15" t="inlineStr">
        <is>
          <t>);</t>
        </is>
      </c>
      <c r="X191" s="18">
        <f>EXACT(TRIM(L191&amp;""),O191&amp;"")</f>
        <v/>
      </c>
      <c r="Y191" s="18">
        <f>EXACT(TRIM(E191&amp;""),P191&amp;"")</f>
        <v/>
      </c>
      <c r="Z191" s="18">
        <f>AND(X191:Y191)</f>
        <v/>
      </c>
      <c r="AA191" s="19">
        <f>TRIM(IF(X191,"",$X$3&amp;" ")&amp;IF(Y191,"",$Y$3&amp;" "))</f>
        <v/>
      </c>
      <c r="AB191" s="18">
        <f>EXACT(SUBSTITUTE(M191," ",""),SUBSTITUTE(R191&amp;S191&amp;T191&amp;U191&amp;V191," ",""))</f>
        <v/>
      </c>
    </row>
    <row r="192">
      <c r="A192" s="15" t="inlineStr">
        <is>
          <t>INSERT INTO CNF_UNIT_FILTERING_TBL SELECT UNIT_ID, 13 FROM MST_UNIT_TBL WHERE UNIT_CODE = 'LF016';</t>
        </is>
      </c>
      <c r="B192" s="16" t="n"/>
      <c r="C192" s="15" t="inlineStr">
        <is>
          <t>CNF_UNIT_FILTERING_TBL</t>
        </is>
      </c>
      <c r="D192" s="15" t="inlineStr">
        <is>
          <t>UNIT_ID</t>
        </is>
      </c>
      <c r="E192" s="15" t="inlineStr">
        <is>
          <t>13</t>
        </is>
      </c>
      <c r="F192" s="15" t="inlineStr">
        <is>
          <t>MST_UNIT_TBL</t>
        </is>
      </c>
      <c r="G192" s="15" t="inlineStr">
        <is>
          <t>UNIT_CODE</t>
        </is>
      </c>
      <c r="H192" s="15" t="inlineStr">
        <is>
          <t>LF016</t>
        </is>
      </c>
      <c r="J192" s="15" t="inlineStr">
        <is>
          <t>LF016</t>
        </is>
      </c>
      <c r="K192" s="15" t="inlineStr">
        <is>
          <t>本店営業第二部</t>
        </is>
      </c>
      <c r="L192" s="15" t="inlineStr">
        <is>
          <t>593</t>
        </is>
      </c>
      <c r="M192" s="19">
        <f>"INSERT INTO "&amp;C192&amp;" VALUES("&amp;L192&amp;" , "&amp;E192&amp;");"</f>
        <v/>
      </c>
      <c r="O192" s="17" t="inlineStr">
        <is>
          <t>593</t>
        </is>
      </c>
      <c r="P192" s="17" t="inlineStr">
        <is>
          <t>13</t>
        </is>
      </c>
      <c r="R192" s="15" t="inlineStr">
        <is>
          <t>INSERT INTO</t>
        </is>
      </c>
      <c r="S192" s="15" t="inlineStr">
        <is>
          <t>CNF_UNIT_FILTERING_TBL</t>
        </is>
      </c>
      <c r="T192" s="15" t="inlineStr">
        <is>
          <t>VALUES(</t>
        </is>
      </c>
      <c r="U192" s="15" t="inlineStr">
        <is>
          <t>593 , 13</t>
        </is>
      </c>
      <c r="V192" s="15" t="inlineStr">
        <is>
          <t>);</t>
        </is>
      </c>
      <c r="X192" s="18">
        <f>EXACT(TRIM(L192&amp;""),O192&amp;"")</f>
        <v/>
      </c>
      <c r="Y192" s="18">
        <f>EXACT(TRIM(E192&amp;""),P192&amp;"")</f>
        <v/>
      </c>
      <c r="Z192" s="18">
        <f>AND(X192:Y192)</f>
        <v/>
      </c>
      <c r="AA192" s="19">
        <f>TRIM(IF(X192,"",$X$3&amp;" ")&amp;IF(Y192,"",$Y$3&amp;" "))</f>
        <v/>
      </c>
      <c r="AB192" s="18">
        <f>EXACT(SUBSTITUTE(M192," ",""),SUBSTITUTE(R192&amp;S192&amp;T192&amp;U192&amp;V192," ",""))</f>
        <v/>
      </c>
    </row>
    <row r="193">
      <c r="A193" s="15" t="inlineStr">
        <is>
          <t>INSERT INTO CNF_UNIT_FILTERING_TBL SELECT UNIT_ID, 14 FROM MST_UNIT_TBL WHERE UNIT_CODE = 'LF016';</t>
        </is>
      </c>
      <c r="B193" s="16" t="n"/>
      <c r="C193" s="15" t="inlineStr">
        <is>
          <t>CNF_UNIT_FILTERING_TBL</t>
        </is>
      </c>
      <c r="D193" s="15" t="inlineStr">
        <is>
          <t>UNIT_ID</t>
        </is>
      </c>
      <c r="E193" s="15" t="inlineStr">
        <is>
          <t>14</t>
        </is>
      </c>
      <c r="F193" s="15" t="inlineStr">
        <is>
          <t>MST_UNIT_TBL</t>
        </is>
      </c>
      <c r="G193" s="15" t="inlineStr">
        <is>
          <t>UNIT_CODE</t>
        </is>
      </c>
      <c r="H193" s="15" t="inlineStr">
        <is>
          <t>LF016</t>
        </is>
      </c>
      <c r="J193" s="15" t="inlineStr">
        <is>
          <t>LF016</t>
        </is>
      </c>
      <c r="K193" s="15" t="inlineStr">
        <is>
          <t>本店営業第二部</t>
        </is>
      </c>
      <c r="L193" s="15" t="inlineStr">
        <is>
          <t>593</t>
        </is>
      </c>
      <c r="M193" s="19">
        <f>"INSERT INTO "&amp;C193&amp;" VALUES("&amp;L193&amp;" , "&amp;E193&amp;");"</f>
        <v/>
      </c>
      <c r="O193" s="17" t="inlineStr">
        <is>
          <t>593</t>
        </is>
      </c>
      <c r="P193" s="17" t="inlineStr">
        <is>
          <t>14</t>
        </is>
      </c>
      <c r="R193" s="15" t="inlineStr">
        <is>
          <t>INSERT INTO</t>
        </is>
      </c>
      <c r="S193" s="15" t="inlineStr">
        <is>
          <t>CNF_UNIT_FILTERING_TBL</t>
        </is>
      </c>
      <c r="T193" s="15" t="inlineStr">
        <is>
          <t>VALUES(</t>
        </is>
      </c>
      <c r="U193" s="15" t="inlineStr">
        <is>
          <t>593 , 14</t>
        </is>
      </c>
      <c r="V193" s="15" t="inlineStr">
        <is>
          <t>);</t>
        </is>
      </c>
      <c r="X193" s="18">
        <f>EXACT(TRIM(L193&amp;""),O193&amp;"")</f>
        <v/>
      </c>
      <c r="Y193" s="18">
        <f>EXACT(TRIM(E193&amp;""),P193&amp;"")</f>
        <v/>
      </c>
      <c r="Z193" s="18">
        <f>AND(X193:Y193)</f>
        <v/>
      </c>
      <c r="AA193" s="19">
        <f>TRIM(IF(X193,"",$X$3&amp;" ")&amp;IF(Y193,"",$Y$3&amp;" "))</f>
        <v/>
      </c>
      <c r="AB193" s="18">
        <f>EXACT(SUBSTITUTE(M193," ",""),SUBSTITUTE(R193&amp;S193&amp;T193&amp;U193&amp;V193," ",""))</f>
        <v/>
      </c>
    </row>
    <row r="194">
      <c r="A194" s="15" t="inlineStr">
        <is>
          <t>INSERT INTO CNF_UNIT_FILTERING_TBL SELECT UNIT_ID, 15 FROM MST_UNIT_TBL WHERE UNIT_CODE = 'LF016';</t>
        </is>
      </c>
      <c r="B194" s="16" t="n"/>
      <c r="C194" s="15" t="inlineStr">
        <is>
          <t>CNF_UNIT_FILTERING_TBL</t>
        </is>
      </c>
      <c r="D194" s="15" t="inlineStr">
        <is>
          <t>UNIT_ID</t>
        </is>
      </c>
      <c r="E194" s="15" t="inlineStr">
        <is>
          <t>15</t>
        </is>
      </c>
      <c r="F194" s="15" t="inlineStr">
        <is>
          <t>MST_UNIT_TBL</t>
        </is>
      </c>
      <c r="G194" s="15" t="inlineStr">
        <is>
          <t>UNIT_CODE</t>
        </is>
      </c>
      <c r="H194" s="15" t="inlineStr">
        <is>
          <t>LF016</t>
        </is>
      </c>
      <c r="J194" s="15" t="inlineStr">
        <is>
          <t>LF016</t>
        </is>
      </c>
      <c r="K194" s="15" t="inlineStr">
        <is>
          <t>本店営業第二部</t>
        </is>
      </c>
      <c r="L194" s="15" t="inlineStr">
        <is>
          <t>593</t>
        </is>
      </c>
      <c r="M194" s="19">
        <f>"INSERT INTO "&amp;C194&amp;" VALUES("&amp;L194&amp;" , "&amp;E194&amp;");"</f>
        <v/>
      </c>
      <c r="O194" s="17" t="inlineStr">
        <is>
          <t>593</t>
        </is>
      </c>
      <c r="P194" s="17" t="inlineStr">
        <is>
          <t>15</t>
        </is>
      </c>
      <c r="R194" s="15" t="inlineStr">
        <is>
          <t>INSERT INTO</t>
        </is>
      </c>
      <c r="S194" s="15" t="inlineStr">
        <is>
          <t>CNF_UNIT_FILTERING_TBL</t>
        </is>
      </c>
      <c r="T194" s="15" t="inlineStr">
        <is>
          <t>VALUES(</t>
        </is>
      </c>
      <c r="U194" s="15" t="inlineStr">
        <is>
          <t>593 , 15</t>
        </is>
      </c>
      <c r="V194" s="15" t="inlineStr">
        <is>
          <t>);</t>
        </is>
      </c>
      <c r="X194" s="18">
        <f>EXACT(TRIM(L194&amp;""),O194&amp;"")</f>
        <v/>
      </c>
      <c r="Y194" s="18">
        <f>EXACT(TRIM(E194&amp;""),P194&amp;"")</f>
        <v/>
      </c>
      <c r="Z194" s="18">
        <f>AND(X194:Y194)</f>
        <v/>
      </c>
      <c r="AA194" s="19">
        <f>TRIM(IF(X194,"",$X$3&amp;" ")&amp;IF(Y194,"",$Y$3&amp;" "))</f>
        <v/>
      </c>
      <c r="AB194" s="18">
        <f>EXACT(SUBSTITUTE(M194," ",""),SUBSTITUTE(R194&amp;S194&amp;T194&amp;U194&amp;V194," ",""))</f>
        <v/>
      </c>
    </row>
    <row r="195">
      <c r="A195" s="15" t="inlineStr">
        <is>
          <t>INSERT INTO CNF_UNIT_FILTERING_TBL SELECT UNIT_ID, 16 FROM MST_UNIT_TBL WHERE UNIT_CODE = 'LF016';</t>
        </is>
      </c>
      <c r="B195" s="16" t="n"/>
      <c r="C195" s="15" t="inlineStr">
        <is>
          <t>CNF_UNIT_FILTERING_TBL</t>
        </is>
      </c>
      <c r="D195" s="15" t="inlineStr">
        <is>
          <t>UNIT_ID</t>
        </is>
      </c>
      <c r="E195" s="15" t="inlineStr">
        <is>
          <t>16</t>
        </is>
      </c>
      <c r="F195" s="15" t="inlineStr">
        <is>
          <t>MST_UNIT_TBL</t>
        </is>
      </c>
      <c r="G195" s="15" t="inlineStr">
        <is>
          <t>UNIT_CODE</t>
        </is>
      </c>
      <c r="H195" s="15" t="inlineStr">
        <is>
          <t>LF016</t>
        </is>
      </c>
      <c r="J195" s="15" t="inlineStr">
        <is>
          <t>LF016</t>
        </is>
      </c>
      <c r="K195" s="15" t="inlineStr">
        <is>
          <t>本店営業第二部</t>
        </is>
      </c>
      <c r="L195" s="15" t="inlineStr">
        <is>
          <t>593</t>
        </is>
      </c>
      <c r="M195" s="19">
        <f>"INSERT INTO "&amp;C195&amp;" VALUES("&amp;L195&amp;" , "&amp;E195&amp;");"</f>
        <v/>
      </c>
      <c r="O195" s="17" t="inlineStr">
        <is>
          <t>593</t>
        </is>
      </c>
      <c r="P195" s="17" t="inlineStr">
        <is>
          <t>16</t>
        </is>
      </c>
      <c r="R195" s="15" t="inlineStr">
        <is>
          <t>INSERT INTO</t>
        </is>
      </c>
      <c r="S195" s="15" t="inlineStr">
        <is>
          <t>CNF_UNIT_FILTERING_TBL</t>
        </is>
      </c>
      <c r="T195" s="15" t="inlineStr">
        <is>
          <t>VALUES(</t>
        </is>
      </c>
      <c r="U195" s="15" t="inlineStr">
        <is>
          <t>593 , 16</t>
        </is>
      </c>
      <c r="V195" s="15" t="inlineStr">
        <is>
          <t>);</t>
        </is>
      </c>
      <c r="X195" s="18">
        <f>EXACT(TRIM(L195&amp;""),O195&amp;"")</f>
        <v/>
      </c>
      <c r="Y195" s="18">
        <f>EXACT(TRIM(E195&amp;""),P195&amp;"")</f>
        <v/>
      </c>
      <c r="Z195" s="18">
        <f>AND(X195:Y195)</f>
        <v/>
      </c>
      <c r="AA195" s="19">
        <f>TRIM(IF(X195,"",$X$3&amp;" ")&amp;IF(Y195,"",$Y$3&amp;" "))</f>
        <v/>
      </c>
      <c r="AB195" s="18">
        <f>EXACT(SUBSTITUTE(M195," ",""),SUBSTITUTE(R195&amp;S195&amp;T195&amp;U195&amp;V195," ",""))</f>
        <v/>
      </c>
    </row>
    <row r="196">
      <c r="A196" s="15" t="inlineStr">
        <is>
          <t>INSERT INTO CNF_UNIT_FILTERING_TBL SELECT UNIT_ID, 1 FROM MST_UNIT_TBL WHERE UNIT_CODE = 'LF017';</t>
        </is>
      </c>
      <c r="B196" s="16" t="n"/>
      <c r="C196" s="15" t="inlineStr">
        <is>
          <t>CNF_UNIT_FILTERING_TBL</t>
        </is>
      </c>
      <c r="D196" s="15" t="inlineStr">
        <is>
          <t>UNIT_ID</t>
        </is>
      </c>
      <c r="E196" s="15" t="inlineStr">
        <is>
          <t>1</t>
        </is>
      </c>
      <c r="F196" s="15" t="inlineStr">
        <is>
          <t>MST_UNIT_TBL</t>
        </is>
      </c>
      <c r="G196" s="15" t="inlineStr">
        <is>
          <t>UNIT_CODE</t>
        </is>
      </c>
      <c r="H196" s="15" t="inlineStr">
        <is>
          <t>LF017</t>
        </is>
      </c>
      <c r="J196" s="15" t="inlineStr">
        <is>
          <t>LF017</t>
        </is>
      </c>
      <c r="K196" s="15" t="inlineStr">
        <is>
          <t>本店営業第四部</t>
        </is>
      </c>
      <c r="L196" s="15" t="inlineStr">
        <is>
          <t>594</t>
        </is>
      </c>
      <c r="M196" s="19">
        <f>"INSERT INTO "&amp;C196&amp;" VALUES("&amp;L196&amp;" , "&amp;E196&amp;");"</f>
        <v/>
      </c>
      <c r="O196" s="17" t="inlineStr">
        <is>
          <t>594</t>
        </is>
      </c>
      <c r="P196" s="17" t="inlineStr">
        <is>
          <t>1</t>
        </is>
      </c>
      <c r="R196" s="15" t="inlineStr">
        <is>
          <t>INSERT INTO</t>
        </is>
      </c>
      <c r="S196" s="15" t="inlineStr">
        <is>
          <t>CNF_UNIT_FILTERING_TBL</t>
        </is>
      </c>
      <c r="T196" s="15" t="inlineStr">
        <is>
          <t>VALUES(</t>
        </is>
      </c>
      <c r="U196" s="15" t="inlineStr">
        <is>
          <t>594 , 1</t>
        </is>
      </c>
      <c r="V196" s="15" t="inlineStr">
        <is>
          <t>);</t>
        </is>
      </c>
      <c r="X196" s="18">
        <f>EXACT(TRIM(L196&amp;""),O196&amp;"")</f>
        <v/>
      </c>
      <c r="Y196" s="18">
        <f>EXACT(TRIM(E196&amp;""),P196&amp;"")</f>
        <v/>
      </c>
      <c r="Z196" s="18">
        <f>AND(X196:Y196)</f>
        <v/>
      </c>
      <c r="AA196" s="19">
        <f>TRIM(IF(X196,"",$X$3&amp;" ")&amp;IF(Y196,"",$Y$3&amp;" "))</f>
        <v/>
      </c>
      <c r="AB196" s="18">
        <f>EXACT(SUBSTITUTE(M196," ",""),SUBSTITUTE(R196&amp;S196&amp;T196&amp;U196&amp;V196," ",""))</f>
        <v/>
      </c>
    </row>
    <row r="197">
      <c r="A197" s="15" t="inlineStr">
        <is>
          <t>INSERT INTO CNF_UNIT_FILTERING_TBL SELECT UNIT_ID, 4 FROM MST_UNIT_TBL WHERE UNIT_CODE = 'LF017';</t>
        </is>
      </c>
      <c r="B197" s="16" t="n"/>
      <c r="C197" s="15" t="inlineStr">
        <is>
          <t>CNF_UNIT_FILTERING_TBL</t>
        </is>
      </c>
      <c r="D197" s="15" t="inlineStr">
        <is>
          <t>UNIT_ID</t>
        </is>
      </c>
      <c r="E197" s="15" t="inlineStr">
        <is>
          <t>4</t>
        </is>
      </c>
      <c r="F197" s="15" t="inlineStr">
        <is>
          <t>MST_UNIT_TBL</t>
        </is>
      </c>
      <c r="G197" s="15" t="inlineStr">
        <is>
          <t>UNIT_CODE</t>
        </is>
      </c>
      <c r="H197" s="15" t="inlineStr">
        <is>
          <t>LF017</t>
        </is>
      </c>
      <c r="J197" s="15" t="inlineStr">
        <is>
          <t>LF017</t>
        </is>
      </c>
      <c r="K197" s="15" t="inlineStr">
        <is>
          <t>本店営業第四部</t>
        </is>
      </c>
      <c r="L197" s="15" t="inlineStr">
        <is>
          <t>594</t>
        </is>
      </c>
      <c r="M197" s="19">
        <f>"INSERT INTO "&amp;C197&amp;" VALUES("&amp;L197&amp;" , "&amp;E197&amp;");"</f>
        <v/>
      </c>
      <c r="O197" s="17" t="inlineStr">
        <is>
          <t>594</t>
        </is>
      </c>
      <c r="P197" s="17" t="inlineStr">
        <is>
          <t>4</t>
        </is>
      </c>
      <c r="R197" s="15" t="inlineStr">
        <is>
          <t>INSERT INTO</t>
        </is>
      </c>
      <c r="S197" s="15" t="inlineStr">
        <is>
          <t>CNF_UNIT_FILTERING_TBL</t>
        </is>
      </c>
      <c r="T197" s="15" t="inlineStr">
        <is>
          <t>VALUES(</t>
        </is>
      </c>
      <c r="U197" s="15" t="inlineStr">
        <is>
          <t>594 , 4</t>
        </is>
      </c>
      <c r="V197" s="15" t="inlineStr">
        <is>
          <t>);</t>
        </is>
      </c>
      <c r="X197" s="18">
        <f>EXACT(TRIM(L197&amp;""),O197&amp;"")</f>
        <v/>
      </c>
      <c r="Y197" s="18">
        <f>EXACT(TRIM(E197&amp;""),P197&amp;"")</f>
        <v/>
      </c>
      <c r="Z197" s="18">
        <f>AND(X197:Y197)</f>
        <v/>
      </c>
      <c r="AA197" s="19">
        <f>TRIM(IF(X197,"",$X$3&amp;" ")&amp;IF(Y197,"",$Y$3&amp;" "))</f>
        <v/>
      </c>
      <c r="AB197" s="18">
        <f>EXACT(SUBSTITUTE(M197," ",""),SUBSTITUTE(R197&amp;S197&amp;T197&amp;U197&amp;V197," ",""))</f>
        <v/>
      </c>
    </row>
    <row r="198">
      <c r="A198" s="15" t="inlineStr">
        <is>
          <t>INSERT INTO CNF_UNIT_FILTERING_TBL SELECT UNIT_ID, 5 FROM MST_UNIT_TBL WHERE UNIT_CODE = 'LF017';</t>
        </is>
      </c>
      <c r="B198" s="16" t="n"/>
      <c r="C198" s="15" t="inlineStr">
        <is>
          <t>CNF_UNIT_FILTERING_TBL</t>
        </is>
      </c>
      <c r="D198" s="15" t="inlineStr">
        <is>
          <t>UNIT_ID</t>
        </is>
      </c>
      <c r="E198" s="15" t="inlineStr">
        <is>
          <t>5</t>
        </is>
      </c>
      <c r="F198" s="15" t="inlineStr">
        <is>
          <t>MST_UNIT_TBL</t>
        </is>
      </c>
      <c r="G198" s="15" t="inlineStr">
        <is>
          <t>UNIT_CODE</t>
        </is>
      </c>
      <c r="H198" s="15" t="inlineStr">
        <is>
          <t>LF017</t>
        </is>
      </c>
      <c r="J198" s="15" t="inlineStr">
        <is>
          <t>LF017</t>
        </is>
      </c>
      <c r="K198" s="15" t="inlineStr">
        <is>
          <t>本店営業第四部</t>
        </is>
      </c>
      <c r="L198" s="15" t="inlineStr">
        <is>
          <t>594</t>
        </is>
      </c>
      <c r="M198" s="19">
        <f>"INSERT INTO "&amp;C198&amp;" VALUES("&amp;L198&amp;" , "&amp;E198&amp;");"</f>
        <v/>
      </c>
      <c r="O198" s="17" t="inlineStr">
        <is>
          <t>594</t>
        </is>
      </c>
      <c r="P198" s="17" t="inlineStr">
        <is>
          <t>5</t>
        </is>
      </c>
      <c r="R198" s="15" t="inlineStr">
        <is>
          <t>INSERT INTO</t>
        </is>
      </c>
      <c r="S198" s="15" t="inlineStr">
        <is>
          <t>CNF_UNIT_FILTERING_TBL</t>
        </is>
      </c>
      <c r="T198" s="15" t="inlineStr">
        <is>
          <t>VALUES(</t>
        </is>
      </c>
      <c r="U198" s="15" t="inlineStr">
        <is>
          <t>594 , 5</t>
        </is>
      </c>
      <c r="V198" s="15" t="inlineStr">
        <is>
          <t>);</t>
        </is>
      </c>
      <c r="X198" s="18">
        <f>EXACT(TRIM(L198&amp;""),O198&amp;"")</f>
        <v/>
      </c>
      <c r="Y198" s="18">
        <f>EXACT(TRIM(E198&amp;""),P198&amp;"")</f>
        <v/>
      </c>
      <c r="Z198" s="18">
        <f>AND(X198:Y198)</f>
        <v/>
      </c>
      <c r="AA198" s="19">
        <f>TRIM(IF(X198,"",$X$3&amp;" ")&amp;IF(Y198,"",$Y$3&amp;" "))</f>
        <v/>
      </c>
      <c r="AB198" s="18">
        <f>EXACT(SUBSTITUTE(M198," ",""),SUBSTITUTE(R198&amp;S198&amp;T198&amp;U198&amp;V198," ",""))</f>
        <v/>
      </c>
    </row>
    <row r="199">
      <c r="A199" s="15" t="inlineStr">
        <is>
          <t>INSERT INTO CNF_UNIT_FILTERING_TBL SELECT UNIT_ID, 7 FROM MST_UNIT_TBL WHERE UNIT_CODE = 'LF017';</t>
        </is>
      </c>
      <c r="B199" s="16" t="n"/>
      <c r="C199" s="15" t="inlineStr">
        <is>
          <t>CNF_UNIT_FILTERING_TBL</t>
        </is>
      </c>
      <c r="D199" s="15" t="inlineStr">
        <is>
          <t>UNIT_ID</t>
        </is>
      </c>
      <c r="E199" s="15" t="inlineStr">
        <is>
          <t>7</t>
        </is>
      </c>
      <c r="F199" s="15" t="inlineStr">
        <is>
          <t>MST_UNIT_TBL</t>
        </is>
      </c>
      <c r="G199" s="15" t="inlineStr">
        <is>
          <t>UNIT_CODE</t>
        </is>
      </c>
      <c r="H199" s="15" t="inlineStr">
        <is>
          <t>LF017</t>
        </is>
      </c>
      <c r="J199" s="15" t="inlineStr">
        <is>
          <t>LF017</t>
        </is>
      </c>
      <c r="K199" s="15" t="inlineStr">
        <is>
          <t>本店営業第四部</t>
        </is>
      </c>
      <c r="L199" s="15" t="inlineStr">
        <is>
          <t>594</t>
        </is>
      </c>
      <c r="M199" s="19">
        <f>"INSERT INTO "&amp;C199&amp;" VALUES("&amp;L199&amp;" , "&amp;E199&amp;");"</f>
        <v/>
      </c>
      <c r="O199" s="17" t="inlineStr">
        <is>
          <t>594</t>
        </is>
      </c>
      <c r="P199" s="17" t="inlineStr">
        <is>
          <t>7</t>
        </is>
      </c>
      <c r="R199" s="15" t="inlineStr">
        <is>
          <t>INSERT INTO</t>
        </is>
      </c>
      <c r="S199" s="15" t="inlineStr">
        <is>
          <t>CNF_UNIT_FILTERING_TBL</t>
        </is>
      </c>
      <c r="T199" s="15" t="inlineStr">
        <is>
          <t>VALUES(</t>
        </is>
      </c>
      <c r="U199" s="15" t="inlineStr">
        <is>
          <t>594 , 7</t>
        </is>
      </c>
      <c r="V199" s="15" t="inlineStr">
        <is>
          <t>);</t>
        </is>
      </c>
      <c r="X199" s="18">
        <f>EXACT(TRIM(L199&amp;""),O199&amp;"")</f>
        <v/>
      </c>
      <c r="Y199" s="18">
        <f>EXACT(TRIM(E199&amp;""),P199&amp;"")</f>
        <v/>
      </c>
      <c r="Z199" s="18">
        <f>AND(X199:Y199)</f>
        <v/>
      </c>
      <c r="AA199" s="19">
        <f>TRIM(IF(X199,"",$X$3&amp;" ")&amp;IF(Y199,"",$Y$3&amp;" "))</f>
        <v/>
      </c>
      <c r="AB199" s="18">
        <f>EXACT(SUBSTITUTE(M199," ",""),SUBSTITUTE(R199&amp;S199&amp;T199&amp;U199&amp;V199," ",""))</f>
        <v/>
      </c>
    </row>
    <row r="200">
      <c r="A200" s="15" t="inlineStr">
        <is>
          <t>INSERT INTO CNF_UNIT_FILTERING_TBL SELECT UNIT_ID, 8 FROM MST_UNIT_TBL WHERE UNIT_CODE = 'LF017';</t>
        </is>
      </c>
      <c r="B200" s="16" t="n"/>
      <c r="C200" s="15" t="inlineStr">
        <is>
          <t>CNF_UNIT_FILTERING_TBL</t>
        </is>
      </c>
      <c r="D200" s="15" t="inlineStr">
        <is>
          <t>UNIT_ID</t>
        </is>
      </c>
      <c r="E200" s="15" t="inlineStr">
        <is>
          <t>8</t>
        </is>
      </c>
      <c r="F200" s="15" t="inlineStr">
        <is>
          <t>MST_UNIT_TBL</t>
        </is>
      </c>
      <c r="G200" s="15" t="inlineStr">
        <is>
          <t>UNIT_CODE</t>
        </is>
      </c>
      <c r="H200" s="15" t="inlineStr">
        <is>
          <t>LF017</t>
        </is>
      </c>
      <c r="J200" s="15" t="inlineStr">
        <is>
          <t>LF017</t>
        </is>
      </c>
      <c r="K200" s="15" t="inlineStr">
        <is>
          <t>本店営業第四部</t>
        </is>
      </c>
      <c r="L200" s="15" t="inlineStr">
        <is>
          <t>594</t>
        </is>
      </c>
      <c r="M200" s="19">
        <f>"INSERT INTO "&amp;C200&amp;" VALUES("&amp;L200&amp;" , "&amp;E200&amp;");"</f>
        <v/>
      </c>
      <c r="O200" s="17" t="inlineStr">
        <is>
          <t>594</t>
        </is>
      </c>
      <c r="P200" s="17" t="inlineStr">
        <is>
          <t>8</t>
        </is>
      </c>
      <c r="R200" s="15" t="inlineStr">
        <is>
          <t>INSERT INTO</t>
        </is>
      </c>
      <c r="S200" s="15" t="inlineStr">
        <is>
          <t>CNF_UNIT_FILTERING_TBL</t>
        </is>
      </c>
      <c r="T200" s="15" t="inlineStr">
        <is>
          <t>VALUES(</t>
        </is>
      </c>
      <c r="U200" s="15" t="inlineStr">
        <is>
          <t>594 , 8</t>
        </is>
      </c>
      <c r="V200" s="15" t="inlineStr">
        <is>
          <t>);</t>
        </is>
      </c>
      <c r="X200" s="18">
        <f>EXACT(TRIM(L200&amp;""),O200&amp;"")</f>
        <v/>
      </c>
      <c r="Y200" s="18">
        <f>EXACT(TRIM(E200&amp;""),P200&amp;"")</f>
        <v/>
      </c>
      <c r="Z200" s="18">
        <f>AND(X200:Y200)</f>
        <v/>
      </c>
      <c r="AA200" s="19">
        <f>TRIM(IF(X200,"",$X$3&amp;" ")&amp;IF(Y200,"",$Y$3&amp;" "))</f>
        <v/>
      </c>
      <c r="AB200" s="18">
        <f>EXACT(SUBSTITUTE(M200," ",""),SUBSTITUTE(R200&amp;S200&amp;T200&amp;U200&amp;V200," ",""))</f>
        <v/>
      </c>
    </row>
    <row r="201">
      <c r="A201" s="15" t="inlineStr">
        <is>
          <t>INSERT INTO CNF_UNIT_FILTERING_TBL SELECT UNIT_ID, 9 FROM MST_UNIT_TBL WHERE UNIT_CODE = 'LF017';</t>
        </is>
      </c>
      <c r="B201" s="16" t="n"/>
      <c r="C201" s="15" t="inlineStr">
        <is>
          <t>CNF_UNIT_FILTERING_TBL</t>
        </is>
      </c>
      <c r="D201" s="15" t="inlineStr">
        <is>
          <t>UNIT_ID</t>
        </is>
      </c>
      <c r="E201" s="15" t="inlineStr">
        <is>
          <t>9</t>
        </is>
      </c>
      <c r="F201" s="15" t="inlineStr">
        <is>
          <t>MST_UNIT_TBL</t>
        </is>
      </c>
      <c r="G201" s="15" t="inlineStr">
        <is>
          <t>UNIT_CODE</t>
        </is>
      </c>
      <c r="H201" s="15" t="inlineStr">
        <is>
          <t>LF017</t>
        </is>
      </c>
      <c r="J201" s="15" t="inlineStr">
        <is>
          <t>LF017</t>
        </is>
      </c>
      <c r="K201" s="15" t="inlineStr">
        <is>
          <t>本店営業第四部</t>
        </is>
      </c>
      <c r="L201" s="15" t="inlineStr">
        <is>
          <t>594</t>
        </is>
      </c>
      <c r="M201" s="19">
        <f>"INSERT INTO "&amp;C201&amp;" VALUES("&amp;L201&amp;" , "&amp;E201&amp;");"</f>
        <v/>
      </c>
      <c r="O201" s="17" t="inlineStr">
        <is>
          <t>594</t>
        </is>
      </c>
      <c r="P201" s="17" t="inlineStr">
        <is>
          <t>9</t>
        </is>
      </c>
      <c r="R201" s="15" t="inlineStr">
        <is>
          <t>INSERT INTO</t>
        </is>
      </c>
      <c r="S201" s="15" t="inlineStr">
        <is>
          <t>CNF_UNIT_FILTERING_TBL</t>
        </is>
      </c>
      <c r="T201" s="15" t="inlineStr">
        <is>
          <t>VALUES(</t>
        </is>
      </c>
      <c r="U201" s="15" t="inlineStr">
        <is>
          <t>594 , 9</t>
        </is>
      </c>
      <c r="V201" s="15" t="inlineStr">
        <is>
          <t>);</t>
        </is>
      </c>
      <c r="X201" s="18">
        <f>EXACT(TRIM(L201&amp;""),O201&amp;"")</f>
        <v/>
      </c>
      <c r="Y201" s="18">
        <f>EXACT(TRIM(E201&amp;""),P201&amp;"")</f>
        <v/>
      </c>
      <c r="Z201" s="18">
        <f>AND(X201:Y201)</f>
        <v/>
      </c>
      <c r="AA201" s="19">
        <f>TRIM(IF(X201,"",$X$3&amp;" ")&amp;IF(Y201,"",$Y$3&amp;" "))</f>
        <v/>
      </c>
      <c r="AB201" s="18">
        <f>EXACT(SUBSTITUTE(M201," ",""),SUBSTITUTE(R201&amp;S201&amp;T201&amp;U201&amp;V201," ",""))</f>
        <v/>
      </c>
    </row>
    <row r="202">
      <c r="A202" s="15" t="inlineStr">
        <is>
          <t>INSERT INTO CNF_UNIT_FILTERING_TBL SELECT UNIT_ID, 11 FROM MST_UNIT_TBL WHERE UNIT_CODE = 'LF017';</t>
        </is>
      </c>
      <c r="B202" s="16" t="n"/>
      <c r="C202" s="15" t="inlineStr">
        <is>
          <t>CNF_UNIT_FILTERING_TBL</t>
        </is>
      </c>
      <c r="D202" s="15" t="inlineStr">
        <is>
          <t>UNIT_ID</t>
        </is>
      </c>
      <c r="E202" s="15" t="inlineStr">
        <is>
          <t>11</t>
        </is>
      </c>
      <c r="F202" s="15" t="inlineStr">
        <is>
          <t>MST_UNIT_TBL</t>
        </is>
      </c>
      <c r="G202" s="15" t="inlineStr">
        <is>
          <t>UNIT_CODE</t>
        </is>
      </c>
      <c r="H202" s="15" t="inlineStr">
        <is>
          <t>LF017</t>
        </is>
      </c>
      <c r="J202" s="15" t="inlineStr">
        <is>
          <t>LF017</t>
        </is>
      </c>
      <c r="K202" s="15" t="inlineStr">
        <is>
          <t>本店営業第四部</t>
        </is>
      </c>
      <c r="L202" s="15" t="inlineStr">
        <is>
          <t>594</t>
        </is>
      </c>
      <c r="M202" s="19">
        <f>"INSERT INTO "&amp;C202&amp;" VALUES("&amp;L202&amp;" , "&amp;E202&amp;");"</f>
        <v/>
      </c>
      <c r="O202" s="17" t="inlineStr">
        <is>
          <t>594</t>
        </is>
      </c>
      <c r="P202" s="17" t="inlineStr">
        <is>
          <t>11</t>
        </is>
      </c>
      <c r="R202" s="15" t="inlineStr">
        <is>
          <t>INSERT INTO</t>
        </is>
      </c>
      <c r="S202" s="15" t="inlineStr">
        <is>
          <t>CNF_UNIT_FILTERING_TBL</t>
        </is>
      </c>
      <c r="T202" s="15" t="inlineStr">
        <is>
          <t>VALUES(</t>
        </is>
      </c>
      <c r="U202" s="15" t="inlineStr">
        <is>
          <t>594 , 11</t>
        </is>
      </c>
      <c r="V202" s="15" t="inlineStr">
        <is>
          <t>);</t>
        </is>
      </c>
      <c r="X202" s="18">
        <f>EXACT(TRIM(L202&amp;""),O202&amp;"")</f>
        <v/>
      </c>
      <c r="Y202" s="18">
        <f>EXACT(TRIM(E202&amp;""),P202&amp;"")</f>
        <v/>
      </c>
      <c r="Z202" s="18">
        <f>AND(X202:Y202)</f>
        <v/>
      </c>
      <c r="AA202" s="19">
        <f>TRIM(IF(X202,"",$X$3&amp;" ")&amp;IF(Y202,"",$Y$3&amp;" "))</f>
        <v/>
      </c>
      <c r="AB202" s="18">
        <f>EXACT(SUBSTITUTE(M202," ",""),SUBSTITUTE(R202&amp;S202&amp;T202&amp;U202&amp;V202," ",""))</f>
        <v/>
      </c>
    </row>
    <row r="203">
      <c r="A203" s="15" t="inlineStr">
        <is>
          <t>INSERT INTO CNF_UNIT_FILTERING_TBL SELECT UNIT_ID, 12 FROM MST_UNIT_TBL WHERE UNIT_CODE = 'LF017';</t>
        </is>
      </c>
      <c r="B203" s="16" t="n"/>
      <c r="C203" s="15" t="inlineStr">
        <is>
          <t>CNF_UNIT_FILTERING_TBL</t>
        </is>
      </c>
      <c r="D203" s="15" t="inlineStr">
        <is>
          <t>UNIT_ID</t>
        </is>
      </c>
      <c r="E203" s="15" t="inlineStr">
        <is>
          <t>12</t>
        </is>
      </c>
      <c r="F203" s="15" t="inlineStr">
        <is>
          <t>MST_UNIT_TBL</t>
        </is>
      </c>
      <c r="G203" s="15" t="inlineStr">
        <is>
          <t>UNIT_CODE</t>
        </is>
      </c>
      <c r="H203" s="15" t="inlineStr">
        <is>
          <t>LF017</t>
        </is>
      </c>
      <c r="J203" s="15" t="inlineStr">
        <is>
          <t>LF017</t>
        </is>
      </c>
      <c r="K203" s="15" t="inlineStr">
        <is>
          <t>本店営業第四部</t>
        </is>
      </c>
      <c r="L203" s="15" t="inlineStr">
        <is>
          <t>594</t>
        </is>
      </c>
      <c r="M203" s="19">
        <f>"INSERT INTO "&amp;C203&amp;" VALUES("&amp;L203&amp;" , "&amp;E203&amp;");"</f>
        <v/>
      </c>
      <c r="O203" s="17" t="inlineStr">
        <is>
          <t>594</t>
        </is>
      </c>
      <c r="P203" s="17" t="inlineStr">
        <is>
          <t>12</t>
        </is>
      </c>
      <c r="R203" s="15" t="inlineStr">
        <is>
          <t>INSERT INTO</t>
        </is>
      </c>
      <c r="S203" s="15" t="inlineStr">
        <is>
          <t>CNF_UNIT_FILTERING_TBL</t>
        </is>
      </c>
      <c r="T203" s="15" t="inlineStr">
        <is>
          <t>VALUES(</t>
        </is>
      </c>
      <c r="U203" s="15" t="inlineStr">
        <is>
          <t>594 , 12</t>
        </is>
      </c>
      <c r="V203" s="15" t="inlineStr">
        <is>
          <t>);</t>
        </is>
      </c>
      <c r="X203" s="18">
        <f>EXACT(TRIM(L203&amp;""),O203&amp;"")</f>
        <v/>
      </c>
      <c r="Y203" s="18">
        <f>EXACT(TRIM(E203&amp;""),P203&amp;"")</f>
        <v/>
      </c>
      <c r="Z203" s="18">
        <f>AND(X203:Y203)</f>
        <v/>
      </c>
      <c r="AA203" s="19">
        <f>TRIM(IF(X203,"",$X$3&amp;" ")&amp;IF(Y203,"",$Y$3&amp;" "))</f>
        <v/>
      </c>
      <c r="AB203" s="18">
        <f>EXACT(SUBSTITUTE(M203," ",""),SUBSTITUTE(R203&amp;S203&amp;T203&amp;U203&amp;V203," ",""))</f>
        <v/>
      </c>
    </row>
    <row r="204">
      <c r="A204" s="15" t="inlineStr">
        <is>
          <t>INSERT INTO CNF_UNIT_FILTERING_TBL SELECT UNIT_ID, 13 FROM MST_UNIT_TBL WHERE UNIT_CODE = 'LF017';</t>
        </is>
      </c>
      <c r="B204" s="16" t="n"/>
      <c r="C204" s="15" t="inlineStr">
        <is>
          <t>CNF_UNIT_FILTERING_TBL</t>
        </is>
      </c>
      <c r="D204" s="15" t="inlineStr">
        <is>
          <t>UNIT_ID</t>
        </is>
      </c>
      <c r="E204" s="15" t="inlineStr">
        <is>
          <t>13</t>
        </is>
      </c>
      <c r="F204" s="15" t="inlineStr">
        <is>
          <t>MST_UNIT_TBL</t>
        </is>
      </c>
      <c r="G204" s="15" t="inlineStr">
        <is>
          <t>UNIT_CODE</t>
        </is>
      </c>
      <c r="H204" s="15" t="inlineStr">
        <is>
          <t>LF017</t>
        </is>
      </c>
      <c r="J204" s="15" t="inlineStr">
        <is>
          <t>LF017</t>
        </is>
      </c>
      <c r="K204" s="15" t="inlineStr">
        <is>
          <t>本店営業第四部</t>
        </is>
      </c>
      <c r="L204" s="15" t="inlineStr">
        <is>
          <t>594</t>
        </is>
      </c>
      <c r="M204" s="19">
        <f>"INSERT INTO "&amp;C204&amp;" VALUES("&amp;L204&amp;" , "&amp;E204&amp;");"</f>
        <v/>
      </c>
      <c r="O204" s="17" t="inlineStr">
        <is>
          <t>594</t>
        </is>
      </c>
      <c r="P204" s="17" t="inlineStr">
        <is>
          <t>13</t>
        </is>
      </c>
      <c r="R204" s="15" t="inlineStr">
        <is>
          <t>INSERT INTO</t>
        </is>
      </c>
      <c r="S204" s="15" t="inlineStr">
        <is>
          <t>CNF_UNIT_FILTERING_TBL</t>
        </is>
      </c>
      <c r="T204" s="15" t="inlineStr">
        <is>
          <t>VALUES(</t>
        </is>
      </c>
      <c r="U204" s="15" t="inlineStr">
        <is>
          <t>594 , 13</t>
        </is>
      </c>
      <c r="V204" s="15" t="inlineStr">
        <is>
          <t>);</t>
        </is>
      </c>
      <c r="X204" s="18">
        <f>EXACT(TRIM(L204&amp;""),O204&amp;"")</f>
        <v/>
      </c>
      <c r="Y204" s="18">
        <f>EXACT(TRIM(E204&amp;""),P204&amp;"")</f>
        <v/>
      </c>
      <c r="Z204" s="18">
        <f>AND(X204:Y204)</f>
        <v/>
      </c>
      <c r="AA204" s="19">
        <f>TRIM(IF(X204,"",$X$3&amp;" ")&amp;IF(Y204,"",$Y$3&amp;" "))</f>
        <v/>
      </c>
      <c r="AB204" s="18">
        <f>EXACT(SUBSTITUTE(M204," ",""),SUBSTITUTE(R204&amp;S204&amp;T204&amp;U204&amp;V204," ",""))</f>
        <v/>
      </c>
    </row>
    <row r="205">
      <c r="A205" s="15" t="inlineStr">
        <is>
          <t>INSERT INTO CNF_UNIT_FILTERING_TBL SELECT UNIT_ID, 14 FROM MST_UNIT_TBL WHERE UNIT_CODE = 'LF017';</t>
        </is>
      </c>
      <c r="B205" s="16" t="n"/>
      <c r="C205" s="15" t="inlineStr">
        <is>
          <t>CNF_UNIT_FILTERING_TBL</t>
        </is>
      </c>
      <c r="D205" s="15" t="inlineStr">
        <is>
          <t>UNIT_ID</t>
        </is>
      </c>
      <c r="E205" s="15" t="inlineStr">
        <is>
          <t>14</t>
        </is>
      </c>
      <c r="F205" s="15" t="inlineStr">
        <is>
          <t>MST_UNIT_TBL</t>
        </is>
      </c>
      <c r="G205" s="15" t="inlineStr">
        <is>
          <t>UNIT_CODE</t>
        </is>
      </c>
      <c r="H205" s="15" t="inlineStr">
        <is>
          <t>LF017</t>
        </is>
      </c>
      <c r="J205" s="15" t="inlineStr">
        <is>
          <t>LF017</t>
        </is>
      </c>
      <c r="K205" s="15" t="inlineStr">
        <is>
          <t>本店営業第四部</t>
        </is>
      </c>
      <c r="L205" s="15" t="inlineStr">
        <is>
          <t>594</t>
        </is>
      </c>
      <c r="M205" s="19">
        <f>"INSERT INTO "&amp;C205&amp;" VALUES("&amp;L205&amp;" , "&amp;E205&amp;");"</f>
        <v/>
      </c>
      <c r="O205" s="17" t="inlineStr">
        <is>
          <t>594</t>
        </is>
      </c>
      <c r="P205" s="17" t="inlineStr">
        <is>
          <t>14</t>
        </is>
      </c>
      <c r="R205" s="15" t="inlineStr">
        <is>
          <t>INSERT INTO</t>
        </is>
      </c>
      <c r="S205" s="15" t="inlineStr">
        <is>
          <t>CNF_UNIT_FILTERING_TBL</t>
        </is>
      </c>
      <c r="T205" s="15" t="inlineStr">
        <is>
          <t>VALUES(</t>
        </is>
      </c>
      <c r="U205" s="15" t="inlineStr">
        <is>
          <t>594 , 14</t>
        </is>
      </c>
      <c r="V205" s="15" t="inlineStr">
        <is>
          <t>);</t>
        </is>
      </c>
      <c r="X205" s="18">
        <f>EXACT(TRIM(L205&amp;""),O205&amp;"")</f>
        <v/>
      </c>
      <c r="Y205" s="18">
        <f>EXACT(TRIM(E205&amp;""),P205&amp;"")</f>
        <v/>
      </c>
      <c r="Z205" s="18">
        <f>AND(X205:Y205)</f>
        <v/>
      </c>
      <c r="AA205" s="19">
        <f>TRIM(IF(X205,"",$X$3&amp;" ")&amp;IF(Y205,"",$Y$3&amp;" "))</f>
        <v/>
      </c>
      <c r="AB205" s="18">
        <f>EXACT(SUBSTITUTE(M205," ",""),SUBSTITUTE(R205&amp;S205&amp;T205&amp;U205&amp;V205," ",""))</f>
        <v/>
      </c>
    </row>
    <row r="206">
      <c r="A206" s="15" t="inlineStr">
        <is>
          <t>INSERT INTO CNF_UNIT_FILTERING_TBL SELECT UNIT_ID, 15 FROM MST_UNIT_TBL WHERE UNIT_CODE = 'LF017';</t>
        </is>
      </c>
      <c r="B206" s="16" t="n"/>
      <c r="C206" s="15" t="inlineStr">
        <is>
          <t>CNF_UNIT_FILTERING_TBL</t>
        </is>
      </c>
      <c r="D206" s="15" t="inlineStr">
        <is>
          <t>UNIT_ID</t>
        </is>
      </c>
      <c r="E206" s="15" t="inlineStr">
        <is>
          <t>15</t>
        </is>
      </c>
      <c r="F206" s="15" t="inlineStr">
        <is>
          <t>MST_UNIT_TBL</t>
        </is>
      </c>
      <c r="G206" s="15" t="inlineStr">
        <is>
          <t>UNIT_CODE</t>
        </is>
      </c>
      <c r="H206" s="15" t="inlineStr">
        <is>
          <t>LF017</t>
        </is>
      </c>
      <c r="J206" s="15" t="inlineStr">
        <is>
          <t>LF017</t>
        </is>
      </c>
      <c r="K206" s="15" t="inlineStr">
        <is>
          <t>本店営業第四部</t>
        </is>
      </c>
      <c r="L206" s="15" t="inlineStr">
        <is>
          <t>594</t>
        </is>
      </c>
      <c r="M206" s="19">
        <f>"INSERT INTO "&amp;C206&amp;" VALUES("&amp;L206&amp;" , "&amp;E206&amp;");"</f>
        <v/>
      </c>
      <c r="O206" s="17" t="inlineStr">
        <is>
          <t>594</t>
        </is>
      </c>
      <c r="P206" s="17" t="inlineStr">
        <is>
          <t>15</t>
        </is>
      </c>
      <c r="R206" s="15" t="inlineStr">
        <is>
          <t>INSERT INTO</t>
        </is>
      </c>
      <c r="S206" s="15" t="inlineStr">
        <is>
          <t>CNF_UNIT_FILTERING_TBL</t>
        </is>
      </c>
      <c r="T206" s="15" t="inlineStr">
        <is>
          <t>VALUES(</t>
        </is>
      </c>
      <c r="U206" s="15" t="inlineStr">
        <is>
          <t>594 , 15</t>
        </is>
      </c>
      <c r="V206" s="15" t="inlineStr">
        <is>
          <t>);</t>
        </is>
      </c>
      <c r="X206" s="18">
        <f>EXACT(TRIM(L206&amp;""),O206&amp;"")</f>
        <v/>
      </c>
      <c r="Y206" s="18">
        <f>EXACT(TRIM(E206&amp;""),P206&amp;"")</f>
        <v/>
      </c>
      <c r="Z206" s="18">
        <f>AND(X206:Y206)</f>
        <v/>
      </c>
      <c r="AA206" s="19">
        <f>TRIM(IF(X206,"",$X$3&amp;" ")&amp;IF(Y206,"",$Y$3&amp;" "))</f>
        <v/>
      </c>
      <c r="AB206" s="18">
        <f>EXACT(SUBSTITUTE(M206," ",""),SUBSTITUTE(R206&amp;S206&amp;T206&amp;U206&amp;V206," ",""))</f>
        <v/>
      </c>
    </row>
    <row r="207">
      <c r="A207" s="15" t="inlineStr">
        <is>
          <t>INSERT INTO CNF_UNIT_FILTERING_TBL SELECT UNIT_ID, 16 FROM MST_UNIT_TBL WHERE UNIT_CODE = 'LF017';</t>
        </is>
      </c>
      <c r="B207" s="16" t="n"/>
      <c r="C207" s="15" t="inlineStr">
        <is>
          <t>CNF_UNIT_FILTERING_TBL</t>
        </is>
      </c>
      <c r="D207" s="15" t="inlineStr">
        <is>
          <t>UNIT_ID</t>
        </is>
      </c>
      <c r="E207" s="15" t="inlineStr">
        <is>
          <t>16</t>
        </is>
      </c>
      <c r="F207" s="15" t="inlineStr">
        <is>
          <t>MST_UNIT_TBL</t>
        </is>
      </c>
      <c r="G207" s="15" t="inlineStr">
        <is>
          <t>UNIT_CODE</t>
        </is>
      </c>
      <c r="H207" s="15" t="inlineStr">
        <is>
          <t>LF017</t>
        </is>
      </c>
      <c r="J207" s="15" t="inlineStr">
        <is>
          <t>LF017</t>
        </is>
      </c>
      <c r="K207" s="15" t="inlineStr">
        <is>
          <t>本店営業第四部</t>
        </is>
      </c>
      <c r="L207" s="15" t="inlineStr">
        <is>
          <t>594</t>
        </is>
      </c>
      <c r="M207" s="19">
        <f>"INSERT INTO "&amp;C207&amp;" VALUES("&amp;L207&amp;" , "&amp;E207&amp;");"</f>
        <v/>
      </c>
      <c r="O207" s="17" t="inlineStr">
        <is>
          <t>594</t>
        </is>
      </c>
      <c r="P207" s="17" t="inlineStr">
        <is>
          <t>16</t>
        </is>
      </c>
      <c r="R207" s="15" t="inlineStr">
        <is>
          <t>INSERT INTO</t>
        </is>
      </c>
      <c r="S207" s="15" t="inlineStr">
        <is>
          <t>CNF_UNIT_FILTERING_TBL</t>
        </is>
      </c>
      <c r="T207" s="15" t="inlineStr">
        <is>
          <t>VALUES(</t>
        </is>
      </c>
      <c r="U207" s="15" t="inlineStr">
        <is>
          <t>594 , 16</t>
        </is>
      </c>
      <c r="V207" s="15" t="inlineStr">
        <is>
          <t>);</t>
        </is>
      </c>
      <c r="X207" s="18">
        <f>EXACT(TRIM(L207&amp;""),O207&amp;"")</f>
        <v/>
      </c>
      <c r="Y207" s="18">
        <f>EXACT(TRIM(E207&amp;""),P207&amp;"")</f>
        <v/>
      </c>
      <c r="Z207" s="18">
        <f>AND(X207:Y207)</f>
        <v/>
      </c>
      <c r="AA207" s="19">
        <f>TRIM(IF(X207,"",$X$3&amp;" ")&amp;IF(Y207,"",$Y$3&amp;" "))</f>
        <v/>
      </c>
      <c r="AB207" s="18">
        <f>EXACT(SUBSTITUTE(M207," ",""),SUBSTITUTE(R207&amp;S207&amp;T207&amp;U207&amp;V207," ",""))</f>
        <v/>
      </c>
    </row>
    <row r="208">
      <c r="A208" s="15" t="inlineStr">
        <is>
          <t>INSERT INTO CNF_UNIT_FILTERING_TBL SELECT UNIT_ID, 1 FROM MST_UNIT_TBL WHERE UNIT_CODE = 'LF018';</t>
        </is>
      </c>
      <c r="B208" s="16" t="n"/>
      <c r="C208" s="15" t="inlineStr">
        <is>
          <t>CNF_UNIT_FILTERING_TBL</t>
        </is>
      </c>
      <c r="D208" s="15" t="inlineStr">
        <is>
          <t>UNIT_ID</t>
        </is>
      </c>
      <c r="E208" s="15" t="inlineStr">
        <is>
          <t>1</t>
        </is>
      </c>
      <c r="F208" s="15" t="inlineStr">
        <is>
          <t>MST_UNIT_TBL</t>
        </is>
      </c>
      <c r="G208" s="15" t="inlineStr">
        <is>
          <t>UNIT_CODE</t>
        </is>
      </c>
      <c r="H208" s="15" t="inlineStr">
        <is>
          <t>LF018</t>
        </is>
      </c>
      <c r="J208" s="15" t="inlineStr">
        <is>
          <t>LF018</t>
        </is>
      </c>
      <c r="K208" s="15" t="inlineStr">
        <is>
          <t>新宿支店</t>
        </is>
      </c>
      <c r="L208" s="15" t="inlineStr">
        <is>
          <t>595</t>
        </is>
      </c>
      <c r="M208" s="19">
        <f>"INSERT INTO "&amp;C208&amp;" VALUES("&amp;L208&amp;" , "&amp;E208&amp;");"</f>
        <v/>
      </c>
      <c r="O208" s="17" t="inlineStr">
        <is>
          <t>595</t>
        </is>
      </c>
      <c r="P208" s="17" t="inlineStr">
        <is>
          <t>1</t>
        </is>
      </c>
      <c r="R208" s="15" t="inlineStr">
        <is>
          <t>INSERT INTO</t>
        </is>
      </c>
      <c r="S208" s="15" t="inlineStr">
        <is>
          <t>CNF_UNIT_FILTERING_TBL</t>
        </is>
      </c>
      <c r="T208" s="15" t="inlineStr">
        <is>
          <t>VALUES(</t>
        </is>
      </c>
      <c r="U208" s="15" t="inlineStr">
        <is>
          <t>595 , 1</t>
        </is>
      </c>
      <c r="V208" s="15" t="inlineStr">
        <is>
          <t>);</t>
        </is>
      </c>
      <c r="X208" s="18">
        <f>EXACT(TRIM(L208&amp;""),O208&amp;"")</f>
        <v/>
      </c>
      <c r="Y208" s="18">
        <f>EXACT(TRIM(E208&amp;""),P208&amp;"")</f>
        <v/>
      </c>
      <c r="Z208" s="18">
        <f>AND(X208:Y208)</f>
        <v/>
      </c>
      <c r="AA208" s="19">
        <f>TRIM(IF(X208,"",$X$3&amp;" ")&amp;IF(Y208,"",$Y$3&amp;" "))</f>
        <v/>
      </c>
      <c r="AB208" s="18">
        <f>EXACT(SUBSTITUTE(M208," ",""),SUBSTITUTE(R208&amp;S208&amp;T208&amp;U208&amp;V208," ",""))</f>
        <v/>
      </c>
    </row>
    <row r="209">
      <c r="A209" s="15" t="inlineStr">
        <is>
          <t>INSERT INTO CNF_UNIT_FILTERING_TBL SELECT UNIT_ID, 4 FROM MST_UNIT_TBL WHERE UNIT_CODE = 'LF018';</t>
        </is>
      </c>
      <c r="B209" s="16" t="n"/>
      <c r="C209" s="15" t="inlineStr">
        <is>
          <t>CNF_UNIT_FILTERING_TBL</t>
        </is>
      </c>
      <c r="D209" s="15" t="inlineStr">
        <is>
          <t>UNIT_ID</t>
        </is>
      </c>
      <c r="E209" s="15" t="inlineStr">
        <is>
          <t>4</t>
        </is>
      </c>
      <c r="F209" s="15" t="inlineStr">
        <is>
          <t>MST_UNIT_TBL</t>
        </is>
      </c>
      <c r="G209" s="15" t="inlineStr">
        <is>
          <t>UNIT_CODE</t>
        </is>
      </c>
      <c r="H209" s="15" t="inlineStr">
        <is>
          <t>LF018</t>
        </is>
      </c>
      <c r="J209" s="15" t="inlineStr">
        <is>
          <t>LF018</t>
        </is>
      </c>
      <c r="K209" s="15" t="inlineStr">
        <is>
          <t>新宿支店</t>
        </is>
      </c>
      <c r="L209" s="15" t="inlineStr">
        <is>
          <t>595</t>
        </is>
      </c>
      <c r="M209" s="19">
        <f>"INSERT INTO "&amp;C209&amp;" VALUES("&amp;L209&amp;" , "&amp;E209&amp;");"</f>
        <v/>
      </c>
      <c r="O209" s="17" t="inlineStr">
        <is>
          <t>595</t>
        </is>
      </c>
      <c r="P209" s="17" t="inlineStr">
        <is>
          <t>4</t>
        </is>
      </c>
      <c r="R209" s="15" t="inlineStr">
        <is>
          <t>INSERT INTO</t>
        </is>
      </c>
      <c r="S209" s="15" t="inlineStr">
        <is>
          <t>CNF_UNIT_FILTERING_TBL</t>
        </is>
      </c>
      <c r="T209" s="15" t="inlineStr">
        <is>
          <t>VALUES(</t>
        </is>
      </c>
      <c r="U209" s="15" t="inlineStr">
        <is>
          <t>595 , 4</t>
        </is>
      </c>
      <c r="V209" s="15" t="inlineStr">
        <is>
          <t>);</t>
        </is>
      </c>
      <c r="X209" s="18">
        <f>EXACT(TRIM(L209&amp;""),O209&amp;"")</f>
        <v/>
      </c>
      <c r="Y209" s="18">
        <f>EXACT(TRIM(E209&amp;""),P209&amp;"")</f>
        <v/>
      </c>
      <c r="Z209" s="18">
        <f>AND(X209:Y209)</f>
        <v/>
      </c>
      <c r="AA209" s="19">
        <f>TRIM(IF(X209,"",$X$3&amp;" ")&amp;IF(Y209,"",$Y$3&amp;" "))</f>
        <v/>
      </c>
      <c r="AB209" s="18">
        <f>EXACT(SUBSTITUTE(M209," ",""),SUBSTITUTE(R209&amp;S209&amp;T209&amp;U209&amp;V209," ",""))</f>
        <v/>
      </c>
    </row>
    <row r="210">
      <c r="A210" s="15" t="inlineStr">
        <is>
          <t>INSERT INTO CNF_UNIT_FILTERING_TBL SELECT UNIT_ID, 5 FROM MST_UNIT_TBL WHERE UNIT_CODE = 'LF018';</t>
        </is>
      </c>
      <c r="B210" s="16" t="n"/>
      <c r="C210" s="15" t="inlineStr">
        <is>
          <t>CNF_UNIT_FILTERING_TBL</t>
        </is>
      </c>
      <c r="D210" s="15" t="inlineStr">
        <is>
          <t>UNIT_ID</t>
        </is>
      </c>
      <c r="E210" s="15" t="inlineStr">
        <is>
          <t>5</t>
        </is>
      </c>
      <c r="F210" s="15" t="inlineStr">
        <is>
          <t>MST_UNIT_TBL</t>
        </is>
      </c>
      <c r="G210" s="15" t="inlineStr">
        <is>
          <t>UNIT_CODE</t>
        </is>
      </c>
      <c r="H210" s="15" t="inlineStr">
        <is>
          <t>LF018</t>
        </is>
      </c>
      <c r="J210" s="15" t="inlineStr">
        <is>
          <t>LF018</t>
        </is>
      </c>
      <c r="K210" s="15" t="inlineStr">
        <is>
          <t>新宿支店</t>
        </is>
      </c>
      <c r="L210" s="15" t="inlineStr">
        <is>
          <t>595</t>
        </is>
      </c>
      <c r="M210" s="19">
        <f>"INSERT INTO "&amp;C210&amp;" VALUES("&amp;L210&amp;" , "&amp;E210&amp;");"</f>
        <v/>
      </c>
      <c r="O210" s="17" t="inlineStr">
        <is>
          <t>595</t>
        </is>
      </c>
      <c r="P210" s="17" t="inlineStr">
        <is>
          <t>5</t>
        </is>
      </c>
      <c r="R210" s="15" t="inlineStr">
        <is>
          <t>INSERT INTO</t>
        </is>
      </c>
      <c r="S210" s="15" t="inlineStr">
        <is>
          <t>CNF_UNIT_FILTERING_TBL</t>
        </is>
      </c>
      <c r="T210" s="15" t="inlineStr">
        <is>
          <t>VALUES(</t>
        </is>
      </c>
      <c r="U210" s="15" t="inlineStr">
        <is>
          <t>595 , 5</t>
        </is>
      </c>
      <c r="V210" s="15" t="inlineStr">
        <is>
          <t>);</t>
        </is>
      </c>
      <c r="X210" s="18">
        <f>EXACT(TRIM(L210&amp;""),O210&amp;"")</f>
        <v/>
      </c>
      <c r="Y210" s="18">
        <f>EXACT(TRIM(E210&amp;""),P210&amp;"")</f>
        <v/>
      </c>
      <c r="Z210" s="18">
        <f>AND(X210:Y210)</f>
        <v/>
      </c>
      <c r="AA210" s="19">
        <f>TRIM(IF(X210,"",$X$3&amp;" ")&amp;IF(Y210,"",$Y$3&amp;" "))</f>
        <v/>
      </c>
      <c r="AB210" s="18">
        <f>EXACT(SUBSTITUTE(M210," ",""),SUBSTITUTE(R210&amp;S210&amp;T210&amp;U210&amp;V210," ",""))</f>
        <v/>
      </c>
    </row>
    <row r="211">
      <c r="A211" s="15" t="inlineStr">
        <is>
          <t>INSERT INTO CNF_UNIT_FILTERING_TBL SELECT UNIT_ID, 7 FROM MST_UNIT_TBL WHERE UNIT_CODE = 'LF018';</t>
        </is>
      </c>
      <c r="B211" s="16" t="n"/>
      <c r="C211" s="15" t="inlineStr">
        <is>
          <t>CNF_UNIT_FILTERING_TBL</t>
        </is>
      </c>
      <c r="D211" s="15" t="inlineStr">
        <is>
          <t>UNIT_ID</t>
        </is>
      </c>
      <c r="E211" s="15" t="inlineStr">
        <is>
          <t>7</t>
        </is>
      </c>
      <c r="F211" s="15" t="inlineStr">
        <is>
          <t>MST_UNIT_TBL</t>
        </is>
      </c>
      <c r="G211" s="15" t="inlineStr">
        <is>
          <t>UNIT_CODE</t>
        </is>
      </c>
      <c r="H211" s="15" t="inlineStr">
        <is>
          <t>LF018</t>
        </is>
      </c>
      <c r="J211" s="15" t="inlineStr">
        <is>
          <t>LF018</t>
        </is>
      </c>
      <c r="K211" s="15" t="inlineStr">
        <is>
          <t>新宿支店</t>
        </is>
      </c>
      <c r="L211" s="15" t="inlineStr">
        <is>
          <t>595</t>
        </is>
      </c>
      <c r="M211" s="19">
        <f>"INSERT INTO "&amp;C211&amp;" VALUES("&amp;L211&amp;" , "&amp;E211&amp;");"</f>
        <v/>
      </c>
      <c r="O211" s="17" t="inlineStr">
        <is>
          <t>595</t>
        </is>
      </c>
      <c r="P211" s="17" t="inlineStr">
        <is>
          <t>7</t>
        </is>
      </c>
      <c r="R211" s="15" t="inlineStr">
        <is>
          <t>INSERT INTO</t>
        </is>
      </c>
      <c r="S211" s="15" t="inlineStr">
        <is>
          <t>CNF_UNIT_FILTERING_TBL</t>
        </is>
      </c>
      <c r="T211" s="15" t="inlineStr">
        <is>
          <t>VALUES(</t>
        </is>
      </c>
      <c r="U211" s="15" t="inlineStr">
        <is>
          <t>595 , 7</t>
        </is>
      </c>
      <c r="V211" s="15" t="inlineStr">
        <is>
          <t>);</t>
        </is>
      </c>
      <c r="X211" s="18">
        <f>EXACT(TRIM(L211&amp;""),O211&amp;"")</f>
        <v/>
      </c>
      <c r="Y211" s="18">
        <f>EXACT(TRIM(E211&amp;""),P211&amp;"")</f>
        <v/>
      </c>
      <c r="Z211" s="18">
        <f>AND(X211:Y211)</f>
        <v/>
      </c>
      <c r="AA211" s="19">
        <f>TRIM(IF(X211,"",$X$3&amp;" ")&amp;IF(Y211,"",$Y$3&amp;" "))</f>
        <v/>
      </c>
      <c r="AB211" s="18">
        <f>EXACT(SUBSTITUTE(M211," ",""),SUBSTITUTE(R211&amp;S211&amp;T211&amp;U211&amp;V211," ",""))</f>
        <v/>
      </c>
    </row>
    <row r="212">
      <c r="A212" s="15" t="inlineStr">
        <is>
          <t>INSERT INTO CNF_UNIT_FILTERING_TBL SELECT UNIT_ID, 8 FROM MST_UNIT_TBL WHERE UNIT_CODE = 'LF018';</t>
        </is>
      </c>
      <c r="B212" s="16" t="n"/>
      <c r="C212" s="15" t="inlineStr">
        <is>
          <t>CNF_UNIT_FILTERING_TBL</t>
        </is>
      </c>
      <c r="D212" s="15" t="inlineStr">
        <is>
          <t>UNIT_ID</t>
        </is>
      </c>
      <c r="E212" s="15" t="inlineStr">
        <is>
          <t>8</t>
        </is>
      </c>
      <c r="F212" s="15" t="inlineStr">
        <is>
          <t>MST_UNIT_TBL</t>
        </is>
      </c>
      <c r="G212" s="15" t="inlineStr">
        <is>
          <t>UNIT_CODE</t>
        </is>
      </c>
      <c r="H212" s="15" t="inlineStr">
        <is>
          <t>LF018</t>
        </is>
      </c>
      <c r="J212" s="15" t="inlineStr">
        <is>
          <t>LF018</t>
        </is>
      </c>
      <c r="K212" s="15" t="inlineStr">
        <is>
          <t>新宿支店</t>
        </is>
      </c>
      <c r="L212" s="15" t="inlineStr">
        <is>
          <t>595</t>
        </is>
      </c>
      <c r="M212" s="19">
        <f>"INSERT INTO "&amp;C212&amp;" VALUES("&amp;L212&amp;" , "&amp;E212&amp;");"</f>
        <v/>
      </c>
      <c r="O212" s="17" t="inlineStr">
        <is>
          <t>595</t>
        </is>
      </c>
      <c r="P212" s="17" t="inlineStr">
        <is>
          <t>8</t>
        </is>
      </c>
      <c r="R212" s="15" t="inlineStr">
        <is>
          <t>INSERT INTO</t>
        </is>
      </c>
      <c r="S212" s="15" t="inlineStr">
        <is>
          <t>CNF_UNIT_FILTERING_TBL</t>
        </is>
      </c>
      <c r="T212" s="15" t="inlineStr">
        <is>
          <t>VALUES(</t>
        </is>
      </c>
      <c r="U212" s="15" t="inlineStr">
        <is>
          <t>595 , 8</t>
        </is>
      </c>
      <c r="V212" s="15" t="inlineStr">
        <is>
          <t>);</t>
        </is>
      </c>
      <c r="X212" s="18">
        <f>EXACT(TRIM(L212&amp;""),O212&amp;"")</f>
        <v/>
      </c>
      <c r="Y212" s="18">
        <f>EXACT(TRIM(E212&amp;""),P212&amp;"")</f>
        <v/>
      </c>
      <c r="Z212" s="18">
        <f>AND(X212:Y212)</f>
        <v/>
      </c>
      <c r="AA212" s="19">
        <f>TRIM(IF(X212,"",$X$3&amp;" ")&amp;IF(Y212,"",$Y$3&amp;" "))</f>
        <v/>
      </c>
      <c r="AB212" s="18">
        <f>EXACT(SUBSTITUTE(M212," ",""),SUBSTITUTE(R212&amp;S212&amp;T212&amp;U212&amp;V212," ",""))</f>
        <v/>
      </c>
    </row>
    <row r="213">
      <c r="A213" s="15" t="inlineStr">
        <is>
          <t>INSERT INTO CNF_UNIT_FILTERING_TBL SELECT UNIT_ID, 9 FROM MST_UNIT_TBL WHERE UNIT_CODE = 'LF018';</t>
        </is>
      </c>
      <c r="B213" s="16" t="n"/>
      <c r="C213" s="15" t="inlineStr">
        <is>
          <t>CNF_UNIT_FILTERING_TBL</t>
        </is>
      </c>
      <c r="D213" s="15" t="inlineStr">
        <is>
          <t>UNIT_ID</t>
        </is>
      </c>
      <c r="E213" s="15" t="inlineStr">
        <is>
          <t>9</t>
        </is>
      </c>
      <c r="F213" s="15" t="inlineStr">
        <is>
          <t>MST_UNIT_TBL</t>
        </is>
      </c>
      <c r="G213" s="15" t="inlineStr">
        <is>
          <t>UNIT_CODE</t>
        </is>
      </c>
      <c r="H213" s="15" t="inlineStr">
        <is>
          <t>LF018</t>
        </is>
      </c>
      <c r="J213" s="15" t="inlineStr">
        <is>
          <t>LF018</t>
        </is>
      </c>
      <c r="K213" s="15" t="inlineStr">
        <is>
          <t>新宿支店</t>
        </is>
      </c>
      <c r="L213" s="15" t="inlineStr">
        <is>
          <t>595</t>
        </is>
      </c>
      <c r="M213" s="19">
        <f>"INSERT INTO "&amp;C213&amp;" VALUES("&amp;L213&amp;" , "&amp;E213&amp;");"</f>
        <v/>
      </c>
      <c r="O213" s="17" t="inlineStr">
        <is>
          <t>595</t>
        </is>
      </c>
      <c r="P213" s="17" t="inlineStr">
        <is>
          <t>9</t>
        </is>
      </c>
      <c r="R213" s="15" t="inlineStr">
        <is>
          <t>INSERT INTO</t>
        </is>
      </c>
      <c r="S213" s="15" t="inlineStr">
        <is>
          <t>CNF_UNIT_FILTERING_TBL</t>
        </is>
      </c>
      <c r="T213" s="15" t="inlineStr">
        <is>
          <t>VALUES(</t>
        </is>
      </c>
      <c r="U213" s="15" t="inlineStr">
        <is>
          <t>595 , 9</t>
        </is>
      </c>
      <c r="V213" s="15" t="inlineStr">
        <is>
          <t>);</t>
        </is>
      </c>
      <c r="X213" s="18">
        <f>EXACT(TRIM(L213&amp;""),O213&amp;"")</f>
        <v/>
      </c>
      <c r="Y213" s="18">
        <f>EXACT(TRIM(E213&amp;""),P213&amp;"")</f>
        <v/>
      </c>
      <c r="Z213" s="18">
        <f>AND(X213:Y213)</f>
        <v/>
      </c>
      <c r="AA213" s="19">
        <f>TRIM(IF(X213,"",$X$3&amp;" ")&amp;IF(Y213,"",$Y$3&amp;" "))</f>
        <v/>
      </c>
      <c r="AB213" s="18">
        <f>EXACT(SUBSTITUTE(M213," ",""),SUBSTITUTE(R213&amp;S213&amp;T213&amp;U213&amp;V213," ",""))</f>
        <v/>
      </c>
    </row>
    <row r="214">
      <c r="A214" s="15" t="inlineStr">
        <is>
          <t>INSERT INTO CNF_UNIT_FILTERING_TBL SELECT UNIT_ID, 11 FROM MST_UNIT_TBL WHERE UNIT_CODE = 'LF018';</t>
        </is>
      </c>
      <c r="B214" s="16" t="n"/>
      <c r="C214" s="15" t="inlineStr">
        <is>
          <t>CNF_UNIT_FILTERING_TBL</t>
        </is>
      </c>
      <c r="D214" s="15" t="inlineStr">
        <is>
          <t>UNIT_ID</t>
        </is>
      </c>
      <c r="E214" s="15" t="inlineStr">
        <is>
          <t>11</t>
        </is>
      </c>
      <c r="F214" s="15" t="inlineStr">
        <is>
          <t>MST_UNIT_TBL</t>
        </is>
      </c>
      <c r="G214" s="15" t="inlineStr">
        <is>
          <t>UNIT_CODE</t>
        </is>
      </c>
      <c r="H214" s="15" t="inlineStr">
        <is>
          <t>LF018</t>
        </is>
      </c>
      <c r="J214" s="15" t="inlineStr">
        <is>
          <t>LF018</t>
        </is>
      </c>
      <c r="K214" s="15" t="inlineStr">
        <is>
          <t>新宿支店</t>
        </is>
      </c>
      <c r="L214" s="15" t="inlineStr">
        <is>
          <t>595</t>
        </is>
      </c>
      <c r="M214" s="19">
        <f>"INSERT INTO "&amp;C214&amp;" VALUES("&amp;L214&amp;" , "&amp;E214&amp;");"</f>
        <v/>
      </c>
      <c r="O214" s="17" t="inlineStr">
        <is>
          <t>595</t>
        </is>
      </c>
      <c r="P214" s="17" t="inlineStr">
        <is>
          <t>11</t>
        </is>
      </c>
      <c r="R214" s="15" t="inlineStr">
        <is>
          <t>INSERT INTO</t>
        </is>
      </c>
      <c r="S214" s="15" t="inlineStr">
        <is>
          <t>CNF_UNIT_FILTERING_TBL</t>
        </is>
      </c>
      <c r="T214" s="15" t="inlineStr">
        <is>
          <t>VALUES(</t>
        </is>
      </c>
      <c r="U214" s="15" t="inlineStr">
        <is>
          <t>595 , 11</t>
        </is>
      </c>
      <c r="V214" s="15" t="inlineStr">
        <is>
          <t>);</t>
        </is>
      </c>
      <c r="X214" s="18">
        <f>EXACT(TRIM(L214&amp;""),O214&amp;"")</f>
        <v/>
      </c>
      <c r="Y214" s="18">
        <f>EXACT(TRIM(E214&amp;""),P214&amp;"")</f>
        <v/>
      </c>
      <c r="Z214" s="18">
        <f>AND(X214:Y214)</f>
        <v/>
      </c>
      <c r="AA214" s="19">
        <f>TRIM(IF(X214,"",$X$3&amp;" ")&amp;IF(Y214,"",$Y$3&amp;" "))</f>
        <v/>
      </c>
      <c r="AB214" s="18">
        <f>EXACT(SUBSTITUTE(M214," ",""),SUBSTITUTE(R214&amp;S214&amp;T214&amp;U214&amp;V214," ",""))</f>
        <v/>
      </c>
    </row>
    <row r="215">
      <c r="A215" s="15" t="inlineStr">
        <is>
          <t>INSERT INTO CNF_UNIT_FILTERING_TBL SELECT UNIT_ID, 12 FROM MST_UNIT_TBL WHERE UNIT_CODE = 'LF018';</t>
        </is>
      </c>
      <c r="B215" s="16" t="n"/>
      <c r="C215" s="15" t="inlineStr">
        <is>
          <t>CNF_UNIT_FILTERING_TBL</t>
        </is>
      </c>
      <c r="D215" s="15" t="inlineStr">
        <is>
          <t>UNIT_ID</t>
        </is>
      </c>
      <c r="E215" s="15" t="inlineStr">
        <is>
          <t>12</t>
        </is>
      </c>
      <c r="F215" s="15" t="inlineStr">
        <is>
          <t>MST_UNIT_TBL</t>
        </is>
      </c>
      <c r="G215" s="15" t="inlineStr">
        <is>
          <t>UNIT_CODE</t>
        </is>
      </c>
      <c r="H215" s="15" t="inlineStr">
        <is>
          <t>LF018</t>
        </is>
      </c>
      <c r="J215" s="15" t="inlineStr">
        <is>
          <t>LF018</t>
        </is>
      </c>
      <c r="K215" s="15" t="inlineStr">
        <is>
          <t>新宿支店</t>
        </is>
      </c>
      <c r="L215" s="15" t="inlineStr">
        <is>
          <t>595</t>
        </is>
      </c>
      <c r="M215" s="19">
        <f>"INSERT INTO "&amp;C215&amp;" VALUES("&amp;L215&amp;" , "&amp;E215&amp;");"</f>
        <v/>
      </c>
      <c r="O215" s="17" t="inlineStr">
        <is>
          <t>595</t>
        </is>
      </c>
      <c r="P215" s="17" t="inlineStr">
        <is>
          <t>12</t>
        </is>
      </c>
      <c r="R215" s="15" t="inlineStr">
        <is>
          <t>INSERT INTO</t>
        </is>
      </c>
      <c r="S215" s="15" t="inlineStr">
        <is>
          <t>CNF_UNIT_FILTERING_TBL</t>
        </is>
      </c>
      <c r="T215" s="15" t="inlineStr">
        <is>
          <t>VALUES(</t>
        </is>
      </c>
      <c r="U215" s="15" t="inlineStr">
        <is>
          <t>595 , 12</t>
        </is>
      </c>
      <c r="V215" s="15" t="inlineStr">
        <is>
          <t>);</t>
        </is>
      </c>
      <c r="X215" s="18">
        <f>EXACT(TRIM(L215&amp;""),O215&amp;"")</f>
        <v/>
      </c>
      <c r="Y215" s="18">
        <f>EXACT(TRIM(E215&amp;""),P215&amp;"")</f>
        <v/>
      </c>
      <c r="Z215" s="18">
        <f>AND(X215:Y215)</f>
        <v/>
      </c>
      <c r="AA215" s="19">
        <f>TRIM(IF(X215,"",$X$3&amp;" ")&amp;IF(Y215,"",$Y$3&amp;" "))</f>
        <v/>
      </c>
      <c r="AB215" s="18">
        <f>EXACT(SUBSTITUTE(M215," ",""),SUBSTITUTE(R215&amp;S215&amp;T215&amp;U215&amp;V215," ",""))</f>
        <v/>
      </c>
    </row>
    <row r="216">
      <c r="A216" s="15" t="inlineStr">
        <is>
          <t>INSERT INTO CNF_UNIT_FILTERING_TBL SELECT UNIT_ID, 13 FROM MST_UNIT_TBL WHERE UNIT_CODE = 'LF018';</t>
        </is>
      </c>
      <c r="B216" s="16" t="n"/>
      <c r="C216" s="15" t="inlineStr">
        <is>
          <t>CNF_UNIT_FILTERING_TBL</t>
        </is>
      </c>
      <c r="D216" s="15" t="inlineStr">
        <is>
          <t>UNIT_ID</t>
        </is>
      </c>
      <c r="E216" s="15" t="inlineStr">
        <is>
          <t>13</t>
        </is>
      </c>
      <c r="F216" s="15" t="inlineStr">
        <is>
          <t>MST_UNIT_TBL</t>
        </is>
      </c>
      <c r="G216" s="15" t="inlineStr">
        <is>
          <t>UNIT_CODE</t>
        </is>
      </c>
      <c r="H216" s="15" t="inlineStr">
        <is>
          <t>LF018</t>
        </is>
      </c>
      <c r="J216" s="15" t="inlineStr">
        <is>
          <t>LF018</t>
        </is>
      </c>
      <c r="K216" s="15" t="inlineStr">
        <is>
          <t>新宿支店</t>
        </is>
      </c>
      <c r="L216" s="15" t="inlineStr">
        <is>
          <t>595</t>
        </is>
      </c>
      <c r="M216" s="19">
        <f>"INSERT INTO "&amp;C216&amp;" VALUES("&amp;L216&amp;" , "&amp;E216&amp;");"</f>
        <v/>
      </c>
      <c r="O216" s="17" t="inlineStr">
        <is>
          <t>595</t>
        </is>
      </c>
      <c r="P216" s="17" t="inlineStr">
        <is>
          <t>13</t>
        </is>
      </c>
      <c r="R216" s="15" t="inlineStr">
        <is>
          <t>INSERT INTO</t>
        </is>
      </c>
      <c r="S216" s="15" t="inlineStr">
        <is>
          <t>CNF_UNIT_FILTERING_TBL</t>
        </is>
      </c>
      <c r="T216" s="15" t="inlineStr">
        <is>
          <t>VALUES(</t>
        </is>
      </c>
      <c r="U216" s="15" t="inlineStr">
        <is>
          <t>595 , 13</t>
        </is>
      </c>
      <c r="V216" s="15" t="inlineStr">
        <is>
          <t>);</t>
        </is>
      </c>
      <c r="X216" s="18">
        <f>EXACT(TRIM(L216&amp;""),O216&amp;"")</f>
        <v/>
      </c>
      <c r="Y216" s="18">
        <f>EXACT(TRIM(E216&amp;""),P216&amp;"")</f>
        <v/>
      </c>
      <c r="Z216" s="18">
        <f>AND(X216:Y216)</f>
        <v/>
      </c>
      <c r="AA216" s="19">
        <f>TRIM(IF(X216,"",$X$3&amp;" ")&amp;IF(Y216,"",$Y$3&amp;" "))</f>
        <v/>
      </c>
      <c r="AB216" s="18">
        <f>EXACT(SUBSTITUTE(M216," ",""),SUBSTITUTE(R216&amp;S216&amp;T216&amp;U216&amp;V216," ",""))</f>
        <v/>
      </c>
    </row>
    <row r="217">
      <c r="A217" s="15" t="inlineStr">
        <is>
          <t>INSERT INTO CNF_UNIT_FILTERING_TBL SELECT UNIT_ID, 14 FROM MST_UNIT_TBL WHERE UNIT_CODE = 'LF018';</t>
        </is>
      </c>
      <c r="B217" s="16" t="n"/>
      <c r="C217" s="15" t="inlineStr">
        <is>
          <t>CNF_UNIT_FILTERING_TBL</t>
        </is>
      </c>
      <c r="D217" s="15" t="inlineStr">
        <is>
          <t>UNIT_ID</t>
        </is>
      </c>
      <c r="E217" s="15" t="inlineStr">
        <is>
          <t>14</t>
        </is>
      </c>
      <c r="F217" s="15" t="inlineStr">
        <is>
          <t>MST_UNIT_TBL</t>
        </is>
      </c>
      <c r="G217" s="15" t="inlineStr">
        <is>
          <t>UNIT_CODE</t>
        </is>
      </c>
      <c r="H217" s="15" t="inlineStr">
        <is>
          <t>LF018</t>
        </is>
      </c>
      <c r="J217" s="15" t="inlineStr">
        <is>
          <t>LF018</t>
        </is>
      </c>
      <c r="K217" s="15" t="inlineStr">
        <is>
          <t>新宿支店</t>
        </is>
      </c>
      <c r="L217" s="15" t="inlineStr">
        <is>
          <t>595</t>
        </is>
      </c>
      <c r="M217" s="19">
        <f>"INSERT INTO "&amp;C217&amp;" VALUES("&amp;L217&amp;" , "&amp;E217&amp;");"</f>
        <v/>
      </c>
      <c r="O217" s="17" t="inlineStr">
        <is>
          <t>595</t>
        </is>
      </c>
      <c r="P217" s="17" t="inlineStr">
        <is>
          <t>14</t>
        </is>
      </c>
      <c r="R217" s="15" t="inlineStr">
        <is>
          <t>INSERT INTO</t>
        </is>
      </c>
      <c r="S217" s="15" t="inlineStr">
        <is>
          <t>CNF_UNIT_FILTERING_TBL</t>
        </is>
      </c>
      <c r="T217" s="15" t="inlineStr">
        <is>
          <t>VALUES(</t>
        </is>
      </c>
      <c r="U217" s="15" t="inlineStr">
        <is>
          <t>595 , 14</t>
        </is>
      </c>
      <c r="V217" s="15" t="inlineStr">
        <is>
          <t>);</t>
        </is>
      </c>
      <c r="X217" s="18">
        <f>EXACT(TRIM(L217&amp;""),O217&amp;"")</f>
        <v/>
      </c>
      <c r="Y217" s="18">
        <f>EXACT(TRIM(E217&amp;""),P217&amp;"")</f>
        <v/>
      </c>
      <c r="Z217" s="18">
        <f>AND(X217:Y217)</f>
        <v/>
      </c>
      <c r="AA217" s="19">
        <f>TRIM(IF(X217,"",$X$3&amp;" ")&amp;IF(Y217,"",$Y$3&amp;" "))</f>
        <v/>
      </c>
      <c r="AB217" s="18">
        <f>EXACT(SUBSTITUTE(M217," ",""),SUBSTITUTE(R217&amp;S217&amp;T217&amp;U217&amp;V217," ",""))</f>
        <v/>
      </c>
    </row>
    <row r="218">
      <c r="A218" s="15" t="inlineStr">
        <is>
          <t>INSERT INTO CNF_UNIT_FILTERING_TBL SELECT UNIT_ID, 15 FROM MST_UNIT_TBL WHERE UNIT_CODE = 'LF018';</t>
        </is>
      </c>
      <c r="B218" s="16" t="n"/>
      <c r="C218" s="15" t="inlineStr">
        <is>
          <t>CNF_UNIT_FILTERING_TBL</t>
        </is>
      </c>
      <c r="D218" s="15" t="inlineStr">
        <is>
          <t>UNIT_ID</t>
        </is>
      </c>
      <c r="E218" s="15" t="inlineStr">
        <is>
          <t>15</t>
        </is>
      </c>
      <c r="F218" s="15" t="inlineStr">
        <is>
          <t>MST_UNIT_TBL</t>
        </is>
      </c>
      <c r="G218" s="15" t="inlineStr">
        <is>
          <t>UNIT_CODE</t>
        </is>
      </c>
      <c r="H218" s="15" t="inlineStr">
        <is>
          <t>LF018</t>
        </is>
      </c>
      <c r="J218" s="15" t="inlineStr">
        <is>
          <t>LF018</t>
        </is>
      </c>
      <c r="K218" s="15" t="inlineStr">
        <is>
          <t>新宿支店</t>
        </is>
      </c>
      <c r="L218" s="15" t="inlineStr">
        <is>
          <t>595</t>
        </is>
      </c>
      <c r="M218" s="19">
        <f>"INSERT INTO "&amp;C218&amp;" VALUES("&amp;L218&amp;" , "&amp;E218&amp;");"</f>
        <v/>
      </c>
      <c r="O218" s="17" t="inlineStr">
        <is>
          <t>595</t>
        </is>
      </c>
      <c r="P218" s="17" t="inlineStr">
        <is>
          <t>15</t>
        </is>
      </c>
      <c r="R218" s="15" t="inlineStr">
        <is>
          <t>INSERT INTO</t>
        </is>
      </c>
      <c r="S218" s="15" t="inlineStr">
        <is>
          <t>CNF_UNIT_FILTERING_TBL</t>
        </is>
      </c>
      <c r="T218" s="15" t="inlineStr">
        <is>
          <t>VALUES(</t>
        </is>
      </c>
      <c r="U218" s="15" t="inlineStr">
        <is>
          <t>595 , 15</t>
        </is>
      </c>
      <c r="V218" s="15" t="inlineStr">
        <is>
          <t>);</t>
        </is>
      </c>
      <c r="X218" s="18">
        <f>EXACT(TRIM(L218&amp;""),O218&amp;"")</f>
        <v/>
      </c>
      <c r="Y218" s="18">
        <f>EXACT(TRIM(E218&amp;""),P218&amp;"")</f>
        <v/>
      </c>
      <c r="Z218" s="18">
        <f>AND(X218:Y218)</f>
        <v/>
      </c>
      <c r="AA218" s="19">
        <f>TRIM(IF(X218,"",$X$3&amp;" ")&amp;IF(Y218,"",$Y$3&amp;" "))</f>
        <v/>
      </c>
      <c r="AB218" s="18">
        <f>EXACT(SUBSTITUTE(M218," ",""),SUBSTITUTE(R218&amp;S218&amp;T218&amp;U218&amp;V218," ",""))</f>
        <v/>
      </c>
    </row>
    <row r="219">
      <c r="A219" s="15" t="inlineStr">
        <is>
          <t>INSERT INTO CNF_UNIT_FILTERING_TBL SELECT UNIT_ID, 16 FROM MST_UNIT_TBL WHERE UNIT_CODE = 'LF018';</t>
        </is>
      </c>
      <c r="B219" s="16" t="n"/>
      <c r="C219" s="15" t="inlineStr">
        <is>
          <t>CNF_UNIT_FILTERING_TBL</t>
        </is>
      </c>
      <c r="D219" s="15" t="inlineStr">
        <is>
          <t>UNIT_ID</t>
        </is>
      </c>
      <c r="E219" s="15" t="inlineStr">
        <is>
          <t>16</t>
        </is>
      </c>
      <c r="F219" s="15" t="inlineStr">
        <is>
          <t>MST_UNIT_TBL</t>
        </is>
      </c>
      <c r="G219" s="15" t="inlineStr">
        <is>
          <t>UNIT_CODE</t>
        </is>
      </c>
      <c r="H219" s="15" t="inlineStr">
        <is>
          <t>LF018</t>
        </is>
      </c>
      <c r="J219" s="15" t="inlineStr">
        <is>
          <t>LF018</t>
        </is>
      </c>
      <c r="K219" s="15" t="inlineStr">
        <is>
          <t>新宿支店</t>
        </is>
      </c>
      <c r="L219" s="15" t="inlineStr">
        <is>
          <t>595</t>
        </is>
      </c>
      <c r="M219" s="19">
        <f>"INSERT INTO "&amp;C219&amp;" VALUES("&amp;L219&amp;" , "&amp;E219&amp;");"</f>
        <v/>
      </c>
      <c r="O219" s="17" t="inlineStr">
        <is>
          <t>595</t>
        </is>
      </c>
      <c r="P219" s="17" t="inlineStr">
        <is>
          <t>16</t>
        </is>
      </c>
      <c r="R219" s="15" t="inlineStr">
        <is>
          <t>INSERT INTO</t>
        </is>
      </c>
      <c r="S219" s="15" t="inlineStr">
        <is>
          <t>CNF_UNIT_FILTERING_TBL</t>
        </is>
      </c>
      <c r="T219" s="15" t="inlineStr">
        <is>
          <t>VALUES(</t>
        </is>
      </c>
      <c r="U219" s="15" t="inlineStr">
        <is>
          <t>595 , 16</t>
        </is>
      </c>
      <c r="V219" s="15" t="inlineStr">
        <is>
          <t>);</t>
        </is>
      </c>
      <c r="X219" s="18">
        <f>EXACT(TRIM(L219&amp;""),O219&amp;"")</f>
        <v/>
      </c>
      <c r="Y219" s="18">
        <f>EXACT(TRIM(E219&amp;""),P219&amp;"")</f>
        <v/>
      </c>
      <c r="Z219" s="18">
        <f>AND(X219:Y219)</f>
        <v/>
      </c>
      <c r="AA219" s="19">
        <f>TRIM(IF(X219,"",$X$3&amp;" ")&amp;IF(Y219,"",$Y$3&amp;" "))</f>
        <v/>
      </c>
      <c r="AB219" s="18">
        <f>EXACT(SUBSTITUTE(M219," ",""),SUBSTITUTE(R219&amp;S219&amp;T219&amp;U219&amp;V219," ",""))</f>
        <v/>
      </c>
    </row>
    <row r="220">
      <c r="A220" s="15" t="inlineStr">
        <is>
          <t>INSERT INTO CNF_UNIT_FILTERING_TBL SELECT UNIT_ID, 1 FROM MST_UNIT_TBL WHERE UNIT_CODE = 'LF019';</t>
        </is>
      </c>
      <c r="B220" s="16" t="n"/>
      <c r="C220" s="15" t="inlineStr">
        <is>
          <t>CNF_UNIT_FILTERING_TBL</t>
        </is>
      </c>
      <c r="D220" s="15" t="inlineStr">
        <is>
          <t>UNIT_ID</t>
        </is>
      </c>
      <c r="E220" s="15" t="inlineStr">
        <is>
          <t>1</t>
        </is>
      </c>
      <c r="F220" s="15" t="inlineStr">
        <is>
          <t>MST_UNIT_TBL</t>
        </is>
      </c>
      <c r="G220" s="15" t="inlineStr">
        <is>
          <t>UNIT_CODE</t>
        </is>
      </c>
      <c r="H220" s="15" t="inlineStr">
        <is>
          <t>LF019</t>
        </is>
      </c>
      <c r="J220" s="15" t="inlineStr">
        <is>
          <t>LF019</t>
        </is>
      </c>
      <c r="K220" s="15" t="inlineStr">
        <is>
          <t>池袋支店</t>
        </is>
      </c>
      <c r="L220" s="15" t="inlineStr">
        <is>
          <t>596</t>
        </is>
      </c>
      <c r="M220" s="19">
        <f>"INSERT INTO "&amp;C220&amp;" VALUES("&amp;L220&amp;" , "&amp;E220&amp;");"</f>
        <v/>
      </c>
      <c r="O220" s="17" t="inlineStr">
        <is>
          <t>596</t>
        </is>
      </c>
      <c r="P220" s="17" t="inlineStr">
        <is>
          <t>1</t>
        </is>
      </c>
      <c r="R220" s="15" t="inlineStr">
        <is>
          <t>INSERT INTO</t>
        </is>
      </c>
      <c r="S220" s="15" t="inlineStr">
        <is>
          <t>CNF_UNIT_FILTERING_TBL</t>
        </is>
      </c>
      <c r="T220" s="15" t="inlineStr">
        <is>
          <t>VALUES(</t>
        </is>
      </c>
      <c r="U220" s="15" t="inlineStr">
        <is>
          <t>596 , 1</t>
        </is>
      </c>
      <c r="V220" s="15" t="inlineStr">
        <is>
          <t>);</t>
        </is>
      </c>
      <c r="X220" s="18">
        <f>EXACT(TRIM(L220&amp;""),O220&amp;"")</f>
        <v/>
      </c>
      <c r="Y220" s="18">
        <f>EXACT(TRIM(E220&amp;""),P220&amp;"")</f>
        <v/>
      </c>
      <c r="Z220" s="18">
        <f>AND(X220:Y220)</f>
        <v/>
      </c>
      <c r="AA220" s="19">
        <f>TRIM(IF(X220,"",$X$3&amp;" ")&amp;IF(Y220,"",$Y$3&amp;" "))</f>
        <v/>
      </c>
      <c r="AB220" s="18">
        <f>EXACT(SUBSTITUTE(M220," ",""),SUBSTITUTE(R220&amp;S220&amp;T220&amp;U220&amp;V220," ",""))</f>
        <v/>
      </c>
    </row>
    <row r="221">
      <c r="A221" s="15" t="inlineStr">
        <is>
          <t>INSERT INTO CNF_UNIT_FILTERING_TBL SELECT UNIT_ID, 4 FROM MST_UNIT_TBL WHERE UNIT_CODE = 'LF019';</t>
        </is>
      </c>
      <c r="B221" s="16" t="n"/>
      <c r="C221" s="15" t="inlineStr">
        <is>
          <t>CNF_UNIT_FILTERING_TBL</t>
        </is>
      </c>
      <c r="D221" s="15" t="inlineStr">
        <is>
          <t>UNIT_ID</t>
        </is>
      </c>
      <c r="E221" s="15" t="inlineStr">
        <is>
          <t>4</t>
        </is>
      </c>
      <c r="F221" s="15" t="inlineStr">
        <is>
          <t>MST_UNIT_TBL</t>
        </is>
      </c>
      <c r="G221" s="15" t="inlineStr">
        <is>
          <t>UNIT_CODE</t>
        </is>
      </c>
      <c r="H221" s="15" t="inlineStr">
        <is>
          <t>LF019</t>
        </is>
      </c>
      <c r="J221" s="15" t="inlineStr">
        <is>
          <t>LF019</t>
        </is>
      </c>
      <c r="K221" s="15" t="inlineStr">
        <is>
          <t>池袋支店</t>
        </is>
      </c>
      <c r="L221" s="15" t="inlineStr">
        <is>
          <t>596</t>
        </is>
      </c>
      <c r="M221" s="19">
        <f>"INSERT INTO "&amp;C221&amp;" VALUES("&amp;L221&amp;" , "&amp;E221&amp;");"</f>
        <v/>
      </c>
      <c r="O221" s="17" t="inlineStr">
        <is>
          <t>596</t>
        </is>
      </c>
      <c r="P221" s="17" t="inlineStr">
        <is>
          <t>4</t>
        </is>
      </c>
      <c r="R221" s="15" t="inlineStr">
        <is>
          <t>INSERT INTO</t>
        </is>
      </c>
      <c r="S221" s="15" t="inlineStr">
        <is>
          <t>CNF_UNIT_FILTERING_TBL</t>
        </is>
      </c>
      <c r="T221" s="15" t="inlineStr">
        <is>
          <t>VALUES(</t>
        </is>
      </c>
      <c r="U221" s="15" t="inlineStr">
        <is>
          <t>596 , 4</t>
        </is>
      </c>
      <c r="V221" s="15" t="inlineStr">
        <is>
          <t>);</t>
        </is>
      </c>
      <c r="X221" s="18">
        <f>EXACT(TRIM(L221&amp;""),O221&amp;"")</f>
        <v/>
      </c>
      <c r="Y221" s="18">
        <f>EXACT(TRIM(E221&amp;""),P221&amp;"")</f>
        <v/>
      </c>
      <c r="Z221" s="18">
        <f>AND(X221:Y221)</f>
        <v/>
      </c>
      <c r="AA221" s="19">
        <f>TRIM(IF(X221,"",$X$3&amp;" ")&amp;IF(Y221,"",$Y$3&amp;" "))</f>
        <v/>
      </c>
      <c r="AB221" s="18">
        <f>EXACT(SUBSTITUTE(M221," ",""),SUBSTITUTE(R221&amp;S221&amp;T221&amp;U221&amp;V221," ",""))</f>
        <v/>
      </c>
    </row>
    <row r="222">
      <c r="A222" s="15" t="inlineStr">
        <is>
          <t>INSERT INTO CNF_UNIT_FILTERING_TBL SELECT UNIT_ID, 5 FROM MST_UNIT_TBL WHERE UNIT_CODE = 'LF019';</t>
        </is>
      </c>
      <c r="B222" s="16" t="n"/>
      <c r="C222" s="15" t="inlineStr">
        <is>
          <t>CNF_UNIT_FILTERING_TBL</t>
        </is>
      </c>
      <c r="D222" s="15" t="inlineStr">
        <is>
          <t>UNIT_ID</t>
        </is>
      </c>
      <c r="E222" s="15" t="inlineStr">
        <is>
          <t>5</t>
        </is>
      </c>
      <c r="F222" s="15" t="inlineStr">
        <is>
          <t>MST_UNIT_TBL</t>
        </is>
      </c>
      <c r="G222" s="15" t="inlineStr">
        <is>
          <t>UNIT_CODE</t>
        </is>
      </c>
      <c r="H222" s="15" t="inlineStr">
        <is>
          <t>LF019</t>
        </is>
      </c>
      <c r="J222" s="15" t="inlineStr">
        <is>
          <t>LF019</t>
        </is>
      </c>
      <c r="K222" s="15" t="inlineStr">
        <is>
          <t>池袋支店</t>
        </is>
      </c>
      <c r="L222" s="15" t="inlineStr">
        <is>
          <t>596</t>
        </is>
      </c>
      <c r="M222" s="19">
        <f>"INSERT INTO "&amp;C222&amp;" VALUES("&amp;L222&amp;" , "&amp;E222&amp;");"</f>
        <v/>
      </c>
      <c r="O222" s="17" t="inlineStr">
        <is>
          <t>596</t>
        </is>
      </c>
      <c r="P222" s="17" t="inlineStr">
        <is>
          <t>5</t>
        </is>
      </c>
      <c r="R222" s="15" t="inlineStr">
        <is>
          <t>INSERT INTO</t>
        </is>
      </c>
      <c r="S222" s="15" t="inlineStr">
        <is>
          <t>CNF_UNIT_FILTERING_TBL</t>
        </is>
      </c>
      <c r="T222" s="15" t="inlineStr">
        <is>
          <t>VALUES(</t>
        </is>
      </c>
      <c r="U222" s="15" t="inlineStr">
        <is>
          <t>596 , 5</t>
        </is>
      </c>
      <c r="V222" s="15" t="inlineStr">
        <is>
          <t>);</t>
        </is>
      </c>
      <c r="X222" s="18">
        <f>EXACT(TRIM(L222&amp;""),O222&amp;"")</f>
        <v/>
      </c>
      <c r="Y222" s="18">
        <f>EXACT(TRIM(E222&amp;""),P222&amp;"")</f>
        <v/>
      </c>
      <c r="Z222" s="18">
        <f>AND(X222:Y222)</f>
        <v/>
      </c>
      <c r="AA222" s="19">
        <f>TRIM(IF(X222,"",$X$3&amp;" ")&amp;IF(Y222,"",$Y$3&amp;" "))</f>
        <v/>
      </c>
      <c r="AB222" s="18">
        <f>EXACT(SUBSTITUTE(M222," ",""),SUBSTITUTE(R222&amp;S222&amp;T222&amp;U222&amp;V222," ",""))</f>
        <v/>
      </c>
    </row>
    <row r="223">
      <c r="A223" s="15" t="inlineStr">
        <is>
          <t>INSERT INTO CNF_UNIT_FILTERING_TBL SELECT UNIT_ID, 7 FROM MST_UNIT_TBL WHERE UNIT_CODE = 'LF019';</t>
        </is>
      </c>
      <c r="B223" s="16" t="n"/>
      <c r="C223" s="15" t="inlineStr">
        <is>
          <t>CNF_UNIT_FILTERING_TBL</t>
        </is>
      </c>
      <c r="D223" s="15" t="inlineStr">
        <is>
          <t>UNIT_ID</t>
        </is>
      </c>
      <c r="E223" s="15" t="inlineStr">
        <is>
          <t>7</t>
        </is>
      </c>
      <c r="F223" s="15" t="inlineStr">
        <is>
          <t>MST_UNIT_TBL</t>
        </is>
      </c>
      <c r="G223" s="15" t="inlineStr">
        <is>
          <t>UNIT_CODE</t>
        </is>
      </c>
      <c r="H223" s="15" t="inlineStr">
        <is>
          <t>LF019</t>
        </is>
      </c>
      <c r="J223" s="15" t="inlineStr">
        <is>
          <t>LF019</t>
        </is>
      </c>
      <c r="K223" s="15" t="inlineStr">
        <is>
          <t>池袋支店</t>
        </is>
      </c>
      <c r="L223" s="15" t="inlineStr">
        <is>
          <t>596</t>
        </is>
      </c>
      <c r="M223" s="19">
        <f>"INSERT INTO "&amp;C223&amp;" VALUES("&amp;L223&amp;" , "&amp;E223&amp;");"</f>
        <v/>
      </c>
      <c r="O223" s="17" t="inlineStr">
        <is>
          <t>596</t>
        </is>
      </c>
      <c r="P223" s="17" t="inlineStr">
        <is>
          <t>7</t>
        </is>
      </c>
      <c r="R223" s="15" t="inlineStr">
        <is>
          <t>INSERT INTO</t>
        </is>
      </c>
      <c r="S223" s="15" t="inlineStr">
        <is>
          <t>CNF_UNIT_FILTERING_TBL</t>
        </is>
      </c>
      <c r="T223" s="15" t="inlineStr">
        <is>
          <t>VALUES(</t>
        </is>
      </c>
      <c r="U223" s="15" t="inlineStr">
        <is>
          <t>596 , 7</t>
        </is>
      </c>
      <c r="V223" s="15" t="inlineStr">
        <is>
          <t>);</t>
        </is>
      </c>
      <c r="X223" s="18">
        <f>EXACT(TRIM(L223&amp;""),O223&amp;"")</f>
        <v/>
      </c>
      <c r="Y223" s="18">
        <f>EXACT(TRIM(E223&amp;""),P223&amp;"")</f>
        <v/>
      </c>
      <c r="Z223" s="18">
        <f>AND(X223:Y223)</f>
        <v/>
      </c>
      <c r="AA223" s="19">
        <f>TRIM(IF(X223,"",$X$3&amp;" ")&amp;IF(Y223,"",$Y$3&amp;" "))</f>
        <v/>
      </c>
      <c r="AB223" s="18">
        <f>EXACT(SUBSTITUTE(M223," ",""),SUBSTITUTE(R223&amp;S223&amp;T223&amp;U223&amp;V223," ",""))</f>
        <v/>
      </c>
    </row>
    <row r="224">
      <c r="A224" s="15" t="inlineStr">
        <is>
          <t>INSERT INTO CNF_UNIT_FILTERING_TBL SELECT UNIT_ID, 8 FROM MST_UNIT_TBL WHERE UNIT_CODE = 'LF019';</t>
        </is>
      </c>
      <c r="B224" s="16" t="n"/>
      <c r="C224" s="15" t="inlineStr">
        <is>
          <t>CNF_UNIT_FILTERING_TBL</t>
        </is>
      </c>
      <c r="D224" s="15" t="inlineStr">
        <is>
          <t>UNIT_ID</t>
        </is>
      </c>
      <c r="E224" s="15" t="inlineStr">
        <is>
          <t>8</t>
        </is>
      </c>
      <c r="F224" s="15" t="inlineStr">
        <is>
          <t>MST_UNIT_TBL</t>
        </is>
      </c>
      <c r="G224" s="15" t="inlineStr">
        <is>
          <t>UNIT_CODE</t>
        </is>
      </c>
      <c r="H224" s="15" t="inlineStr">
        <is>
          <t>LF019</t>
        </is>
      </c>
      <c r="J224" s="15" t="inlineStr">
        <is>
          <t>LF019</t>
        </is>
      </c>
      <c r="K224" s="15" t="inlineStr">
        <is>
          <t>池袋支店</t>
        </is>
      </c>
      <c r="L224" s="15" t="inlineStr">
        <is>
          <t>596</t>
        </is>
      </c>
      <c r="M224" s="19">
        <f>"INSERT INTO "&amp;C224&amp;" VALUES("&amp;L224&amp;" , "&amp;E224&amp;");"</f>
        <v/>
      </c>
      <c r="O224" s="17" t="inlineStr">
        <is>
          <t>596</t>
        </is>
      </c>
      <c r="P224" s="17" t="inlineStr">
        <is>
          <t>8</t>
        </is>
      </c>
      <c r="R224" s="15" t="inlineStr">
        <is>
          <t>INSERT INTO</t>
        </is>
      </c>
      <c r="S224" s="15" t="inlineStr">
        <is>
          <t>CNF_UNIT_FILTERING_TBL</t>
        </is>
      </c>
      <c r="T224" s="15" t="inlineStr">
        <is>
          <t>VALUES(</t>
        </is>
      </c>
      <c r="U224" s="15" t="inlineStr">
        <is>
          <t>596 , 8</t>
        </is>
      </c>
      <c r="V224" s="15" t="inlineStr">
        <is>
          <t>);</t>
        </is>
      </c>
      <c r="X224" s="18">
        <f>EXACT(TRIM(L224&amp;""),O224&amp;"")</f>
        <v/>
      </c>
      <c r="Y224" s="18">
        <f>EXACT(TRIM(E224&amp;""),P224&amp;"")</f>
        <v/>
      </c>
      <c r="Z224" s="18">
        <f>AND(X224:Y224)</f>
        <v/>
      </c>
      <c r="AA224" s="19">
        <f>TRIM(IF(X224,"",$X$3&amp;" ")&amp;IF(Y224,"",$Y$3&amp;" "))</f>
        <v/>
      </c>
      <c r="AB224" s="18">
        <f>EXACT(SUBSTITUTE(M224," ",""),SUBSTITUTE(R224&amp;S224&amp;T224&amp;U224&amp;V224," ",""))</f>
        <v/>
      </c>
    </row>
    <row r="225">
      <c r="A225" s="15" t="inlineStr">
        <is>
          <t>INSERT INTO CNF_UNIT_FILTERING_TBL SELECT UNIT_ID, 9 FROM MST_UNIT_TBL WHERE UNIT_CODE = 'LF019';</t>
        </is>
      </c>
      <c r="B225" s="16" t="n"/>
      <c r="C225" s="15" t="inlineStr">
        <is>
          <t>CNF_UNIT_FILTERING_TBL</t>
        </is>
      </c>
      <c r="D225" s="15" t="inlineStr">
        <is>
          <t>UNIT_ID</t>
        </is>
      </c>
      <c r="E225" s="15" t="inlineStr">
        <is>
          <t>9</t>
        </is>
      </c>
      <c r="F225" s="15" t="inlineStr">
        <is>
          <t>MST_UNIT_TBL</t>
        </is>
      </c>
      <c r="G225" s="15" t="inlineStr">
        <is>
          <t>UNIT_CODE</t>
        </is>
      </c>
      <c r="H225" s="15" t="inlineStr">
        <is>
          <t>LF019</t>
        </is>
      </c>
      <c r="J225" s="15" t="inlineStr">
        <is>
          <t>LF019</t>
        </is>
      </c>
      <c r="K225" s="15" t="inlineStr">
        <is>
          <t>池袋支店</t>
        </is>
      </c>
      <c r="L225" s="15" t="inlineStr">
        <is>
          <t>596</t>
        </is>
      </c>
      <c r="M225" s="19">
        <f>"INSERT INTO "&amp;C225&amp;" VALUES("&amp;L225&amp;" , "&amp;E225&amp;");"</f>
        <v/>
      </c>
      <c r="O225" s="17" t="inlineStr">
        <is>
          <t>596</t>
        </is>
      </c>
      <c r="P225" s="17" t="inlineStr">
        <is>
          <t>9</t>
        </is>
      </c>
      <c r="R225" s="15" t="inlineStr">
        <is>
          <t>INSERT INTO</t>
        </is>
      </c>
      <c r="S225" s="15" t="inlineStr">
        <is>
          <t>CNF_UNIT_FILTERING_TBL</t>
        </is>
      </c>
      <c r="T225" s="15" t="inlineStr">
        <is>
          <t>VALUES(</t>
        </is>
      </c>
      <c r="U225" s="15" t="inlineStr">
        <is>
          <t>596 , 9</t>
        </is>
      </c>
      <c r="V225" s="15" t="inlineStr">
        <is>
          <t>);</t>
        </is>
      </c>
      <c r="X225" s="18">
        <f>EXACT(TRIM(L225&amp;""),O225&amp;"")</f>
        <v/>
      </c>
      <c r="Y225" s="18">
        <f>EXACT(TRIM(E225&amp;""),P225&amp;"")</f>
        <v/>
      </c>
      <c r="Z225" s="18">
        <f>AND(X225:Y225)</f>
        <v/>
      </c>
      <c r="AA225" s="19">
        <f>TRIM(IF(X225,"",$X$3&amp;" ")&amp;IF(Y225,"",$Y$3&amp;" "))</f>
        <v/>
      </c>
      <c r="AB225" s="18">
        <f>EXACT(SUBSTITUTE(M225," ",""),SUBSTITUTE(R225&amp;S225&amp;T225&amp;U225&amp;V225," ",""))</f>
        <v/>
      </c>
    </row>
    <row r="226">
      <c r="A226" s="15" t="inlineStr">
        <is>
          <t>INSERT INTO CNF_UNIT_FILTERING_TBL SELECT UNIT_ID, 11 FROM MST_UNIT_TBL WHERE UNIT_CODE = 'LF019';</t>
        </is>
      </c>
      <c r="B226" s="16" t="n"/>
      <c r="C226" s="15" t="inlineStr">
        <is>
          <t>CNF_UNIT_FILTERING_TBL</t>
        </is>
      </c>
      <c r="D226" s="15" t="inlineStr">
        <is>
          <t>UNIT_ID</t>
        </is>
      </c>
      <c r="E226" s="15" t="inlineStr">
        <is>
          <t>11</t>
        </is>
      </c>
      <c r="F226" s="15" t="inlineStr">
        <is>
          <t>MST_UNIT_TBL</t>
        </is>
      </c>
      <c r="G226" s="15" t="inlineStr">
        <is>
          <t>UNIT_CODE</t>
        </is>
      </c>
      <c r="H226" s="15" t="inlineStr">
        <is>
          <t>LF019</t>
        </is>
      </c>
      <c r="J226" s="15" t="inlineStr">
        <is>
          <t>LF019</t>
        </is>
      </c>
      <c r="K226" s="15" t="inlineStr">
        <is>
          <t>池袋支店</t>
        </is>
      </c>
      <c r="L226" s="15" t="inlineStr">
        <is>
          <t>596</t>
        </is>
      </c>
      <c r="M226" s="19">
        <f>"INSERT INTO "&amp;C226&amp;" VALUES("&amp;L226&amp;" , "&amp;E226&amp;");"</f>
        <v/>
      </c>
      <c r="O226" s="17" t="inlineStr">
        <is>
          <t>596</t>
        </is>
      </c>
      <c r="P226" s="17" t="inlineStr">
        <is>
          <t>11</t>
        </is>
      </c>
      <c r="R226" s="15" t="inlineStr">
        <is>
          <t>INSERT INTO</t>
        </is>
      </c>
      <c r="S226" s="15" t="inlineStr">
        <is>
          <t>CNF_UNIT_FILTERING_TBL</t>
        </is>
      </c>
      <c r="T226" s="15" t="inlineStr">
        <is>
          <t>VALUES(</t>
        </is>
      </c>
      <c r="U226" s="15" t="inlineStr">
        <is>
          <t>596 , 11</t>
        </is>
      </c>
      <c r="V226" s="15" t="inlineStr">
        <is>
          <t>);</t>
        </is>
      </c>
      <c r="X226" s="18">
        <f>EXACT(TRIM(L226&amp;""),O226&amp;"")</f>
        <v/>
      </c>
      <c r="Y226" s="18">
        <f>EXACT(TRIM(E226&amp;""),P226&amp;"")</f>
        <v/>
      </c>
      <c r="Z226" s="18">
        <f>AND(X226:Y226)</f>
        <v/>
      </c>
      <c r="AA226" s="19">
        <f>TRIM(IF(X226,"",$X$3&amp;" ")&amp;IF(Y226,"",$Y$3&amp;" "))</f>
        <v/>
      </c>
      <c r="AB226" s="18">
        <f>EXACT(SUBSTITUTE(M226," ",""),SUBSTITUTE(R226&amp;S226&amp;T226&amp;U226&amp;V226," ",""))</f>
        <v/>
      </c>
    </row>
    <row r="227">
      <c r="A227" s="15" t="inlineStr">
        <is>
          <t>INSERT INTO CNF_UNIT_FILTERING_TBL SELECT UNIT_ID, 12 FROM MST_UNIT_TBL WHERE UNIT_CODE = 'LF019';</t>
        </is>
      </c>
      <c r="B227" s="16" t="n"/>
      <c r="C227" s="15" t="inlineStr">
        <is>
          <t>CNF_UNIT_FILTERING_TBL</t>
        </is>
      </c>
      <c r="D227" s="15" t="inlineStr">
        <is>
          <t>UNIT_ID</t>
        </is>
      </c>
      <c r="E227" s="15" t="inlineStr">
        <is>
          <t>12</t>
        </is>
      </c>
      <c r="F227" s="15" t="inlineStr">
        <is>
          <t>MST_UNIT_TBL</t>
        </is>
      </c>
      <c r="G227" s="15" t="inlineStr">
        <is>
          <t>UNIT_CODE</t>
        </is>
      </c>
      <c r="H227" s="15" t="inlineStr">
        <is>
          <t>LF019</t>
        </is>
      </c>
      <c r="J227" s="15" t="inlineStr">
        <is>
          <t>LF019</t>
        </is>
      </c>
      <c r="K227" s="15" t="inlineStr">
        <is>
          <t>池袋支店</t>
        </is>
      </c>
      <c r="L227" s="15" t="inlineStr">
        <is>
          <t>596</t>
        </is>
      </c>
      <c r="M227" s="19">
        <f>"INSERT INTO "&amp;C227&amp;" VALUES("&amp;L227&amp;" , "&amp;E227&amp;");"</f>
        <v/>
      </c>
      <c r="O227" s="17" t="inlineStr">
        <is>
          <t>596</t>
        </is>
      </c>
      <c r="P227" s="17" t="inlineStr">
        <is>
          <t>12</t>
        </is>
      </c>
      <c r="R227" s="15" t="inlineStr">
        <is>
          <t>INSERT INTO</t>
        </is>
      </c>
      <c r="S227" s="15" t="inlineStr">
        <is>
          <t>CNF_UNIT_FILTERING_TBL</t>
        </is>
      </c>
      <c r="T227" s="15" t="inlineStr">
        <is>
          <t>VALUES(</t>
        </is>
      </c>
      <c r="U227" s="15" t="inlineStr">
        <is>
          <t>596 , 12</t>
        </is>
      </c>
      <c r="V227" s="15" t="inlineStr">
        <is>
          <t>);</t>
        </is>
      </c>
      <c r="X227" s="18">
        <f>EXACT(TRIM(L227&amp;""),O227&amp;"")</f>
        <v/>
      </c>
      <c r="Y227" s="18">
        <f>EXACT(TRIM(E227&amp;""),P227&amp;"")</f>
        <v/>
      </c>
      <c r="Z227" s="18">
        <f>AND(X227:Y227)</f>
        <v/>
      </c>
      <c r="AA227" s="19">
        <f>TRIM(IF(X227,"",$X$3&amp;" ")&amp;IF(Y227,"",$Y$3&amp;" "))</f>
        <v/>
      </c>
      <c r="AB227" s="18">
        <f>EXACT(SUBSTITUTE(M227," ",""),SUBSTITUTE(R227&amp;S227&amp;T227&amp;U227&amp;V227," ",""))</f>
        <v/>
      </c>
    </row>
    <row r="228">
      <c r="A228" s="15" t="inlineStr">
        <is>
          <t>INSERT INTO CNF_UNIT_FILTERING_TBL SELECT UNIT_ID, 13 FROM MST_UNIT_TBL WHERE UNIT_CODE = 'LF019';</t>
        </is>
      </c>
      <c r="B228" s="16" t="n"/>
      <c r="C228" s="15" t="inlineStr">
        <is>
          <t>CNF_UNIT_FILTERING_TBL</t>
        </is>
      </c>
      <c r="D228" s="15" t="inlineStr">
        <is>
          <t>UNIT_ID</t>
        </is>
      </c>
      <c r="E228" s="15" t="inlineStr">
        <is>
          <t>13</t>
        </is>
      </c>
      <c r="F228" s="15" t="inlineStr">
        <is>
          <t>MST_UNIT_TBL</t>
        </is>
      </c>
      <c r="G228" s="15" t="inlineStr">
        <is>
          <t>UNIT_CODE</t>
        </is>
      </c>
      <c r="H228" s="15" t="inlineStr">
        <is>
          <t>LF019</t>
        </is>
      </c>
      <c r="J228" s="15" t="inlineStr">
        <is>
          <t>LF019</t>
        </is>
      </c>
      <c r="K228" s="15" t="inlineStr">
        <is>
          <t>池袋支店</t>
        </is>
      </c>
      <c r="L228" s="15" t="inlineStr">
        <is>
          <t>596</t>
        </is>
      </c>
      <c r="M228" s="19">
        <f>"INSERT INTO "&amp;C228&amp;" VALUES("&amp;L228&amp;" , "&amp;E228&amp;");"</f>
        <v/>
      </c>
      <c r="O228" s="17" t="inlineStr">
        <is>
          <t>596</t>
        </is>
      </c>
      <c r="P228" s="17" t="inlineStr">
        <is>
          <t>13</t>
        </is>
      </c>
      <c r="R228" s="15" t="inlineStr">
        <is>
          <t>INSERT INTO</t>
        </is>
      </c>
      <c r="S228" s="15" t="inlineStr">
        <is>
          <t>CNF_UNIT_FILTERING_TBL</t>
        </is>
      </c>
      <c r="T228" s="15" t="inlineStr">
        <is>
          <t>VALUES(</t>
        </is>
      </c>
      <c r="U228" s="15" t="inlineStr">
        <is>
          <t>596 , 13</t>
        </is>
      </c>
      <c r="V228" s="15" t="inlineStr">
        <is>
          <t>);</t>
        </is>
      </c>
      <c r="X228" s="18">
        <f>EXACT(TRIM(L228&amp;""),O228&amp;"")</f>
        <v/>
      </c>
      <c r="Y228" s="18">
        <f>EXACT(TRIM(E228&amp;""),P228&amp;"")</f>
        <v/>
      </c>
      <c r="Z228" s="18">
        <f>AND(X228:Y228)</f>
        <v/>
      </c>
      <c r="AA228" s="19">
        <f>TRIM(IF(X228,"",$X$3&amp;" ")&amp;IF(Y228,"",$Y$3&amp;" "))</f>
        <v/>
      </c>
      <c r="AB228" s="18">
        <f>EXACT(SUBSTITUTE(M228," ",""),SUBSTITUTE(R228&amp;S228&amp;T228&amp;U228&amp;V228," ",""))</f>
        <v/>
      </c>
    </row>
    <row r="229">
      <c r="A229" s="15" t="inlineStr">
        <is>
          <t>INSERT INTO CNF_UNIT_FILTERING_TBL SELECT UNIT_ID, 14 FROM MST_UNIT_TBL WHERE UNIT_CODE = 'LF019';</t>
        </is>
      </c>
      <c r="B229" s="16" t="n"/>
      <c r="C229" s="15" t="inlineStr">
        <is>
          <t>CNF_UNIT_FILTERING_TBL</t>
        </is>
      </c>
      <c r="D229" s="15" t="inlineStr">
        <is>
          <t>UNIT_ID</t>
        </is>
      </c>
      <c r="E229" s="15" t="inlineStr">
        <is>
          <t>14</t>
        </is>
      </c>
      <c r="F229" s="15" t="inlineStr">
        <is>
          <t>MST_UNIT_TBL</t>
        </is>
      </c>
      <c r="G229" s="15" t="inlineStr">
        <is>
          <t>UNIT_CODE</t>
        </is>
      </c>
      <c r="H229" s="15" t="inlineStr">
        <is>
          <t>LF019</t>
        </is>
      </c>
      <c r="J229" s="15" t="inlineStr">
        <is>
          <t>LF019</t>
        </is>
      </c>
      <c r="K229" s="15" t="inlineStr">
        <is>
          <t>池袋支店</t>
        </is>
      </c>
      <c r="L229" s="15" t="inlineStr">
        <is>
          <t>596</t>
        </is>
      </c>
      <c r="M229" s="19">
        <f>"INSERT INTO "&amp;C229&amp;" VALUES("&amp;L229&amp;" , "&amp;E229&amp;");"</f>
        <v/>
      </c>
      <c r="O229" s="17" t="inlineStr">
        <is>
          <t>596</t>
        </is>
      </c>
      <c r="P229" s="17" t="inlineStr">
        <is>
          <t>14</t>
        </is>
      </c>
      <c r="R229" s="15" t="inlineStr">
        <is>
          <t>INSERT INTO</t>
        </is>
      </c>
      <c r="S229" s="15" t="inlineStr">
        <is>
          <t>CNF_UNIT_FILTERING_TBL</t>
        </is>
      </c>
      <c r="T229" s="15" t="inlineStr">
        <is>
          <t>VALUES(</t>
        </is>
      </c>
      <c r="U229" s="15" t="inlineStr">
        <is>
          <t>596 , 14</t>
        </is>
      </c>
      <c r="V229" s="15" t="inlineStr">
        <is>
          <t>);</t>
        </is>
      </c>
      <c r="X229" s="18">
        <f>EXACT(TRIM(L229&amp;""),O229&amp;"")</f>
        <v/>
      </c>
      <c r="Y229" s="18">
        <f>EXACT(TRIM(E229&amp;""),P229&amp;"")</f>
        <v/>
      </c>
      <c r="Z229" s="18">
        <f>AND(X229:Y229)</f>
        <v/>
      </c>
      <c r="AA229" s="19">
        <f>TRIM(IF(X229,"",$X$3&amp;" ")&amp;IF(Y229,"",$Y$3&amp;" "))</f>
        <v/>
      </c>
      <c r="AB229" s="18">
        <f>EXACT(SUBSTITUTE(M229," ",""),SUBSTITUTE(R229&amp;S229&amp;T229&amp;U229&amp;V229," ",""))</f>
        <v/>
      </c>
    </row>
    <row r="230">
      <c r="A230" s="15" t="inlineStr">
        <is>
          <t>INSERT INTO CNF_UNIT_FILTERING_TBL SELECT UNIT_ID, 15 FROM MST_UNIT_TBL WHERE UNIT_CODE = 'LF019';</t>
        </is>
      </c>
      <c r="B230" s="16" t="n"/>
      <c r="C230" s="15" t="inlineStr">
        <is>
          <t>CNF_UNIT_FILTERING_TBL</t>
        </is>
      </c>
      <c r="D230" s="15" t="inlineStr">
        <is>
          <t>UNIT_ID</t>
        </is>
      </c>
      <c r="E230" s="15" t="inlineStr">
        <is>
          <t>15</t>
        </is>
      </c>
      <c r="F230" s="15" t="inlineStr">
        <is>
          <t>MST_UNIT_TBL</t>
        </is>
      </c>
      <c r="G230" s="15" t="inlineStr">
        <is>
          <t>UNIT_CODE</t>
        </is>
      </c>
      <c r="H230" s="15" t="inlineStr">
        <is>
          <t>LF019</t>
        </is>
      </c>
      <c r="J230" s="15" t="inlineStr">
        <is>
          <t>LF019</t>
        </is>
      </c>
      <c r="K230" s="15" t="inlineStr">
        <is>
          <t>池袋支店</t>
        </is>
      </c>
      <c r="L230" s="15" t="inlineStr">
        <is>
          <t>596</t>
        </is>
      </c>
      <c r="M230" s="19">
        <f>"INSERT INTO "&amp;C230&amp;" VALUES("&amp;L230&amp;" , "&amp;E230&amp;");"</f>
        <v/>
      </c>
      <c r="O230" s="17" t="inlineStr">
        <is>
          <t>596</t>
        </is>
      </c>
      <c r="P230" s="17" t="inlineStr">
        <is>
          <t>15</t>
        </is>
      </c>
      <c r="R230" s="15" t="inlineStr">
        <is>
          <t>INSERT INTO</t>
        </is>
      </c>
      <c r="S230" s="15" t="inlineStr">
        <is>
          <t>CNF_UNIT_FILTERING_TBL</t>
        </is>
      </c>
      <c r="T230" s="15" t="inlineStr">
        <is>
          <t>VALUES(</t>
        </is>
      </c>
      <c r="U230" s="15" t="inlineStr">
        <is>
          <t>596 , 15</t>
        </is>
      </c>
      <c r="V230" s="15" t="inlineStr">
        <is>
          <t>);</t>
        </is>
      </c>
      <c r="X230" s="18">
        <f>EXACT(TRIM(L230&amp;""),O230&amp;"")</f>
        <v/>
      </c>
      <c r="Y230" s="18">
        <f>EXACT(TRIM(E230&amp;""),P230&amp;"")</f>
        <v/>
      </c>
      <c r="Z230" s="18">
        <f>AND(X230:Y230)</f>
        <v/>
      </c>
      <c r="AA230" s="19">
        <f>TRIM(IF(X230,"",$X$3&amp;" ")&amp;IF(Y230,"",$Y$3&amp;" "))</f>
        <v/>
      </c>
      <c r="AB230" s="18">
        <f>EXACT(SUBSTITUTE(M230," ",""),SUBSTITUTE(R230&amp;S230&amp;T230&amp;U230&amp;V230," ",""))</f>
        <v/>
      </c>
    </row>
    <row r="231">
      <c r="A231" s="15" t="inlineStr">
        <is>
          <t>INSERT INTO CNF_UNIT_FILTERING_TBL SELECT UNIT_ID, 16 FROM MST_UNIT_TBL WHERE UNIT_CODE = 'LF019';</t>
        </is>
      </c>
      <c r="B231" s="16" t="n"/>
      <c r="C231" s="15" t="inlineStr">
        <is>
          <t>CNF_UNIT_FILTERING_TBL</t>
        </is>
      </c>
      <c r="D231" s="15" t="inlineStr">
        <is>
          <t>UNIT_ID</t>
        </is>
      </c>
      <c r="E231" s="15" t="inlineStr">
        <is>
          <t>16</t>
        </is>
      </c>
      <c r="F231" s="15" t="inlineStr">
        <is>
          <t>MST_UNIT_TBL</t>
        </is>
      </c>
      <c r="G231" s="15" t="inlineStr">
        <is>
          <t>UNIT_CODE</t>
        </is>
      </c>
      <c r="H231" s="15" t="inlineStr">
        <is>
          <t>LF019</t>
        </is>
      </c>
      <c r="J231" s="15" t="inlineStr">
        <is>
          <t>LF019</t>
        </is>
      </c>
      <c r="K231" s="15" t="inlineStr">
        <is>
          <t>池袋支店</t>
        </is>
      </c>
      <c r="L231" s="15" t="inlineStr">
        <is>
          <t>596</t>
        </is>
      </c>
      <c r="M231" s="19">
        <f>"INSERT INTO "&amp;C231&amp;" VALUES("&amp;L231&amp;" , "&amp;E231&amp;");"</f>
        <v/>
      </c>
      <c r="O231" s="17" t="inlineStr">
        <is>
          <t>596</t>
        </is>
      </c>
      <c r="P231" s="17" t="inlineStr">
        <is>
          <t>16</t>
        </is>
      </c>
      <c r="R231" s="15" t="inlineStr">
        <is>
          <t>INSERT INTO</t>
        </is>
      </c>
      <c r="S231" s="15" t="inlineStr">
        <is>
          <t>CNF_UNIT_FILTERING_TBL</t>
        </is>
      </c>
      <c r="T231" s="15" t="inlineStr">
        <is>
          <t>VALUES(</t>
        </is>
      </c>
      <c r="U231" s="15" t="inlineStr">
        <is>
          <t>596 , 16</t>
        </is>
      </c>
      <c r="V231" s="15" t="inlineStr">
        <is>
          <t>);</t>
        </is>
      </c>
      <c r="X231" s="18">
        <f>EXACT(TRIM(L231&amp;""),O231&amp;"")</f>
        <v/>
      </c>
      <c r="Y231" s="18">
        <f>EXACT(TRIM(E231&amp;""),P231&amp;"")</f>
        <v/>
      </c>
      <c r="Z231" s="18">
        <f>AND(X231:Y231)</f>
        <v/>
      </c>
      <c r="AA231" s="19">
        <f>TRIM(IF(X231,"",$X$3&amp;" ")&amp;IF(Y231,"",$Y$3&amp;" "))</f>
        <v/>
      </c>
      <c r="AB231" s="18">
        <f>EXACT(SUBSTITUTE(M231," ",""),SUBSTITUTE(R231&amp;S231&amp;T231&amp;U231&amp;V231," ",""))</f>
        <v/>
      </c>
    </row>
    <row r="232">
      <c r="A232" s="15" t="inlineStr">
        <is>
          <t>INSERT INTO CNF_UNIT_FILTERING_TBL SELECT UNIT_ID, 1 FROM MST_UNIT_TBL WHERE UNIT_CODE = 'LF020';</t>
        </is>
      </c>
      <c r="B232" s="16" t="n"/>
      <c r="C232" s="15" t="inlineStr">
        <is>
          <t>CNF_UNIT_FILTERING_TBL</t>
        </is>
      </c>
      <c r="D232" s="15" t="inlineStr">
        <is>
          <t>UNIT_ID</t>
        </is>
      </c>
      <c r="E232" s="15" t="inlineStr">
        <is>
          <t>1</t>
        </is>
      </c>
      <c r="F232" s="15" t="inlineStr">
        <is>
          <t>MST_UNIT_TBL</t>
        </is>
      </c>
      <c r="G232" s="15" t="inlineStr">
        <is>
          <t>UNIT_CODE</t>
        </is>
      </c>
      <c r="H232" s="15" t="inlineStr">
        <is>
          <t>LF020</t>
        </is>
      </c>
      <c r="J232" s="15" t="inlineStr">
        <is>
          <t>LF020</t>
        </is>
      </c>
      <c r="K232" s="15" t="inlineStr">
        <is>
          <t>横浜支店</t>
        </is>
      </c>
      <c r="L232" s="15" t="inlineStr">
        <is>
          <t>597</t>
        </is>
      </c>
      <c r="M232" s="19">
        <f>"INSERT INTO "&amp;C232&amp;" VALUES("&amp;L232&amp;" , "&amp;E232&amp;");"</f>
        <v/>
      </c>
      <c r="O232" s="17" t="inlineStr">
        <is>
          <t>597</t>
        </is>
      </c>
      <c r="P232" s="17" t="inlineStr">
        <is>
          <t>1</t>
        </is>
      </c>
      <c r="R232" s="15" t="inlineStr">
        <is>
          <t>INSERT INTO</t>
        </is>
      </c>
      <c r="S232" s="15" t="inlineStr">
        <is>
          <t>CNF_UNIT_FILTERING_TBL</t>
        </is>
      </c>
      <c r="T232" s="15" t="inlineStr">
        <is>
          <t>VALUES(</t>
        </is>
      </c>
      <c r="U232" s="15" t="inlineStr">
        <is>
          <t>597 , 1</t>
        </is>
      </c>
      <c r="V232" s="15" t="inlineStr">
        <is>
          <t>);</t>
        </is>
      </c>
      <c r="X232" s="18">
        <f>EXACT(TRIM(L232&amp;""),O232&amp;"")</f>
        <v/>
      </c>
      <c r="Y232" s="18">
        <f>EXACT(TRIM(E232&amp;""),P232&amp;"")</f>
        <v/>
      </c>
      <c r="Z232" s="18">
        <f>AND(X232:Y232)</f>
        <v/>
      </c>
      <c r="AA232" s="19">
        <f>TRIM(IF(X232,"",$X$3&amp;" ")&amp;IF(Y232,"",$Y$3&amp;" "))</f>
        <v/>
      </c>
      <c r="AB232" s="18">
        <f>EXACT(SUBSTITUTE(M232," ",""),SUBSTITUTE(R232&amp;S232&amp;T232&amp;U232&amp;V232," ",""))</f>
        <v/>
      </c>
    </row>
    <row r="233">
      <c r="A233" s="15" t="inlineStr">
        <is>
          <t>INSERT INTO CNF_UNIT_FILTERING_TBL SELECT UNIT_ID, 4 FROM MST_UNIT_TBL WHERE UNIT_CODE = 'LF020';</t>
        </is>
      </c>
      <c r="B233" s="16" t="n"/>
      <c r="C233" s="15" t="inlineStr">
        <is>
          <t>CNF_UNIT_FILTERING_TBL</t>
        </is>
      </c>
      <c r="D233" s="15" t="inlineStr">
        <is>
          <t>UNIT_ID</t>
        </is>
      </c>
      <c r="E233" s="15" t="inlineStr">
        <is>
          <t>4</t>
        </is>
      </c>
      <c r="F233" s="15" t="inlineStr">
        <is>
          <t>MST_UNIT_TBL</t>
        </is>
      </c>
      <c r="G233" s="15" t="inlineStr">
        <is>
          <t>UNIT_CODE</t>
        </is>
      </c>
      <c r="H233" s="15" t="inlineStr">
        <is>
          <t>LF020</t>
        </is>
      </c>
      <c r="J233" s="15" t="inlineStr">
        <is>
          <t>LF020</t>
        </is>
      </c>
      <c r="K233" s="15" t="inlineStr">
        <is>
          <t>横浜支店</t>
        </is>
      </c>
      <c r="L233" s="15" t="inlineStr">
        <is>
          <t>597</t>
        </is>
      </c>
      <c r="M233" s="19">
        <f>"INSERT INTO "&amp;C233&amp;" VALUES("&amp;L233&amp;" , "&amp;E233&amp;");"</f>
        <v/>
      </c>
      <c r="O233" s="17" t="inlineStr">
        <is>
          <t>597</t>
        </is>
      </c>
      <c r="P233" s="17" t="inlineStr">
        <is>
          <t>4</t>
        </is>
      </c>
      <c r="R233" s="15" t="inlineStr">
        <is>
          <t>INSERT INTO</t>
        </is>
      </c>
      <c r="S233" s="15" t="inlineStr">
        <is>
          <t>CNF_UNIT_FILTERING_TBL</t>
        </is>
      </c>
      <c r="T233" s="15" t="inlineStr">
        <is>
          <t>VALUES(</t>
        </is>
      </c>
      <c r="U233" s="15" t="inlineStr">
        <is>
          <t>597 , 4</t>
        </is>
      </c>
      <c r="V233" s="15" t="inlineStr">
        <is>
          <t>);</t>
        </is>
      </c>
      <c r="X233" s="18">
        <f>EXACT(TRIM(L233&amp;""),O233&amp;"")</f>
        <v/>
      </c>
      <c r="Y233" s="18">
        <f>EXACT(TRIM(E233&amp;""),P233&amp;"")</f>
        <v/>
      </c>
      <c r="Z233" s="18">
        <f>AND(X233:Y233)</f>
        <v/>
      </c>
      <c r="AA233" s="19">
        <f>TRIM(IF(X233,"",$X$3&amp;" ")&amp;IF(Y233,"",$Y$3&amp;" "))</f>
        <v/>
      </c>
      <c r="AB233" s="18">
        <f>EXACT(SUBSTITUTE(M233," ",""),SUBSTITUTE(R233&amp;S233&amp;T233&amp;U233&amp;V233," ",""))</f>
        <v/>
      </c>
    </row>
    <row r="234">
      <c r="A234" s="15" t="inlineStr">
        <is>
          <t>INSERT INTO CNF_UNIT_FILTERING_TBL SELECT UNIT_ID, 5 FROM MST_UNIT_TBL WHERE UNIT_CODE = 'LF020';</t>
        </is>
      </c>
      <c r="B234" s="16" t="n"/>
      <c r="C234" s="15" t="inlineStr">
        <is>
          <t>CNF_UNIT_FILTERING_TBL</t>
        </is>
      </c>
      <c r="D234" s="15" t="inlineStr">
        <is>
          <t>UNIT_ID</t>
        </is>
      </c>
      <c r="E234" s="15" t="inlineStr">
        <is>
          <t>5</t>
        </is>
      </c>
      <c r="F234" s="15" t="inlineStr">
        <is>
          <t>MST_UNIT_TBL</t>
        </is>
      </c>
      <c r="G234" s="15" t="inlineStr">
        <is>
          <t>UNIT_CODE</t>
        </is>
      </c>
      <c r="H234" s="15" t="inlineStr">
        <is>
          <t>LF020</t>
        </is>
      </c>
      <c r="J234" s="15" t="inlineStr">
        <is>
          <t>LF020</t>
        </is>
      </c>
      <c r="K234" s="15" t="inlineStr">
        <is>
          <t>横浜支店</t>
        </is>
      </c>
      <c r="L234" s="15" t="inlineStr">
        <is>
          <t>597</t>
        </is>
      </c>
      <c r="M234" s="19">
        <f>"INSERT INTO "&amp;C234&amp;" VALUES("&amp;L234&amp;" , "&amp;E234&amp;");"</f>
        <v/>
      </c>
      <c r="O234" s="17" t="inlineStr">
        <is>
          <t>597</t>
        </is>
      </c>
      <c r="P234" s="17" t="inlineStr">
        <is>
          <t>5</t>
        </is>
      </c>
      <c r="R234" s="15" t="inlineStr">
        <is>
          <t>INSERT INTO</t>
        </is>
      </c>
      <c r="S234" s="15" t="inlineStr">
        <is>
          <t>CNF_UNIT_FILTERING_TBL</t>
        </is>
      </c>
      <c r="T234" s="15" t="inlineStr">
        <is>
          <t>VALUES(</t>
        </is>
      </c>
      <c r="U234" s="15" t="inlineStr">
        <is>
          <t>597 , 5</t>
        </is>
      </c>
      <c r="V234" s="15" t="inlineStr">
        <is>
          <t>);</t>
        </is>
      </c>
      <c r="X234" s="18">
        <f>EXACT(TRIM(L234&amp;""),O234&amp;"")</f>
        <v/>
      </c>
      <c r="Y234" s="18">
        <f>EXACT(TRIM(E234&amp;""),P234&amp;"")</f>
        <v/>
      </c>
      <c r="Z234" s="18">
        <f>AND(X234:Y234)</f>
        <v/>
      </c>
      <c r="AA234" s="19">
        <f>TRIM(IF(X234,"",$X$3&amp;" ")&amp;IF(Y234,"",$Y$3&amp;" "))</f>
        <v/>
      </c>
      <c r="AB234" s="18">
        <f>EXACT(SUBSTITUTE(M234," ",""),SUBSTITUTE(R234&amp;S234&amp;T234&amp;U234&amp;V234," ",""))</f>
        <v/>
      </c>
    </row>
    <row r="235">
      <c r="A235" s="15" t="inlineStr">
        <is>
          <t>INSERT INTO CNF_UNIT_FILTERING_TBL SELECT UNIT_ID, 7 FROM MST_UNIT_TBL WHERE UNIT_CODE = 'LF020';</t>
        </is>
      </c>
      <c r="B235" s="16" t="n"/>
      <c r="C235" s="15" t="inlineStr">
        <is>
          <t>CNF_UNIT_FILTERING_TBL</t>
        </is>
      </c>
      <c r="D235" s="15" t="inlineStr">
        <is>
          <t>UNIT_ID</t>
        </is>
      </c>
      <c r="E235" s="15" t="inlineStr">
        <is>
          <t>7</t>
        </is>
      </c>
      <c r="F235" s="15" t="inlineStr">
        <is>
          <t>MST_UNIT_TBL</t>
        </is>
      </c>
      <c r="G235" s="15" t="inlineStr">
        <is>
          <t>UNIT_CODE</t>
        </is>
      </c>
      <c r="H235" s="15" t="inlineStr">
        <is>
          <t>LF020</t>
        </is>
      </c>
      <c r="J235" s="15" t="inlineStr">
        <is>
          <t>LF020</t>
        </is>
      </c>
      <c r="K235" s="15" t="inlineStr">
        <is>
          <t>横浜支店</t>
        </is>
      </c>
      <c r="L235" s="15" t="inlineStr">
        <is>
          <t>597</t>
        </is>
      </c>
      <c r="M235" s="19">
        <f>"INSERT INTO "&amp;C235&amp;" VALUES("&amp;L235&amp;" , "&amp;E235&amp;");"</f>
        <v/>
      </c>
      <c r="O235" s="17" t="inlineStr">
        <is>
          <t>597</t>
        </is>
      </c>
      <c r="P235" s="17" t="inlineStr">
        <is>
          <t>7</t>
        </is>
      </c>
      <c r="R235" s="15" t="inlineStr">
        <is>
          <t>INSERT INTO</t>
        </is>
      </c>
      <c r="S235" s="15" t="inlineStr">
        <is>
          <t>CNF_UNIT_FILTERING_TBL</t>
        </is>
      </c>
      <c r="T235" s="15" t="inlineStr">
        <is>
          <t>VALUES(</t>
        </is>
      </c>
      <c r="U235" s="15" t="inlineStr">
        <is>
          <t>597 , 7</t>
        </is>
      </c>
      <c r="V235" s="15" t="inlineStr">
        <is>
          <t>);</t>
        </is>
      </c>
      <c r="X235" s="18">
        <f>EXACT(TRIM(L235&amp;""),O235&amp;"")</f>
        <v/>
      </c>
      <c r="Y235" s="18">
        <f>EXACT(TRIM(E235&amp;""),P235&amp;"")</f>
        <v/>
      </c>
      <c r="Z235" s="18">
        <f>AND(X235:Y235)</f>
        <v/>
      </c>
      <c r="AA235" s="19">
        <f>TRIM(IF(X235,"",$X$3&amp;" ")&amp;IF(Y235,"",$Y$3&amp;" "))</f>
        <v/>
      </c>
      <c r="AB235" s="18">
        <f>EXACT(SUBSTITUTE(M235," ",""),SUBSTITUTE(R235&amp;S235&amp;T235&amp;U235&amp;V235," ",""))</f>
        <v/>
      </c>
    </row>
    <row r="236">
      <c r="A236" s="15" t="inlineStr">
        <is>
          <t>INSERT INTO CNF_UNIT_FILTERING_TBL SELECT UNIT_ID, 8 FROM MST_UNIT_TBL WHERE UNIT_CODE = 'LF020';</t>
        </is>
      </c>
      <c r="B236" s="16" t="n"/>
      <c r="C236" s="15" t="inlineStr">
        <is>
          <t>CNF_UNIT_FILTERING_TBL</t>
        </is>
      </c>
      <c r="D236" s="15" t="inlineStr">
        <is>
          <t>UNIT_ID</t>
        </is>
      </c>
      <c r="E236" s="15" t="inlineStr">
        <is>
          <t>8</t>
        </is>
      </c>
      <c r="F236" s="15" t="inlineStr">
        <is>
          <t>MST_UNIT_TBL</t>
        </is>
      </c>
      <c r="G236" s="15" t="inlineStr">
        <is>
          <t>UNIT_CODE</t>
        </is>
      </c>
      <c r="H236" s="15" t="inlineStr">
        <is>
          <t>LF020</t>
        </is>
      </c>
      <c r="J236" s="15" t="inlineStr">
        <is>
          <t>LF020</t>
        </is>
      </c>
      <c r="K236" s="15" t="inlineStr">
        <is>
          <t>横浜支店</t>
        </is>
      </c>
      <c r="L236" s="15" t="inlineStr">
        <is>
          <t>597</t>
        </is>
      </c>
      <c r="M236" s="19">
        <f>"INSERT INTO "&amp;C236&amp;" VALUES("&amp;L236&amp;" , "&amp;E236&amp;");"</f>
        <v/>
      </c>
      <c r="O236" s="17" t="inlineStr">
        <is>
          <t>597</t>
        </is>
      </c>
      <c r="P236" s="17" t="inlineStr">
        <is>
          <t>8</t>
        </is>
      </c>
      <c r="R236" s="15" t="inlineStr">
        <is>
          <t>INSERT INTO</t>
        </is>
      </c>
      <c r="S236" s="15" t="inlineStr">
        <is>
          <t>CNF_UNIT_FILTERING_TBL</t>
        </is>
      </c>
      <c r="T236" s="15" t="inlineStr">
        <is>
          <t>VALUES(</t>
        </is>
      </c>
      <c r="U236" s="15" t="inlineStr">
        <is>
          <t>597 , 8</t>
        </is>
      </c>
      <c r="V236" s="15" t="inlineStr">
        <is>
          <t>);</t>
        </is>
      </c>
      <c r="X236" s="18">
        <f>EXACT(TRIM(L236&amp;""),O236&amp;"")</f>
        <v/>
      </c>
      <c r="Y236" s="18">
        <f>EXACT(TRIM(E236&amp;""),P236&amp;"")</f>
        <v/>
      </c>
      <c r="Z236" s="18">
        <f>AND(X236:Y236)</f>
        <v/>
      </c>
      <c r="AA236" s="19">
        <f>TRIM(IF(X236,"",$X$3&amp;" ")&amp;IF(Y236,"",$Y$3&amp;" "))</f>
        <v/>
      </c>
      <c r="AB236" s="18">
        <f>EXACT(SUBSTITUTE(M236," ",""),SUBSTITUTE(R236&amp;S236&amp;T236&amp;U236&amp;V236," ",""))</f>
        <v/>
      </c>
    </row>
    <row r="237">
      <c r="A237" s="15" t="inlineStr">
        <is>
          <t>INSERT INTO CNF_UNIT_FILTERING_TBL SELECT UNIT_ID, 9 FROM MST_UNIT_TBL WHERE UNIT_CODE = 'LF020';</t>
        </is>
      </c>
      <c r="B237" s="16" t="n"/>
      <c r="C237" s="15" t="inlineStr">
        <is>
          <t>CNF_UNIT_FILTERING_TBL</t>
        </is>
      </c>
      <c r="D237" s="15" t="inlineStr">
        <is>
          <t>UNIT_ID</t>
        </is>
      </c>
      <c r="E237" s="15" t="inlineStr">
        <is>
          <t>9</t>
        </is>
      </c>
      <c r="F237" s="15" t="inlineStr">
        <is>
          <t>MST_UNIT_TBL</t>
        </is>
      </c>
      <c r="G237" s="15" t="inlineStr">
        <is>
          <t>UNIT_CODE</t>
        </is>
      </c>
      <c r="H237" s="15" t="inlineStr">
        <is>
          <t>LF020</t>
        </is>
      </c>
      <c r="J237" s="15" t="inlineStr">
        <is>
          <t>LF020</t>
        </is>
      </c>
      <c r="K237" s="15" t="inlineStr">
        <is>
          <t>横浜支店</t>
        </is>
      </c>
      <c r="L237" s="15" t="inlineStr">
        <is>
          <t>597</t>
        </is>
      </c>
      <c r="M237" s="19">
        <f>"INSERT INTO "&amp;C237&amp;" VALUES("&amp;L237&amp;" , "&amp;E237&amp;");"</f>
        <v/>
      </c>
      <c r="O237" s="17" t="inlineStr">
        <is>
          <t>597</t>
        </is>
      </c>
      <c r="P237" s="17" t="inlineStr">
        <is>
          <t>9</t>
        </is>
      </c>
      <c r="R237" s="15" t="inlineStr">
        <is>
          <t>INSERT INTO</t>
        </is>
      </c>
      <c r="S237" s="15" t="inlineStr">
        <is>
          <t>CNF_UNIT_FILTERING_TBL</t>
        </is>
      </c>
      <c r="T237" s="15" t="inlineStr">
        <is>
          <t>VALUES(</t>
        </is>
      </c>
      <c r="U237" s="15" t="inlineStr">
        <is>
          <t>597 , 9</t>
        </is>
      </c>
      <c r="V237" s="15" t="inlineStr">
        <is>
          <t>);</t>
        </is>
      </c>
      <c r="X237" s="18">
        <f>EXACT(TRIM(L237&amp;""),O237&amp;"")</f>
        <v/>
      </c>
      <c r="Y237" s="18">
        <f>EXACT(TRIM(E237&amp;""),P237&amp;"")</f>
        <v/>
      </c>
      <c r="Z237" s="18">
        <f>AND(X237:Y237)</f>
        <v/>
      </c>
      <c r="AA237" s="19">
        <f>TRIM(IF(X237,"",$X$3&amp;" ")&amp;IF(Y237,"",$Y$3&amp;" "))</f>
        <v/>
      </c>
      <c r="AB237" s="18">
        <f>EXACT(SUBSTITUTE(M237," ",""),SUBSTITUTE(R237&amp;S237&amp;T237&amp;U237&amp;V237," ",""))</f>
        <v/>
      </c>
    </row>
    <row r="238">
      <c r="A238" s="15" t="inlineStr">
        <is>
          <t>INSERT INTO CNF_UNIT_FILTERING_TBL SELECT UNIT_ID, 11 FROM MST_UNIT_TBL WHERE UNIT_CODE = 'LF020';</t>
        </is>
      </c>
      <c r="B238" s="16" t="n"/>
      <c r="C238" s="15" t="inlineStr">
        <is>
          <t>CNF_UNIT_FILTERING_TBL</t>
        </is>
      </c>
      <c r="D238" s="15" t="inlineStr">
        <is>
          <t>UNIT_ID</t>
        </is>
      </c>
      <c r="E238" s="15" t="inlineStr">
        <is>
          <t>11</t>
        </is>
      </c>
      <c r="F238" s="15" t="inlineStr">
        <is>
          <t>MST_UNIT_TBL</t>
        </is>
      </c>
      <c r="G238" s="15" t="inlineStr">
        <is>
          <t>UNIT_CODE</t>
        </is>
      </c>
      <c r="H238" s="15" t="inlineStr">
        <is>
          <t>LF020</t>
        </is>
      </c>
      <c r="J238" s="15" t="inlineStr">
        <is>
          <t>LF020</t>
        </is>
      </c>
      <c r="K238" s="15" t="inlineStr">
        <is>
          <t>横浜支店</t>
        </is>
      </c>
      <c r="L238" s="15" t="inlineStr">
        <is>
          <t>597</t>
        </is>
      </c>
      <c r="M238" s="19">
        <f>"INSERT INTO "&amp;C238&amp;" VALUES("&amp;L238&amp;" , "&amp;E238&amp;");"</f>
        <v/>
      </c>
      <c r="O238" s="17" t="inlineStr">
        <is>
          <t>597</t>
        </is>
      </c>
      <c r="P238" s="17" t="inlineStr">
        <is>
          <t>11</t>
        </is>
      </c>
      <c r="R238" s="15" t="inlineStr">
        <is>
          <t>INSERT INTO</t>
        </is>
      </c>
      <c r="S238" s="15" t="inlineStr">
        <is>
          <t>CNF_UNIT_FILTERING_TBL</t>
        </is>
      </c>
      <c r="T238" s="15" t="inlineStr">
        <is>
          <t>VALUES(</t>
        </is>
      </c>
      <c r="U238" s="15" t="inlineStr">
        <is>
          <t>597 , 11</t>
        </is>
      </c>
      <c r="V238" s="15" t="inlineStr">
        <is>
          <t>);</t>
        </is>
      </c>
      <c r="X238" s="18">
        <f>EXACT(TRIM(L238&amp;""),O238&amp;"")</f>
        <v/>
      </c>
      <c r="Y238" s="18">
        <f>EXACT(TRIM(E238&amp;""),P238&amp;"")</f>
        <v/>
      </c>
      <c r="Z238" s="18">
        <f>AND(X238:Y238)</f>
        <v/>
      </c>
      <c r="AA238" s="19">
        <f>TRIM(IF(X238,"",$X$3&amp;" ")&amp;IF(Y238,"",$Y$3&amp;" "))</f>
        <v/>
      </c>
      <c r="AB238" s="18">
        <f>EXACT(SUBSTITUTE(M238," ",""),SUBSTITUTE(R238&amp;S238&amp;T238&amp;U238&amp;V238," ",""))</f>
        <v/>
      </c>
    </row>
    <row r="239">
      <c r="A239" s="15" t="inlineStr">
        <is>
          <t>INSERT INTO CNF_UNIT_FILTERING_TBL SELECT UNIT_ID, 12 FROM MST_UNIT_TBL WHERE UNIT_CODE = 'LF020';</t>
        </is>
      </c>
      <c r="B239" s="16" t="n"/>
      <c r="C239" s="15" t="inlineStr">
        <is>
          <t>CNF_UNIT_FILTERING_TBL</t>
        </is>
      </c>
      <c r="D239" s="15" t="inlineStr">
        <is>
          <t>UNIT_ID</t>
        </is>
      </c>
      <c r="E239" s="15" t="inlineStr">
        <is>
          <t>12</t>
        </is>
      </c>
      <c r="F239" s="15" t="inlineStr">
        <is>
          <t>MST_UNIT_TBL</t>
        </is>
      </c>
      <c r="G239" s="15" t="inlineStr">
        <is>
          <t>UNIT_CODE</t>
        </is>
      </c>
      <c r="H239" s="15" t="inlineStr">
        <is>
          <t>LF020</t>
        </is>
      </c>
      <c r="J239" s="15" t="inlineStr">
        <is>
          <t>LF020</t>
        </is>
      </c>
      <c r="K239" s="15" t="inlineStr">
        <is>
          <t>横浜支店</t>
        </is>
      </c>
      <c r="L239" s="15" t="inlineStr">
        <is>
          <t>597</t>
        </is>
      </c>
      <c r="M239" s="19">
        <f>"INSERT INTO "&amp;C239&amp;" VALUES("&amp;L239&amp;" , "&amp;E239&amp;");"</f>
        <v/>
      </c>
      <c r="O239" s="17" t="inlineStr">
        <is>
          <t>597</t>
        </is>
      </c>
      <c r="P239" s="17" t="inlineStr">
        <is>
          <t>12</t>
        </is>
      </c>
      <c r="R239" s="15" t="inlineStr">
        <is>
          <t>INSERT INTO</t>
        </is>
      </c>
      <c r="S239" s="15" t="inlineStr">
        <is>
          <t>CNF_UNIT_FILTERING_TBL</t>
        </is>
      </c>
      <c r="T239" s="15" t="inlineStr">
        <is>
          <t>VALUES(</t>
        </is>
      </c>
      <c r="U239" s="15" t="inlineStr">
        <is>
          <t>597 , 12</t>
        </is>
      </c>
      <c r="V239" s="15" t="inlineStr">
        <is>
          <t>);</t>
        </is>
      </c>
      <c r="X239" s="18">
        <f>EXACT(TRIM(L239&amp;""),O239&amp;"")</f>
        <v/>
      </c>
      <c r="Y239" s="18">
        <f>EXACT(TRIM(E239&amp;""),P239&amp;"")</f>
        <v/>
      </c>
      <c r="Z239" s="18">
        <f>AND(X239:Y239)</f>
        <v/>
      </c>
      <c r="AA239" s="19">
        <f>TRIM(IF(X239,"",$X$3&amp;" ")&amp;IF(Y239,"",$Y$3&amp;" "))</f>
        <v/>
      </c>
      <c r="AB239" s="18">
        <f>EXACT(SUBSTITUTE(M239," ",""),SUBSTITUTE(R239&amp;S239&amp;T239&amp;U239&amp;V239," ",""))</f>
        <v/>
      </c>
    </row>
    <row r="240">
      <c r="A240" s="15" t="inlineStr">
        <is>
          <t>INSERT INTO CNF_UNIT_FILTERING_TBL SELECT UNIT_ID, 13 FROM MST_UNIT_TBL WHERE UNIT_CODE = 'LF020';</t>
        </is>
      </c>
      <c r="B240" s="16" t="n"/>
      <c r="C240" s="15" t="inlineStr">
        <is>
          <t>CNF_UNIT_FILTERING_TBL</t>
        </is>
      </c>
      <c r="D240" s="15" t="inlineStr">
        <is>
          <t>UNIT_ID</t>
        </is>
      </c>
      <c r="E240" s="15" t="inlineStr">
        <is>
          <t>13</t>
        </is>
      </c>
      <c r="F240" s="15" t="inlineStr">
        <is>
          <t>MST_UNIT_TBL</t>
        </is>
      </c>
      <c r="G240" s="15" t="inlineStr">
        <is>
          <t>UNIT_CODE</t>
        </is>
      </c>
      <c r="H240" s="15" t="inlineStr">
        <is>
          <t>LF020</t>
        </is>
      </c>
      <c r="J240" s="15" t="inlineStr">
        <is>
          <t>LF020</t>
        </is>
      </c>
      <c r="K240" s="15" t="inlineStr">
        <is>
          <t>横浜支店</t>
        </is>
      </c>
      <c r="L240" s="15" t="inlineStr">
        <is>
          <t>597</t>
        </is>
      </c>
      <c r="M240" s="19">
        <f>"INSERT INTO "&amp;C240&amp;" VALUES("&amp;L240&amp;" , "&amp;E240&amp;");"</f>
        <v/>
      </c>
      <c r="O240" s="17" t="inlineStr">
        <is>
          <t>597</t>
        </is>
      </c>
      <c r="P240" s="17" t="inlineStr">
        <is>
          <t>13</t>
        </is>
      </c>
      <c r="R240" s="15" t="inlineStr">
        <is>
          <t>INSERT INTO</t>
        </is>
      </c>
      <c r="S240" s="15" t="inlineStr">
        <is>
          <t>CNF_UNIT_FILTERING_TBL</t>
        </is>
      </c>
      <c r="T240" s="15" t="inlineStr">
        <is>
          <t>VALUES(</t>
        </is>
      </c>
      <c r="U240" s="15" t="inlineStr">
        <is>
          <t>597 , 13</t>
        </is>
      </c>
      <c r="V240" s="15" t="inlineStr">
        <is>
          <t>);</t>
        </is>
      </c>
      <c r="X240" s="18">
        <f>EXACT(TRIM(L240&amp;""),O240&amp;"")</f>
        <v/>
      </c>
      <c r="Y240" s="18">
        <f>EXACT(TRIM(E240&amp;""),P240&amp;"")</f>
        <v/>
      </c>
      <c r="Z240" s="18">
        <f>AND(X240:Y240)</f>
        <v/>
      </c>
      <c r="AA240" s="19">
        <f>TRIM(IF(X240,"",$X$3&amp;" ")&amp;IF(Y240,"",$Y$3&amp;" "))</f>
        <v/>
      </c>
      <c r="AB240" s="18">
        <f>EXACT(SUBSTITUTE(M240," ",""),SUBSTITUTE(R240&amp;S240&amp;T240&amp;U240&amp;V240," ",""))</f>
        <v/>
      </c>
    </row>
    <row r="241">
      <c r="A241" s="15" t="inlineStr">
        <is>
          <t>INSERT INTO CNF_UNIT_FILTERING_TBL SELECT UNIT_ID, 14 FROM MST_UNIT_TBL WHERE UNIT_CODE = 'LF020';</t>
        </is>
      </c>
      <c r="B241" s="16" t="n"/>
      <c r="C241" s="15" t="inlineStr">
        <is>
          <t>CNF_UNIT_FILTERING_TBL</t>
        </is>
      </c>
      <c r="D241" s="15" t="inlineStr">
        <is>
          <t>UNIT_ID</t>
        </is>
      </c>
      <c r="E241" s="15" t="inlineStr">
        <is>
          <t>14</t>
        </is>
      </c>
      <c r="F241" s="15" t="inlineStr">
        <is>
          <t>MST_UNIT_TBL</t>
        </is>
      </c>
      <c r="G241" s="15" t="inlineStr">
        <is>
          <t>UNIT_CODE</t>
        </is>
      </c>
      <c r="H241" s="15" t="inlineStr">
        <is>
          <t>LF020</t>
        </is>
      </c>
      <c r="J241" s="15" t="inlineStr">
        <is>
          <t>LF020</t>
        </is>
      </c>
      <c r="K241" s="15" t="inlineStr">
        <is>
          <t>横浜支店</t>
        </is>
      </c>
      <c r="L241" s="15" t="inlineStr">
        <is>
          <t>597</t>
        </is>
      </c>
      <c r="M241" s="19">
        <f>"INSERT INTO "&amp;C241&amp;" VALUES("&amp;L241&amp;" , "&amp;E241&amp;");"</f>
        <v/>
      </c>
      <c r="O241" s="17" t="inlineStr">
        <is>
          <t>597</t>
        </is>
      </c>
      <c r="P241" s="17" t="inlineStr">
        <is>
          <t>14</t>
        </is>
      </c>
      <c r="R241" s="15" t="inlineStr">
        <is>
          <t>INSERT INTO</t>
        </is>
      </c>
      <c r="S241" s="15" t="inlineStr">
        <is>
          <t>CNF_UNIT_FILTERING_TBL</t>
        </is>
      </c>
      <c r="T241" s="15" t="inlineStr">
        <is>
          <t>VALUES(</t>
        </is>
      </c>
      <c r="U241" s="15" t="inlineStr">
        <is>
          <t>597 , 14</t>
        </is>
      </c>
      <c r="V241" s="15" t="inlineStr">
        <is>
          <t>);</t>
        </is>
      </c>
      <c r="X241" s="18">
        <f>EXACT(TRIM(L241&amp;""),O241&amp;"")</f>
        <v/>
      </c>
      <c r="Y241" s="18">
        <f>EXACT(TRIM(E241&amp;""),P241&amp;"")</f>
        <v/>
      </c>
      <c r="Z241" s="18">
        <f>AND(X241:Y241)</f>
        <v/>
      </c>
      <c r="AA241" s="19">
        <f>TRIM(IF(X241,"",$X$3&amp;" ")&amp;IF(Y241,"",$Y$3&amp;" "))</f>
        <v/>
      </c>
      <c r="AB241" s="18">
        <f>EXACT(SUBSTITUTE(M241," ",""),SUBSTITUTE(R241&amp;S241&amp;T241&amp;U241&amp;V241," ",""))</f>
        <v/>
      </c>
    </row>
    <row r="242">
      <c r="A242" s="15" t="inlineStr">
        <is>
          <t>INSERT INTO CNF_UNIT_FILTERING_TBL SELECT UNIT_ID, 15 FROM MST_UNIT_TBL WHERE UNIT_CODE = 'LF020';</t>
        </is>
      </c>
      <c r="B242" s="16" t="n"/>
      <c r="C242" s="15" t="inlineStr">
        <is>
          <t>CNF_UNIT_FILTERING_TBL</t>
        </is>
      </c>
      <c r="D242" s="15" t="inlineStr">
        <is>
          <t>UNIT_ID</t>
        </is>
      </c>
      <c r="E242" s="15" t="inlineStr">
        <is>
          <t>15</t>
        </is>
      </c>
      <c r="F242" s="15" t="inlineStr">
        <is>
          <t>MST_UNIT_TBL</t>
        </is>
      </c>
      <c r="G242" s="15" t="inlineStr">
        <is>
          <t>UNIT_CODE</t>
        </is>
      </c>
      <c r="H242" s="15" t="inlineStr">
        <is>
          <t>LF020</t>
        </is>
      </c>
      <c r="J242" s="15" t="inlineStr">
        <is>
          <t>LF020</t>
        </is>
      </c>
      <c r="K242" s="15" t="inlineStr">
        <is>
          <t>横浜支店</t>
        </is>
      </c>
      <c r="L242" s="15" t="inlineStr">
        <is>
          <t>597</t>
        </is>
      </c>
      <c r="M242" s="19">
        <f>"INSERT INTO "&amp;C242&amp;" VALUES("&amp;L242&amp;" , "&amp;E242&amp;");"</f>
        <v/>
      </c>
      <c r="O242" s="17" t="inlineStr">
        <is>
          <t>597</t>
        </is>
      </c>
      <c r="P242" s="17" t="inlineStr">
        <is>
          <t>15</t>
        </is>
      </c>
      <c r="R242" s="15" t="inlineStr">
        <is>
          <t>INSERT INTO</t>
        </is>
      </c>
      <c r="S242" s="15" t="inlineStr">
        <is>
          <t>CNF_UNIT_FILTERING_TBL</t>
        </is>
      </c>
      <c r="T242" s="15" t="inlineStr">
        <is>
          <t>VALUES(</t>
        </is>
      </c>
      <c r="U242" s="15" t="inlineStr">
        <is>
          <t>597 , 15</t>
        </is>
      </c>
      <c r="V242" s="15" t="inlineStr">
        <is>
          <t>);</t>
        </is>
      </c>
      <c r="X242" s="18">
        <f>EXACT(TRIM(L242&amp;""),O242&amp;"")</f>
        <v/>
      </c>
      <c r="Y242" s="18">
        <f>EXACT(TRIM(E242&amp;""),P242&amp;"")</f>
        <v/>
      </c>
      <c r="Z242" s="18">
        <f>AND(X242:Y242)</f>
        <v/>
      </c>
      <c r="AA242" s="19">
        <f>TRIM(IF(X242,"",$X$3&amp;" ")&amp;IF(Y242,"",$Y$3&amp;" "))</f>
        <v/>
      </c>
      <c r="AB242" s="18">
        <f>EXACT(SUBSTITUTE(M242," ",""),SUBSTITUTE(R242&amp;S242&amp;T242&amp;U242&amp;V242," ",""))</f>
        <v/>
      </c>
    </row>
    <row r="243">
      <c r="A243" s="15" t="inlineStr">
        <is>
          <t>INSERT INTO CNF_UNIT_FILTERING_TBL SELECT UNIT_ID, 16 FROM MST_UNIT_TBL WHERE UNIT_CODE = 'LF020';</t>
        </is>
      </c>
      <c r="B243" s="16" t="n"/>
      <c r="C243" s="15" t="inlineStr">
        <is>
          <t>CNF_UNIT_FILTERING_TBL</t>
        </is>
      </c>
      <c r="D243" s="15" t="inlineStr">
        <is>
          <t>UNIT_ID</t>
        </is>
      </c>
      <c r="E243" s="15" t="inlineStr">
        <is>
          <t>16</t>
        </is>
      </c>
      <c r="F243" s="15" t="inlineStr">
        <is>
          <t>MST_UNIT_TBL</t>
        </is>
      </c>
      <c r="G243" s="15" t="inlineStr">
        <is>
          <t>UNIT_CODE</t>
        </is>
      </c>
      <c r="H243" s="15" t="inlineStr">
        <is>
          <t>LF020</t>
        </is>
      </c>
      <c r="J243" s="15" t="inlineStr">
        <is>
          <t>LF020</t>
        </is>
      </c>
      <c r="K243" s="15" t="inlineStr">
        <is>
          <t>横浜支店</t>
        </is>
      </c>
      <c r="L243" s="15" t="inlineStr">
        <is>
          <t>597</t>
        </is>
      </c>
      <c r="M243" s="19">
        <f>"INSERT INTO "&amp;C243&amp;" VALUES("&amp;L243&amp;" , "&amp;E243&amp;");"</f>
        <v/>
      </c>
      <c r="O243" s="17" t="inlineStr">
        <is>
          <t>597</t>
        </is>
      </c>
      <c r="P243" s="17" t="inlineStr">
        <is>
          <t>16</t>
        </is>
      </c>
      <c r="R243" s="15" t="inlineStr">
        <is>
          <t>INSERT INTO</t>
        </is>
      </c>
      <c r="S243" s="15" t="inlineStr">
        <is>
          <t>CNF_UNIT_FILTERING_TBL</t>
        </is>
      </c>
      <c r="T243" s="15" t="inlineStr">
        <is>
          <t>VALUES(</t>
        </is>
      </c>
      <c r="U243" s="15" t="inlineStr">
        <is>
          <t>597 , 16</t>
        </is>
      </c>
      <c r="V243" s="15" t="inlineStr">
        <is>
          <t>);</t>
        </is>
      </c>
      <c r="X243" s="18">
        <f>EXACT(TRIM(L243&amp;""),O243&amp;"")</f>
        <v/>
      </c>
      <c r="Y243" s="18">
        <f>EXACT(TRIM(E243&amp;""),P243&amp;"")</f>
        <v/>
      </c>
      <c r="Z243" s="18">
        <f>AND(X243:Y243)</f>
        <v/>
      </c>
      <c r="AA243" s="19">
        <f>TRIM(IF(X243,"",$X$3&amp;" ")&amp;IF(Y243,"",$Y$3&amp;" "))</f>
        <v/>
      </c>
      <c r="AB243" s="18">
        <f>EXACT(SUBSTITUTE(M243," ",""),SUBSTITUTE(R243&amp;S243&amp;T243&amp;U243&amp;V243," ",""))</f>
        <v/>
      </c>
    </row>
    <row r="244">
      <c r="A244" s="15" t="inlineStr">
        <is>
          <t>INSERT INTO CNF_UNIT_FILTERING_TBL SELECT UNIT_ID, 1 FROM MST_UNIT_TBL WHERE UNIT_CODE = 'LF021';</t>
        </is>
      </c>
      <c r="B244" s="16" t="n"/>
      <c r="C244" s="15" t="inlineStr">
        <is>
          <t>CNF_UNIT_FILTERING_TBL</t>
        </is>
      </c>
      <c r="D244" s="15" t="inlineStr">
        <is>
          <t>UNIT_ID</t>
        </is>
      </c>
      <c r="E244" s="15" t="inlineStr">
        <is>
          <t>1</t>
        </is>
      </c>
      <c r="F244" s="15" t="inlineStr">
        <is>
          <t>MST_UNIT_TBL</t>
        </is>
      </c>
      <c r="G244" s="15" t="inlineStr">
        <is>
          <t>UNIT_CODE</t>
        </is>
      </c>
      <c r="H244" s="15" t="inlineStr">
        <is>
          <t>LF021</t>
        </is>
      </c>
      <c r="J244" s="15" t="inlineStr">
        <is>
          <t>LF021</t>
        </is>
      </c>
      <c r="K244" s="15" t="inlineStr">
        <is>
          <t>大阪支店</t>
        </is>
      </c>
      <c r="L244" s="15" t="inlineStr">
        <is>
          <t>598</t>
        </is>
      </c>
      <c r="M244" s="19">
        <f>"INSERT INTO "&amp;C244&amp;" VALUES("&amp;L244&amp;" , "&amp;E244&amp;");"</f>
        <v/>
      </c>
      <c r="O244" s="17" t="inlineStr">
        <is>
          <t>598</t>
        </is>
      </c>
      <c r="P244" s="17" t="inlineStr">
        <is>
          <t>1</t>
        </is>
      </c>
      <c r="R244" s="15" t="inlineStr">
        <is>
          <t>INSERT INTO</t>
        </is>
      </c>
      <c r="S244" s="15" t="inlineStr">
        <is>
          <t>CNF_UNIT_FILTERING_TBL</t>
        </is>
      </c>
      <c r="T244" s="15" t="inlineStr">
        <is>
          <t>VALUES(</t>
        </is>
      </c>
      <c r="U244" s="15" t="inlineStr">
        <is>
          <t>598 , 1</t>
        </is>
      </c>
      <c r="V244" s="15" t="inlineStr">
        <is>
          <t>);</t>
        </is>
      </c>
      <c r="X244" s="18">
        <f>EXACT(TRIM(L244&amp;""),O244&amp;"")</f>
        <v/>
      </c>
      <c r="Y244" s="18">
        <f>EXACT(TRIM(E244&amp;""),P244&amp;"")</f>
        <v/>
      </c>
      <c r="Z244" s="18">
        <f>AND(X244:Y244)</f>
        <v/>
      </c>
      <c r="AA244" s="19">
        <f>TRIM(IF(X244,"",$X$3&amp;" ")&amp;IF(Y244,"",$Y$3&amp;" "))</f>
        <v/>
      </c>
      <c r="AB244" s="18">
        <f>EXACT(SUBSTITUTE(M244," ",""),SUBSTITUTE(R244&amp;S244&amp;T244&amp;U244&amp;V244," ",""))</f>
        <v/>
      </c>
    </row>
    <row r="245">
      <c r="A245" s="15" t="inlineStr">
        <is>
          <t>INSERT INTO CNF_UNIT_FILTERING_TBL SELECT UNIT_ID, 4 FROM MST_UNIT_TBL WHERE UNIT_CODE = 'LF021';</t>
        </is>
      </c>
      <c r="B245" s="16" t="n"/>
      <c r="C245" s="15" t="inlineStr">
        <is>
          <t>CNF_UNIT_FILTERING_TBL</t>
        </is>
      </c>
      <c r="D245" s="15" t="inlineStr">
        <is>
          <t>UNIT_ID</t>
        </is>
      </c>
      <c r="E245" s="15" t="inlineStr">
        <is>
          <t>4</t>
        </is>
      </c>
      <c r="F245" s="15" t="inlineStr">
        <is>
          <t>MST_UNIT_TBL</t>
        </is>
      </c>
      <c r="G245" s="15" t="inlineStr">
        <is>
          <t>UNIT_CODE</t>
        </is>
      </c>
      <c r="H245" s="15" t="inlineStr">
        <is>
          <t>LF021</t>
        </is>
      </c>
      <c r="J245" s="15" t="inlineStr">
        <is>
          <t>LF021</t>
        </is>
      </c>
      <c r="K245" s="15" t="inlineStr">
        <is>
          <t>大阪支店</t>
        </is>
      </c>
      <c r="L245" s="15" t="inlineStr">
        <is>
          <t>598</t>
        </is>
      </c>
      <c r="M245" s="19">
        <f>"INSERT INTO "&amp;C245&amp;" VALUES("&amp;L245&amp;" , "&amp;E245&amp;");"</f>
        <v/>
      </c>
      <c r="O245" s="17" t="inlineStr">
        <is>
          <t>598</t>
        </is>
      </c>
      <c r="P245" s="17" t="inlineStr">
        <is>
          <t>4</t>
        </is>
      </c>
      <c r="R245" s="15" t="inlineStr">
        <is>
          <t>INSERT INTO</t>
        </is>
      </c>
      <c r="S245" s="15" t="inlineStr">
        <is>
          <t>CNF_UNIT_FILTERING_TBL</t>
        </is>
      </c>
      <c r="T245" s="15" t="inlineStr">
        <is>
          <t>VALUES(</t>
        </is>
      </c>
      <c r="U245" s="15" t="inlineStr">
        <is>
          <t>598 , 4</t>
        </is>
      </c>
      <c r="V245" s="15" t="inlineStr">
        <is>
          <t>);</t>
        </is>
      </c>
      <c r="X245" s="18">
        <f>EXACT(TRIM(L245&amp;""),O245&amp;"")</f>
        <v/>
      </c>
      <c r="Y245" s="18">
        <f>EXACT(TRIM(E245&amp;""),P245&amp;"")</f>
        <v/>
      </c>
      <c r="Z245" s="18">
        <f>AND(X245:Y245)</f>
        <v/>
      </c>
      <c r="AA245" s="19">
        <f>TRIM(IF(X245,"",$X$3&amp;" ")&amp;IF(Y245,"",$Y$3&amp;" "))</f>
        <v/>
      </c>
      <c r="AB245" s="18">
        <f>EXACT(SUBSTITUTE(M245," ",""),SUBSTITUTE(R245&amp;S245&amp;T245&amp;U245&amp;V245," ",""))</f>
        <v/>
      </c>
    </row>
    <row r="246">
      <c r="A246" s="15" t="inlineStr">
        <is>
          <t>INSERT INTO CNF_UNIT_FILTERING_TBL SELECT UNIT_ID, 5 FROM MST_UNIT_TBL WHERE UNIT_CODE = 'LF021';</t>
        </is>
      </c>
      <c r="B246" s="16" t="n"/>
      <c r="C246" s="15" t="inlineStr">
        <is>
          <t>CNF_UNIT_FILTERING_TBL</t>
        </is>
      </c>
      <c r="D246" s="15" t="inlineStr">
        <is>
          <t>UNIT_ID</t>
        </is>
      </c>
      <c r="E246" s="15" t="inlineStr">
        <is>
          <t>5</t>
        </is>
      </c>
      <c r="F246" s="15" t="inlineStr">
        <is>
          <t>MST_UNIT_TBL</t>
        </is>
      </c>
      <c r="G246" s="15" t="inlineStr">
        <is>
          <t>UNIT_CODE</t>
        </is>
      </c>
      <c r="H246" s="15" t="inlineStr">
        <is>
          <t>LF021</t>
        </is>
      </c>
      <c r="J246" s="15" t="inlineStr">
        <is>
          <t>LF021</t>
        </is>
      </c>
      <c r="K246" s="15" t="inlineStr">
        <is>
          <t>大阪支店</t>
        </is>
      </c>
      <c r="L246" s="15" t="inlineStr">
        <is>
          <t>598</t>
        </is>
      </c>
      <c r="M246" s="19">
        <f>"INSERT INTO "&amp;C246&amp;" VALUES("&amp;L246&amp;" , "&amp;E246&amp;");"</f>
        <v/>
      </c>
      <c r="O246" s="17" t="inlineStr">
        <is>
          <t>598</t>
        </is>
      </c>
      <c r="P246" s="17" t="inlineStr">
        <is>
          <t>5</t>
        </is>
      </c>
      <c r="R246" s="15" t="inlineStr">
        <is>
          <t>INSERT INTO</t>
        </is>
      </c>
      <c r="S246" s="15" t="inlineStr">
        <is>
          <t>CNF_UNIT_FILTERING_TBL</t>
        </is>
      </c>
      <c r="T246" s="15" t="inlineStr">
        <is>
          <t>VALUES(</t>
        </is>
      </c>
      <c r="U246" s="15" t="inlineStr">
        <is>
          <t>598 , 5</t>
        </is>
      </c>
      <c r="V246" s="15" t="inlineStr">
        <is>
          <t>);</t>
        </is>
      </c>
      <c r="X246" s="18">
        <f>EXACT(TRIM(L246&amp;""),O246&amp;"")</f>
        <v/>
      </c>
      <c r="Y246" s="18">
        <f>EXACT(TRIM(E246&amp;""),P246&amp;"")</f>
        <v/>
      </c>
      <c r="Z246" s="18">
        <f>AND(X246:Y246)</f>
        <v/>
      </c>
      <c r="AA246" s="19">
        <f>TRIM(IF(X246,"",$X$3&amp;" ")&amp;IF(Y246,"",$Y$3&amp;" "))</f>
        <v/>
      </c>
      <c r="AB246" s="18">
        <f>EXACT(SUBSTITUTE(M246," ",""),SUBSTITUTE(R246&amp;S246&amp;T246&amp;U246&amp;V246," ",""))</f>
        <v/>
      </c>
    </row>
    <row r="247">
      <c r="A247" s="15" t="inlineStr">
        <is>
          <t>INSERT INTO CNF_UNIT_FILTERING_TBL SELECT UNIT_ID, 7 FROM MST_UNIT_TBL WHERE UNIT_CODE = 'LF021';</t>
        </is>
      </c>
      <c r="B247" s="16" t="n"/>
      <c r="C247" s="15" t="inlineStr">
        <is>
          <t>CNF_UNIT_FILTERING_TBL</t>
        </is>
      </c>
      <c r="D247" s="15" t="inlineStr">
        <is>
          <t>UNIT_ID</t>
        </is>
      </c>
      <c r="E247" s="15" t="inlineStr">
        <is>
          <t>7</t>
        </is>
      </c>
      <c r="F247" s="15" t="inlineStr">
        <is>
          <t>MST_UNIT_TBL</t>
        </is>
      </c>
      <c r="G247" s="15" t="inlineStr">
        <is>
          <t>UNIT_CODE</t>
        </is>
      </c>
      <c r="H247" s="15" t="inlineStr">
        <is>
          <t>LF021</t>
        </is>
      </c>
      <c r="J247" s="15" t="inlineStr">
        <is>
          <t>LF021</t>
        </is>
      </c>
      <c r="K247" s="15" t="inlineStr">
        <is>
          <t>大阪支店</t>
        </is>
      </c>
      <c r="L247" s="15" t="inlineStr">
        <is>
          <t>598</t>
        </is>
      </c>
      <c r="M247" s="19">
        <f>"INSERT INTO "&amp;C247&amp;" VALUES("&amp;L247&amp;" , "&amp;E247&amp;");"</f>
        <v/>
      </c>
      <c r="O247" s="17" t="inlineStr">
        <is>
          <t>598</t>
        </is>
      </c>
      <c r="P247" s="17" t="inlineStr">
        <is>
          <t>7</t>
        </is>
      </c>
      <c r="R247" s="15" t="inlineStr">
        <is>
          <t>INSERT INTO</t>
        </is>
      </c>
      <c r="S247" s="15" t="inlineStr">
        <is>
          <t>CNF_UNIT_FILTERING_TBL</t>
        </is>
      </c>
      <c r="T247" s="15" t="inlineStr">
        <is>
          <t>VALUES(</t>
        </is>
      </c>
      <c r="U247" s="15" t="inlineStr">
        <is>
          <t>598 , 7</t>
        </is>
      </c>
      <c r="V247" s="15" t="inlineStr">
        <is>
          <t>);</t>
        </is>
      </c>
      <c r="X247" s="18">
        <f>EXACT(TRIM(L247&amp;""),O247&amp;"")</f>
        <v/>
      </c>
      <c r="Y247" s="18">
        <f>EXACT(TRIM(E247&amp;""),P247&amp;"")</f>
        <v/>
      </c>
      <c r="Z247" s="18">
        <f>AND(X247:Y247)</f>
        <v/>
      </c>
      <c r="AA247" s="19">
        <f>TRIM(IF(X247,"",$X$3&amp;" ")&amp;IF(Y247,"",$Y$3&amp;" "))</f>
        <v/>
      </c>
      <c r="AB247" s="18">
        <f>EXACT(SUBSTITUTE(M247," ",""),SUBSTITUTE(R247&amp;S247&amp;T247&amp;U247&amp;V247," ",""))</f>
        <v/>
      </c>
    </row>
    <row r="248">
      <c r="A248" s="15" t="inlineStr">
        <is>
          <t>INSERT INTO CNF_UNIT_FILTERING_TBL SELECT UNIT_ID, 8 FROM MST_UNIT_TBL WHERE UNIT_CODE = 'LF021';</t>
        </is>
      </c>
      <c r="B248" s="16" t="n"/>
      <c r="C248" s="15" t="inlineStr">
        <is>
          <t>CNF_UNIT_FILTERING_TBL</t>
        </is>
      </c>
      <c r="D248" s="15" t="inlineStr">
        <is>
          <t>UNIT_ID</t>
        </is>
      </c>
      <c r="E248" s="15" t="inlineStr">
        <is>
          <t>8</t>
        </is>
      </c>
      <c r="F248" s="15" t="inlineStr">
        <is>
          <t>MST_UNIT_TBL</t>
        </is>
      </c>
      <c r="G248" s="15" t="inlineStr">
        <is>
          <t>UNIT_CODE</t>
        </is>
      </c>
      <c r="H248" s="15" t="inlineStr">
        <is>
          <t>LF021</t>
        </is>
      </c>
      <c r="J248" s="15" t="inlineStr">
        <is>
          <t>LF021</t>
        </is>
      </c>
      <c r="K248" s="15" t="inlineStr">
        <is>
          <t>大阪支店</t>
        </is>
      </c>
      <c r="L248" s="15" t="inlineStr">
        <is>
          <t>598</t>
        </is>
      </c>
      <c r="M248" s="19">
        <f>"INSERT INTO "&amp;C248&amp;" VALUES("&amp;L248&amp;" , "&amp;E248&amp;");"</f>
        <v/>
      </c>
      <c r="O248" s="17" t="inlineStr">
        <is>
          <t>598</t>
        </is>
      </c>
      <c r="P248" s="17" t="inlineStr">
        <is>
          <t>8</t>
        </is>
      </c>
      <c r="R248" s="15" t="inlineStr">
        <is>
          <t>INSERT INTO</t>
        </is>
      </c>
      <c r="S248" s="15" t="inlineStr">
        <is>
          <t>CNF_UNIT_FILTERING_TBL</t>
        </is>
      </c>
      <c r="T248" s="15" t="inlineStr">
        <is>
          <t>VALUES(</t>
        </is>
      </c>
      <c r="U248" s="15" t="inlineStr">
        <is>
          <t>598 , 8</t>
        </is>
      </c>
      <c r="V248" s="15" t="inlineStr">
        <is>
          <t>);</t>
        </is>
      </c>
      <c r="X248" s="18">
        <f>EXACT(TRIM(L248&amp;""),O248&amp;"")</f>
        <v/>
      </c>
      <c r="Y248" s="18">
        <f>EXACT(TRIM(E248&amp;""),P248&amp;"")</f>
        <v/>
      </c>
      <c r="Z248" s="18">
        <f>AND(X248:Y248)</f>
        <v/>
      </c>
      <c r="AA248" s="19">
        <f>TRIM(IF(X248,"",$X$3&amp;" ")&amp;IF(Y248,"",$Y$3&amp;" "))</f>
        <v/>
      </c>
      <c r="AB248" s="18">
        <f>EXACT(SUBSTITUTE(M248," ",""),SUBSTITUTE(R248&amp;S248&amp;T248&amp;U248&amp;V248," ",""))</f>
        <v/>
      </c>
    </row>
    <row r="249">
      <c r="A249" s="15" t="inlineStr">
        <is>
          <t>INSERT INTO CNF_UNIT_FILTERING_TBL SELECT UNIT_ID, 9 FROM MST_UNIT_TBL WHERE UNIT_CODE = 'LF021';</t>
        </is>
      </c>
      <c r="B249" s="16" t="n"/>
      <c r="C249" s="15" t="inlineStr">
        <is>
          <t>CNF_UNIT_FILTERING_TBL</t>
        </is>
      </c>
      <c r="D249" s="15" t="inlineStr">
        <is>
          <t>UNIT_ID</t>
        </is>
      </c>
      <c r="E249" s="15" t="inlineStr">
        <is>
          <t>9</t>
        </is>
      </c>
      <c r="F249" s="15" t="inlineStr">
        <is>
          <t>MST_UNIT_TBL</t>
        </is>
      </c>
      <c r="G249" s="15" t="inlineStr">
        <is>
          <t>UNIT_CODE</t>
        </is>
      </c>
      <c r="H249" s="15" t="inlineStr">
        <is>
          <t>LF021</t>
        </is>
      </c>
      <c r="J249" s="15" t="inlineStr">
        <is>
          <t>LF021</t>
        </is>
      </c>
      <c r="K249" s="15" t="inlineStr">
        <is>
          <t>大阪支店</t>
        </is>
      </c>
      <c r="L249" s="15" t="inlineStr">
        <is>
          <t>598</t>
        </is>
      </c>
      <c r="M249" s="19">
        <f>"INSERT INTO "&amp;C249&amp;" VALUES("&amp;L249&amp;" , "&amp;E249&amp;");"</f>
        <v/>
      </c>
      <c r="O249" s="17" t="inlineStr">
        <is>
          <t>598</t>
        </is>
      </c>
      <c r="P249" s="17" t="inlineStr">
        <is>
          <t>9</t>
        </is>
      </c>
      <c r="R249" s="15" t="inlineStr">
        <is>
          <t>INSERT INTO</t>
        </is>
      </c>
      <c r="S249" s="15" t="inlineStr">
        <is>
          <t>CNF_UNIT_FILTERING_TBL</t>
        </is>
      </c>
      <c r="T249" s="15" t="inlineStr">
        <is>
          <t>VALUES(</t>
        </is>
      </c>
      <c r="U249" s="15" t="inlineStr">
        <is>
          <t>598 , 9</t>
        </is>
      </c>
      <c r="V249" s="15" t="inlineStr">
        <is>
          <t>);</t>
        </is>
      </c>
      <c r="X249" s="18">
        <f>EXACT(TRIM(L249&amp;""),O249&amp;"")</f>
        <v/>
      </c>
      <c r="Y249" s="18">
        <f>EXACT(TRIM(E249&amp;""),P249&amp;"")</f>
        <v/>
      </c>
      <c r="Z249" s="18">
        <f>AND(X249:Y249)</f>
        <v/>
      </c>
      <c r="AA249" s="19">
        <f>TRIM(IF(X249,"",$X$3&amp;" ")&amp;IF(Y249,"",$Y$3&amp;" "))</f>
        <v/>
      </c>
      <c r="AB249" s="18">
        <f>EXACT(SUBSTITUTE(M249," ",""),SUBSTITUTE(R249&amp;S249&amp;T249&amp;U249&amp;V249," ",""))</f>
        <v/>
      </c>
    </row>
    <row r="250">
      <c r="A250" s="15" t="inlineStr">
        <is>
          <t>INSERT INTO CNF_UNIT_FILTERING_TBL SELECT UNIT_ID, 11 FROM MST_UNIT_TBL WHERE UNIT_CODE = 'LF021';</t>
        </is>
      </c>
      <c r="B250" s="16" t="n"/>
      <c r="C250" s="15" t="inlineStr">
        <is>
          <t>CNF_UNIT_FILTERING_TBL</t>
        </is>
      </c>
      <c r="D250" s="15" t="inlineStr">
        <is>
          <t>UNIT_ID</t>
        </is>
      </c>
      <c r="E250" s="15" t="inlineStr">
        <is>
          <t>11</t>
        </is>
      </c>
      <c r="F250" s="15" t="inlineStr">
        <is>
          <t>MST_UNIT_TBL</t>
        </is>
      </c>
      <c r="G250" s="15" t="inlineStr">
        <is>
          <t>UNIT_CODE</t>
        </is>
      </c>
      <c r="H250" s="15" t="inlineStr">
        <is>
          <t>LF021</t>
        </is>
      </c>
      <c r="J250" s="15" t="inlineStr">
        <is>
          <t>LF021</t>
        </is>
      </c>
      <c r="K250" s="15" t="inlineStr">
        <is>
          <t>大阪支店</t>
        </is>
      </c>
      <c r="L250" s="15" t="inlineStr">
        <is>
          <t>598</t>
        </is>
      </c>
      <c r="M250" s="19">
        <f>"INSERT INTO "&amp;C250&amp;" VALUES("&amp;L250&amp;" , "&amp;E250&amp;");"</f>
        <v/>
      </c>
      <c r="O250" s="17" t="inlineStr">
        <is>
          <t>598</t>
        </is>
      </c>
      <c r="P250" s="17" t="inlineStr">
        <is>
          <t>11</t>
        </is>
      </c>
      <c r="R250" s="15" t="inlineStr">
        <is>
          <t>INSERT INTO</t>
        </is>
      </c>
      <c r="S250" s="15" t="inlineStr">
        <is>
          <t>CNF_UNIT_FILTERING_TBL</t>
        </is>
      </c>
      <c r="T250" s="15" t="inlineStr">
        <is>
          <t>VALUES(</t>
        </is>
      </c>
      <c r="U250" s="15" t="inlineStr">
        <is>
          <t>598 , 11</t>
        </is>
      </c>
      <c r="V250" s="15" t="inlineStr">
        <is>
          <t>);</t>
        </is>
      </c>
      <c r="X250" s="18">
        <f>EXACT(TRIM(L250&amp;""),O250&amp;"")</f>
        <v/>
      </c>
      <c r="Y250" s="18">
        <f>EXACT(TRIM(E250&amp;""),P250&amp;"")</f>
        <v/>
      </c>
      <c r="Z250" s="18">
        <f>AND(X250:Y250)</f>
        <v/>
      </c>
      <c r="AA250" s="19">
        <f>TRIM(IF(X250,"",$X$3&amp;" ")&amp;IF(Y250,"",$Y$3&amp;" "))</f>
        <v/>
      </c>
      <c r="AB250" s="18">
        <f>EXACT(SUBSTITUTE(M250," ",""),SUBSTITUTE(R250&amp;S250&amp;T250&amp;U250&amp;V250," ",""))</f>
        <v/>
      </c>
    </row>
    <row r="251">
      <c r="A251" s="15" t="inlineStr">
        <is>
          <t>INSERT INTO CNF_UNIT_FILTERING_TBL SELECT UNIT_ID, 12 FROM MST_UNIT_TBL WHERE UNIT_CODE = 'LF021';</t>
        </is>
      </c>
      <c r="B251" s="16" t="n"/>
      <c r="C251" s="15" t="inlineStr">
        <is>
          <t>CNF_UNIT_FILTERING_TBL</t>
        </is>
      </c>
      <c r="D251" s="15" t="inlineStr">
        <is>
          <t>UNIT_ID</t>
        </is>
      </c>
      <c r="E251" s="15" t="inlineStr">
        <is>
          <t>12</t>
        </is>
      </c>
      <c r="F251" s="15" t="inlineStr">
        <is>
          <t>MST_UNIT_TBL</t>
        </is>
      </c>
      <c r="G251" s="15" t="inlineStr">
        <is>
          <t>UNIT_CODE</t>
        </is>
      </c>
      <c r="H251" s="15" t="inlineStr">
        <is>
          <t>LF021</t>
        </is>
      </c>
      <c r="J251" s="15" t="inlineStr">
        <is>
          <t>LF021</t>
        </is>
      </c>
      <c r="K251" s="15" t="inlineStr">
        <is>
          <t>大阪支店</t>
        </is>
      </c>
      <c r="L251" s="15" t="inlineStr">
        <is>
          <t>598</t>
        </is>
      </c>
      <c r="M251" s="19">
        <f>"INSERT INTO "&amp;C251&amp;" VALUES("&amp;L251&amp;" , "&amp;E251&amp;");"</f>
        <v/>
      </c>
      <c r="O251" s="17" t="inlineStr">
        <is>
          <t>598</t>
        </is>
      </c>
      <c r="P251" s="17" t="inlineStr">
        <is>
          <t>12</t>
        </is>
      </c>
      <c r="R251" s="15" t="inlineStr">
        <is>
          <t>INSERT INTO</t>
        </is>
      </c>
      <c r="S251" s="15" t="inlineStr">
        <is>
          <t>CNF_UNIT_FILTERING_TBL</t>
        </is>
      </c>
      <c r="T251" s="15" t="inlineStr">
        <is>
          <t>VALUES(</t>
        </is>
      </c>
      <c r="U251" s="15" t="inlineStr">
        <is>
          <t>598 , 12</t>
        </is>
      </c>
      <c r="V251" s="15" t="inlineStr">
        <is>
          <t>);</t>
        </is>
      </c>
      <c r="X251" s="18">
        <f>EXACT(TRIM(L251&amp;""),O251&amp;"")</f>
        <v/>
      </c>
      <c r="Y251" s="18">
        <f>EXACT(TRIM(E251&amp;""),P251&amp;"")</f>
        <v/>
      </c>
      <c r="Z251" s="18">
        <f>AND(X251:Y251)</f>
        <v/>
      </c>
      <c r="AA251" s="19">
        <f>TRIM(IF(X251,"",$X$3&amp;" ")&amp;IF(Y251,"",$Y$3&amp;" "))</f>
        <v/>
      </c>
      <c r="AB251" s="18">
        <f>EXACT(SUBSTITUTE(M251," ",""),SUBSTITUTE(R251&amp;S251&amp;T251&amp;U251&amp;V251," ",""))</f>
        <v/>
      </c>
    </row>
    <row r="252">
      <c r="A252" s="15" t="inlineStr">
        <is>
          <t>INSERT INTO CNF_UNIT_FILTERING_TBL SELECT UNIT_ID, 13 FROM MST_UNIT_TBL WHERE UNIT_CODE = 'LF021';</t>
        </is>
      </c>
      <c r="B252" s="16" t="n"/>
      <c r="C252" s="15" t="inlineStr">
        <is>
          <t>CNF_UNIT_FILTERING_TBL</t>
        </is>
      </c>
      <c r="D252" s="15" t="inlineStr">
        <is>
          <t>UNIT_ID</t>
        </is>
      </c>
      <c r="E252" s="15" t="inlineStr">
        <is>
          <t>13</t>
        </is>
      </c>
      <c r="F252" s="15" t="inlineStr">
        <is>
          <t>MST_UNIT_TBL</t>
        </is>
      </c>
      <c r="G252" s="15" t="inlineStr">
        <is>
          <t>UNIT_CODE</t>
        </is>
      </c>
      <c r="H252" s="15" t="inlineStr">
        <is>
          <t>LF021</t>
        </is>
      </c>
      <c r="J252" s="15" t="inlineStr">
        <is>
          <t>LF021</t>
        </is>
      </c>
      <c r="K252" s="15" t="inlineStr">
        <is>
          <t>大阪支店</t>
        </is>
      </c>
      <c r="L252" s="15" t="inlineStr">
        <is>
          <t>598</t>
        </is>
      </c>
      <c r="M252" s="19">
        <f>"INSERT INTO "&amp;C252&amp;" VALUES("&amp;L252&amp;" , "&amp;E252&amp;");"</f>
        <v/>
      </c>
      <c r="O252" s="17" t="inlineStr">
        <is>
          <t>598</t>
        </is>
      </c>
      <c r="P252" s="17" t="inlineStr">
        <is>
          <t>13</t>
        </is>
      </c>
      <c r="R252" s="15" t="inlineStr">
        <is>
          <t>INSERT INTO</t>
        </is>
      </c>
      <c r="S252" s="15" t="inlineStr">
        <is>
          <t>CNF_UNIT_FILTERING_TBL</t>
        </is>
      </c>
      <c r="T252" s="15" t="inlineStr">
        <is>
          <t>VALUES(</t>
        </is>
      </c>
      <c r="U252" s="15" t="inlineStr">
        <is>
          <t>598 , 13</t>
        </is>
      </c>
      <c r="V252" s="15" t="inlineStr">
        <is>
          <t>);</t>
        </is>
      </c>
      <c r="X252" s="18">
        <f>EXACT(TRIM(L252&amp;""),O252&amp;"")</f>
        <v/>
      </c>
      <c r="Y252" s="18">
        <f>EXACT(TRIM(E252&amp;""),P252&amp;"")</f>
        <v/>
      </c>
      <c r="Z252" s="18">
        <f>AND(X252:Y252)</f>
        <v/>
      </c>
      <c r="AA252" s="19">
        <f>TRIM(IF(X252,"",$X$3&amp;" ")&amp;IF(Y252,"",$Y$3&amp;" "))</f>
        <v/>
      </c>
      <c r="AB252" s="18">
        <f>EXACT(SUBSTITUTE(M252," ",""),SUBSTITUTE(R252&amp;S252&amp;T252&amp;U252&amp;V252," ",""))</f>
        <v/>
      </c>
    </row>
    <row r="253">
      <c r="A253" s="15" t="inlineStr">
        <is>
          <t>INSERT INTO CNF_UNIT_FILTERING_TBL SELECT UNIT_ID, 14 FROM MST_UNIT_TBL WHERE UNIT_CODE = 'LF021';</t>
        </is>
      </c>
      <c r="B253" s="16" t="n"/>
      <c r="C253" s="15" t="inlineStr">
        <is>
          <t>CNF_UNIT_FILTERING_TBL</t>
        </is>
      </c>
      <c r="D253" s="15" t="inlineStr">
        <is>
          <t>UNIT_ID</t>
        </is>
      </c>
      <c r="E253" s="15" t="inlineStr">
        <is>
          <t>14</t>
        </is>
      </c>
      <c r="F253" s="15" t="inlineStr">
        <is>
          <t>MST_UNIT_TBL</t>
        </is>
      </c>
      <c r="G253" s="15" t="inlineStr">
        <is>
          <t>UNIT_CODE</t>
        </is>
      </c>
      <c r="H253" s="15" t="inlineStr">
        <is>
          <t>LF021</t>
        </is>
      </c>
      <c r="J253" s="15" t="inlineStr">
        <is>
          <t>LF021</t>
        </is>
      </c>
      <c r="K253" s="15" t="inlineStr">
        <is>
          <t>大阪支店</t>
        </is>
      </c>
      <c r="L253" s="15" t="inlineStr">
        <is>
          <t>598</t>
        </is>
      </c>
      <c r="M253" s="19">
        <f>"INSERT INTO "&amp;C253&amp;" VALUES("&amp;L253&amp;" , "&amp;E253&amp;");"</f>
        <v/>
      </c>
      <c r="O253" s="17" t="inlineStr">
        <is>
          <t>598</t>
        </is>
      </c>
      <c r="P253" s="17" t="inlineStr">
        <is>
          <t>14</t>
        </is>
      </c>
      <c r="R253" s="15" t="inlineStr">
        <is>
          <t>INSERT INTO</t>
        </is>
      </c>
      <c r="S253" s="15" t="inlineStr">
        <is>
          <t>CNF_UNIT_FILTERING_TBL</t>
        </is>
      </c>
      <c r="T253" s="15" t="inlineStr">
        <is>
          <t>VALUES(</t>
        </is>
      </c>
      <c r="U253" s="15" t="inlineStr">
        <is>
          <t>598 , 14</t>
        </is>
      </c>
      <c r="V253" s="15" t="inlineStr">
        <is>
          <t>);</t>
        </is>
      </c>
      <c r="X253" s="18">
        <f>EXACT(TRIM(L253&amp;""),O253&amp;"")</f>
        <v/>
      </c>
      <c r="Y253" s="18">
        <f>EXACT(TRIM(E253&amp;""),P253&amp;"")</f>
        <v/>
      </c>
      <c r="Z253" s="18">
        <f>AND(X253:Y253)</f>
        <v/>
      </c>
      <c r="AA253" s="19">
        <f>TRIM(IF(X253,"",$X$3&amp;" ")&amp;IF(Y253,"",$Y$3&amp;" "))</f>
        <v/>
      </c>
      <c r="AB253" s="18">
        <f>EXACT(SUBSTITUTE(M253," ",""),SUBSTITUTE(R253&amp;S253&amp;T253&amp;U253&amp;V253," ",""))</f>
        <v/>
      </c>
    </row>
    <row r="254">
      <c r="A254" s="15" t="inlineStr">
        <is>
          <t>INSERT INTO CNF_UNIT_FILTERING_TBL SELECT UNIT_ID, 15 FROM MST_UNIT_TBL WHERE UNIT_CODE = 'LF021';</t>
        </is>
      </c>
      <c r="B254" s="16" t="n"/>
      <c r="C254" s="15" t="inlineStr">
        <is>
          <t>CNF_UNIT_FILTERING_TBL</t>
        </is>
      </c>
      <c r="D254" s="15" t="inlineStr">
        <is>
          <t>UNIT_ID</t>
        </is>
      </c>
      <c r="E254" s="15" t="inlineStr">
        <is>
          <t>15</t>
        </is>
      </c>
      <c r="F254" s="15" t="inlineStr">
        <is>
          <t>MST_UNIT_TBL</t>
        </is>
      </c>
      <c r="G254" s="15" t="inlineStr">
        <is>
          <t>UNIT_CODE</t>
        </is>
      </c>
      <c r="H254" s="15" t="inlineStr">
        <is>
          <t>LF021</t>
        </is>
      </c>
      <c r="J254" s="15" t="inlineStr">
        <is>
          <t>LF021</t>
        </is>
      </c>
      <c r="K254" s="15" t="inlineStr">
        <is>
          <t>大阪支店</t>
        </is>
      </c>
      <c r="L254" s="15" t="inlineStr">
        <is>
          <t>598</t>
        </is>
      </c>
      <c r="M254" s="19">
        <f>"INSERT INTO "&amp;C254&amp;" VALUES("&amp;L254&amp;" , "&amp;E254&amp;");"</f>
        <v/>
      </c>
      <c r="O254" s="17" t="inlineStr">
        <is>
          <t>598</t>
        </is>
      </c>
      <c r="P254" s="17" t="inlineStr">
        <is>
          <t>15</t>
        </is>
      </c>
      <c r="R254" s="15" t="inlineStr">
        <is>
          <t>INSERT INTO</t>
        </is>
      </c>
      <c r="S254" s="15" t="inlineStr">
        <is>
          <t>CNF_UNIT_FILTERING_TBL</t>
        </is>
      </c>
      <c r="T254" s="15" t="inlineStr">
        <is>
          <t>VALUES(</t>
        </is>
      </c>
      <c r="U254" s="15" t="inlineStr">
        <is>
          <t>598 , 15</t>
        </is>
      </c>
      <c r="V254" s="15" t="inlineStr">
        <is>
          <t>);</t>
        </is>
      </c>
      <c r="X254" s="18">
        <f>EXACT(TRIM(L254&amp;""),O254&amp;"")</f>
        <v/>
      </c>
      <c r="Y254" s="18">
        <f>EXACT(TRIM(E254&amp;""),P254&amp;"")</f>
        <v/>
      </c>
      <c r="Z254" s="18">
        <f>AND(X254:Y254)</f>
        <v/>
      </c>
      <c r="AA254" s="19">
        <f>TRIM(IF(X254,"",$X$3&amp;" ")&amp;IF(Y254,"",$Y$3&amp;" "))</f>
        <v/>
      </c>
      <c r="AB254" s="18">
        <f>EXACT(SUBSTITUTE(M254," ",""),SUBSTITUTE(R254&amp;S254&amp;T254&amp;U254&amp;V254," ",""))</f>
        <v/>
      </c>
    </row>
    <row r="255">
      <c r="A255" s="15" t="inlineStr">
        <is>
          <t>INSERT INTO CNF_UNIT_FILTERING_TBL SELECT UNIT_ID, 16 FROM MST_UNIT_TBL WHERE UNIT_CODE = 'LF021';</t>
        </is>
      </c>
      <c r="B255" s="16" t="n"/>
      <c r="C255" s="15" t="inlineStr">
        <is>
          <t>CNF_UNIT_FILTERING_TBL</t>
        </is>
      </c>
      <c r="D255" s="15" t="inlineStr">
        <is>
          <t>UNIT_ID</t>
        </is>
      </c>
      <c r="E255" s="15" t="inlineStr">
        <is>
          <t>16</t>
        </is>
      </c>
      <c r="F255" s="15" t="inlineStr">
        <is>
          <t>MST_UNIT_TBL</t>
        </is>
      </c>
      <c r="G255" s="15" t="inlineStr">
        <is>
          <t>UNIT_CODE</t>
        </is>
      </c>
      <c r="H255" s="15" t="inlineStr">
        <is>
          <t>LF021</t>
        </is>
      </c>
      <c r="J255" s="15" t="inlineStr">
        <is>
          <t>LF021</t>
        </is>
      </c>
      <c r="K255" s="15" t="inlineStr">
        <is>
          <t>大阪支店</t>
        </is>
      </c>
      <c r="L255" s="15" t="inlineStr">
        <is>
          <t>598</t>
        </is>
      </c>
      <c r="M255" s="19">
        <f>"INSERT INTO "&amp;C255&amp;" VALUES("&amp;L255&amp;" , "&amp;E255&amp;");"</f>
        <v/>
      </c>
      <c r="O255" s="17" t="inlineStr">
        <is>
          <t>598</t>
        </is>
      </c>
      <c r="P255" s="17" t="inlineStr">
        <is>
          <t>16</t>
        </is>
      </c>
      <c r="R255" s="15" t="inlineStr">
        <is>
          <t>INSERT INTO</t>
        </is>
      </c>
      <c r="S255" s="15" t="inlineStr">
        <is>
          <t>CNF_UNIT_FILTERING_TBL</t>
        </is>
      </c>
      <c r="T255" s="15" t="inlineStr">
        <is>
          <t>VALUES(</t>
        </is>
      </c>
      <c r="U255" s="15" t="inlineStr">
        <is>
          <t>598 , 16</t>
        </is>
      </c>
      <c r="V255" s="15" t="inlineStr">
        <is>
          <t>);</t>
        </is>
      </c>
      <c r="X255" s="18">
        <f>EXACT(TRIM(L255&amp;""),O255&amp;"")</f>
        <v/>
      </c>
      <c r="Y255" s="18">
        <f>EXACT(TRIM(E255&amp;""),P255&amp;"")</f>
        <v/>
      </c>
      <c r="Z255" s="18">
        <f>AND(X255:Y255)</f>
        <v/>
      </c>
      <c r="AA255" s="19">
        <f>TRIM(IF(X255,"",$X$3&amp;" ")&amp;IF(Y255,"",$Y$3&amp;" "))</f>
        <v/>
      </c>
      <c r="AB255" s="18">
        <f>EXACT(SUBSTITUTE(M255," ",""),SUBSTITUTE(R255&amp;S255&amp;T255&amp;U255&amp;V255," ",""))</f>
        <v/>
      </c>
    </row>
    <row r="256">
      <c r="A256" s="15" t="inlineStr">
        <is>
          <t>INSERT INTO CNF_UNIT_FILTERING_TBL SELECT UNIT_ID, 1 FROM MST_UNIT_TBL WHERE UNIT_CODE = 'LF022';</t>
        </is>
      </c>
      <c r="B256" s="16" t="n"/>
      <c r="C256" s="15" t="inlineStr">
        <is>
          <t>CNF_UNIT_FILTERING_TBL</t>
        </is>
      </c>
      <c r="D256" s="15" t="inlineStr">
        <is>
          <t>UNIT_ID</t>
        </is>
      </c>
      <c r="E256" s="15" t="inlineStr">
        <is>
          <t>1</t>
        </is>
      </c>
      <c r="F256" s="15" t="inlineStr">
        <is>
          <t>MST_UNIT_TBL</t>
        </is>
      </c>
      <c r="G256" s="15" t="inlineStr">
        <is>
          <t>UNIT_CODE</t>
        </is>
      </c>
      <c r="H256" s="15" t="inlineStr">
        <is>
          <t>LF022</t>
        </is>
      </c>
      <c r="J256" s="15" t="inlineStr">
        <is>
          <t>LF022</t>
        </is>
      </c>
      <c r="K256" s="15" t="inlineStr">
        <is>
          <t>名古屋支店</t>
        </is>
      </c>
      <c r="L256" s="15" t="inlineStr">
        <is>
          <t>599</t>
        </is>
      </c>
      <c r="M256" s="19">
        <f>"INSERT INTO "&amp;C256&amp;" VALUES("&amp;L256&amp;" , "&amp;E256&amp;");"</f>
        <v/>
      </c>
      <c r="O256" s="17" t="inlineStr">
        <is>
          <t>599</t>
        </is>
      </c>
      <c r="P256" s="17" t="inlineStr">
        <is>
          <t>1</t>
        </is>
      </c>
      <c r="R256" s="15" t="inlineStr">
        <is>
          <t>INSERT INTO</t>
        </is>
      </c>
      <c r="S256" s="15" t="inlineStr">
        <is>
          <t>CNF_UNIT_FILTERING_TBL</t>
        </is>
      </c>
      <c r="T256" s="15" t="inlineStr">
        <is>
          <t>VALUES(</t>
        </is>
      </c>
      <c r="U256" s="15" t="inlineStr">
        <is>
          <t>599 , 1</t>
        </is>
      </c>
      <c r="V256" s="15" t="inlineStr">
        <is>
          <t>);</t>
        </is>
      </c>
      <c r="X256" s="18">
        <f>EXACT(TRIM(L256&amp;""),O256&amp;"")</f>
        <v/>
      </c>
      <c r="Y256" s="18">
        <f>EXACT(TRIM(E256&amp;""),P256&amp;"")</f>
        <v/>
      </c>
      <c r="Z256" s="18">
        <f>AND(X256:Y256)</f>
        <v/>
      </c>
      <c r="AA256" s="19">
        <f>TRIM(IF(X256,"",$X$3&amp;" ")&amp;IF(Y256,"",$Y$3&amp;" "))</f>
        <v/>
      </c>
      <c r="AB256" s="18">
        <f>EXACT(SUBSTITUTE(M256," ",""),SUBSTITUTE(R256&amp;S256&amp;T256&amp;U256&amp;V256," ",""))</f>
        <v/>
      </c>
    </row>
    <row r="257">
      <c r="A257" s="15" t="inlineStr">
        <is>
          <t>INSERT INTO CNF_UNIT_FILTERING_TBL SELECT UNIT_ID, 4 FROM MST_UNIT_TBL WHERE UNIT_CODE = 'LF022';</t>
        </is>
      </c>
      <c r="B257" s="16" t="n"/>
      <c r="C257" s="15" t="inlineStr">
        <is>
          <t>CNF_UNIT_FILTERING_TBL</t>
        </is>
      </c>
      <c r="D257" s="15" t="inlineStr">
        <is>
          <t>UNIT_ID</t>
        </is>
      </c>
      <c r="E257" s="15" t="inlineStr">
        <is>
          <t>4</t>
        </is>
      </c>
      <c r="F257" s="15" t="inlineStr">
        <is>
          <t>MST_UNIT_TBL</t>
        </is>
      </c>
      <c r="G257" s="15" t="inlineStr">
        <is>
          <t>UNIT_CODE</t>
        </is>
      </c>
      <c r="H257" s="15" t="inlineStr">
        <is>
          <t>LF022</t>
        </is>
      </c>
      <c r="J257" s="15" t="inlineStr">
        <is>
          <t>LF022</t>
        </is>
      </c>
      <c r="K257" s="15" t="inlineStr">
        <is>
          <t>名古屋支店</t>
        </is>
      </c>
      <c r="L257" s="15" t="inlineStr">
        <is>
          <t>599</t>
        </is>
      </c>
      <c r="M257" s="19">
        <f>"INSERT INTO "&amp;C257&amp;" VALUES("&amp;L257&amp;" , "&amp;E257&amp;");"</f>
        <v/>
      </c>
      <c r="O257" s="17" t="inlineStr">
        <is>
          <t>599</t>
        </is>
      </c>
      <c r="P257" s="17" t="inlineStr">
        <is>
          <t>4</t>
        </is>
      </c>
      <c r="R257" s="15" t="inlineStr">
        <is>
          <t>INSERT INTO</t>
        </is>
      </c>
      <c r="S257" s="15" t="inlineStr">
        <is>
          <t>CNF_UNIT_FILTERING_TBL</t>
        </is>
      </c>
      <c r="T257" s="15" t="inlineStr">
        <is>
          <t>VALUES(</t>
        </is>
      </c>
      <c r="U257" s="15" t="inlineStr">
        <is>
          <t>599 , 4</t>
        </is>
      </c>
      <c r="V257" s="15" t="inlineStr">
        <is>
          <t>);</t>
        </is>
      </c>
      <c r="X257" s="18">
        <f>EXACT(TRIM(L257&amp;""),O257&amp;"")</f>
        <v/>
      </c>
      <c r="Y257" s="18">
        <f>EXACT(TRIM(E257&amp;""),P257&amp;"")</f>
        <v/>
      </c>
      <c r="Z257" s="18">
        <f>AND(X257:Y257)</f>
        <v/>
      </c>
      <c r="AA257" s="19">
        <f>TRIM(IF(X257,"",$X$3&amp;" ")&amp;IF(Y257,"",$Y$3&amp;" "))</f>
        <v/>
      </c>
      <c r="AB257" s="18">
        <f>EXACT(SUBSTITUTE(M257," ",""),SUBSTITUTE(R257&amp;S257&amp;T257&amp;U257&amp;V257," ",""))</f>
        <v/>
      </c>
    </row>
    <row r="258">
      <c r="A258" s="15" t="inlineStr">
        <is>
          <t>INSERT INTO CNF_UNIT_FILTERING_TBL SELECT UNIT_ID, 5 FROM MST_UNIT_TBL WHERE UNIT_CODE = 'LF022';</t>
        </is>
      </c>
      <c r="B258" s="16" t="n"/>
      <c r="C258" s="15" t="inlineStr">
        <is>
          <t>CNF_UNIT_FILTERING_TBL</t>
        </is>
      </c>
      <c r="D258" s="15" t="inlineStr">
        <is>
          <t>UNIT_ID</t>
        </is>
      </c>
      <c r="E258" s="15" t="inlineStr">
        <is>
          <t>5</t>
        </is>
      </c>
      <c r="F258" s="15" t="inlineStr">
        <is>
          <t>MST_UNIT_TBL</t>
        </is>
      </c>
      <c r="G258" s="15" t="inlineStr">
        <is>
          <t>UNIT_CODE</t>
        </is>
      </c>
      <c r="H258" s="15" t="inlineStr">
        <is>
          <t>LF022</t>
        </is>
      </c>
      <c r="J258" s="15" t="inlineStr">
        <is>
          <t>LF022</t>
        </is>
      </c>
      <c r="K258" s="15" t="inlineStr">
        <is>
          <t>名古屋支店</t>
        </is>
      </c>
      <c r="L258" s="15" t="inlineStr">
        <is>
          <t>599</t>
        </is>
      </c>
      <c r="M258" s="19">
        <f>"INSERT INTO "&amp;C258&amp;" VALUES("&amp;L258&amp;" , "&amp;E258&amp;");"</f>
        <v/>
      </c>
      <c r="O258" s="17" t="inlineStr">
        <is>
          <t>599</t>
        </is>
      </c>
      <c r="P258" s="17" t="inlineStr">
        <is>
          <t>5</t>
        </is>
      </c>
      <c r="R258" s="15" t="inlineStr">
        <is>
          <t>INSERT INTO</t>
        </is>
      </c>
      <c r="S258" s="15" t="inlineStr">
        <is>
          <t>CNF_UNIT_FILTERING_TBL</t>
        </is>
      </c>
      <c r="T258" s="15" t="inlineStr">
        <is>
          <t>VALUES(</t>
        </is>
      </c>
      <c r="U258" s="15" t="inlineStr">
        <is>
          <t>599 , 5</t>
        </is>
      </c>
      <c r="V258" s="15" t="inlineStr">
        <is>
          <t>);</t>
        </is>
      </c>
      <c r="X258" s="18">
        <f>EXACT(TRIM(L258&amp;""),O258&amp;"")</f>
        <v/>
      </c>
      <c r="Y258" s="18">
        <f>EXACT(TRIM(E258&amp;""),P258&amp;"")</f>
        <v/>
      </c>
      <c r="Z258" s="18">
        <f>AND(X258:Y258)</f>
        <v/>
      </c>
      <c r="AA258" s="19">
        <f>TRIM(IF(X258,"",$X$3&amp;" ")&amp;IF(Y258,"",$Y$3&amp;" "))</f>
        <v/>
      </c>
      <c r="AB258" s="18">
        <f>EXACT(SUBSTITUTE(M258," ",""),SUBSTITUTE(R258&amp;S258&amp;T258&amp;U258&amp;V258," ",""))</f>
        <v/>
      </c>
    </row>
    <row r="259">
      <c r="A259" s="15" t="inlineStr">
        <is>
          <t>INSERT INTO CNF_UNIT_FILTERING_TBL SELECT UNIT_ID, 7 FROM MST_UNIT_TBL WHERE UNIT_CODE = 'LF022';</t>
        </is>
      </c>
      <c r="B259" s="16" t="n"/>
      <c r="C259" s="15" t="inlineStr">
        <is>
          <t>CNF_UNIT_FILTERING_TBL</t>
        </is>
      </c>
      <c r="D259" s="15" t="inlineStr">
        <is>
          <t>UNIT_ID</t>
        </is>
      </c>
      <c r="E259" s="15" t="inlineStr">
        <is>
          <t>7</t>
        </is>
      </c>
      <c r="F259" s="15" t="inlineStr">
        <is>
          <t>MST_UNIT_TBL</t>
        </is>
      </c>
      <c r="G259" s="15" t="inlineStr">
        <is>
          <t>UNIT_CODE</t>
        </is>
      </c>
      <c r="H259" s="15" t="inlineStr">
        <is>
          <t>LF022</t>
        </is>
      </c>
      <c r="J259" s="15" t="inlineStr">
        <is>
          <t>LF022</t>
        </is>
      </c>
      <c r="K259" s="15" t="inlineStr">
        <is>
          <t>名古屋支店</t>
        </is>
      </c>
      <c r="L259" s="15" t="inlineStr">
        <is>
          <t>599</t>
        </is>
      </c>
      <c r="M259" s="19">
        <f>"INSERT INTO "&amp;C259&amp;" VALUES("&amp;L259&amp;" , "&amp;E259&amp;");"</f>
        <v/>
      </c>
      <c r="O259" s="17" t="inlineStr">
        <is>
          <t>599</t>
        </is>
      </c>
      <c r="P259" s="17" t="inlineStr">
        <is>
          <t>7</t>
        </is>
      </c>
      <c r="R259" s="15" t="inlineStr">
        <is>
          <t>INSERT INTO</t>
        </is>
      </c>
      <c r="S259" s="15" t="inlineStr">
        <is>
          <t>CNF_UNIT_FILTERING_TBL</t>
        </is>
      </c>
      <c r="T259" s="15" t="inlineStr">
        <is>
          <t>VALUES(</t>
        </is>
      </c>
      <c r="U259" s="15" t="inlineStr">
        <is>
          <t>599 , 7</t>
        </is>
      </c>
      <c r="V259" s="15" t="inlineStr">
        <is>
          <t>);</t>
        </is>
      </c>
      <c r="X259" s="18">
        <f>EXACT(TRIM(L259&amp;""),O259&amp;"")</f>
        <v/>
      </c>
      <c r="Y259" s="18">
        <f>EXACT(TRIM(E259&amp;""),P259&amp;"")</f>
        <v/>
      </c>
      <c r="Z259" s="18">
        <f>AND(X259:Y259)</f>
        <v/>
      </c>
      <c r="AA259" s="19">
        <f>TRIM(IF(X259,"",$X$3&amp;" ")&amp;IF(Y259,"",$Y$3&amp;" "))</f>
        <v/>
      </c>
      <c r="AB259" s="18">
        <f>EXACT(SUBSTITUTE(M259," ",""),SUBSTITUTE(R259&amp;S259&amp;T259&amp;U259&amp;V259," ",""))</f>
        <v/>
      </c>
    </row>
    <row r="260">
      <c r="A260" s="15" t="inlineStr">
        <is>
          <t>INSERT INTO CNF_UNIT_FILTERING_TBL SELECT UNIT_ID, 8 FROM MST_UNIT_TBL WHERE UNIT_CODE = 'LF022';</t>
        </is>
      </c>
      <c r="B260" s="16" t="n"/>
      <c r="C260" s="15" t="inlineStr">
        <is>
          <t>CNF_UNIT_FILTERING_TBL</t>
        </is>
      </c>
      <c r="D260" s="15" t="inlineStr">
        <is>
          <t>UNIT_ID</t>
        </is>
      </c>
      <c r="E260" s="15" t="inlineStr">
        <is>
          <t>8</t>
        </is>
      </c>
      <c r="F260" s="15" t="inlineStr">
        <is>
          <t>MST_UNIT_TBL</t>
        </is>
      </c>
      <c r="G260" s="15" t="inlineStr">
        <is>
          <t>UNIT_CODE</t>
        </is>
      </c>
      <c r="H260" s="15" t="inlineStr">
        <is>
          <t>LF022</t>
        </is>
      </c>
      <c r="J260" s="15" t="inlineStr">
        <is>
          <t>LF022</t>
        </is>
      </c>
      <c r="K260" s="15" t="inlineStr">
        <is>
          <t>名古屋支店</t>
        </is>
      </c>
      <c r="L260" s="15" t="inlineStr">
        <is>
          <t>599</t>
        </is>
      </c>
      <c r="M260" s="19">
        <f>"INSERT INTO "&amp;C260&amp;" VALUES("&amp;L260&amp;" , "&amp;E260&amp;");"</f>
        <v/>
      </c>
      <c r="O260" s="17" t="inlineStr">
        <is>
          <t>599</t>
        </is>
      </c>
      <c r="P260" s="17" t="inlineStr">
        <is>
          <t>8</t>
        </is>
      </c>
      <c r="R260" s="15" t="inlineStr">
        <is>
          <t>INSERT INTO</t>
        </is>
      </c>
      <c r="S260" s="15" t="inlineStr">
        <is>
          <t>CNF_UNIT_FILTERING_TBL</t>
        </is>
      </c>
      <c r="T260" s="15" t="inlineStr">
        <is>
          <t>VALUES(</t>
        </is>
      </c>
      <c r="U260" s="15" t="inlineStr">
        <is>
          <t>599 , 8</t>
        </is>
      </c>
      <c r="V260" s="15" t="inlineStr">
        <is>
          <t>);</t>
        </is>
      </c>
      <c r="X260" s="18">
        <f>EXACT(TRIM(L260&amp;""),O260&amp;"")</f>
        <v/>
      </c>
      <c r="Y260" s="18">
        <f>EXACT(TRIM(E260&amp;""),P260&amp;"")</f>
        <v/>
      </c>
      <c r="Z260" s="18">
        <f>AND(X260:Y260)</f>
        <v/>
      </c>
      <c r="AA260" s="19">
        <f>TRIM(IF(X260,"",$X$3&amp;" ")&amp;IF(Y260,"",$Y$3&amp;" "))</f>
        <v/>
      </c>
      <c r="AB260" s="18">
        <f>EXACT(SUBSTITUTE(M260," ",""),SUBSTITUTE(R260&amp;S260&amp;T260&amp;U260&amp;V260," ",""))</f>
        <v/>
      </c>
    </row>
    <row r="261">
      <c r="A261" s="15" t="inlineStr">
        <is>
          <t>INSERT INTO CNF_UNIT_FILTERING_TBL SELECT UNIT_ID, 9 FROM MST_UNIT_TBL WHERE UNIT_CODE = 'LF022';</t>
        </is>
      </c>
      <c r="B261" s="16" t="n"/>
      <c r="C261" s="15" t="inlineStr">
        <is>
          <t>CNF_UNIT_FILTERING_TBL</t>
        </is>
      </c>
      <c r="D261" s="15" t="inlineStr">
        <is>
          <t>UNIT_ID</t>
        </is>
      </c>
      <c r="E261" s="15" t="inlineStr">
        <is>
          <t>9</t>
        </is>
      </c>
      <c r="F261" s="15" t="inlineStr">
        <is>
          <t>MST_UNIT_TBL</t>
        </is>
      </c>
      <c r="G261" s="15" t="inlineStr">
        <is>
          <t>UNIT_CODE</t>
        </is>
      </c>
      <c r="H261" s="15" t="inlineStr">
        <is>
          <t>LF022</t>
        </is>
      </c>
      <c r="J261" s="15" t="inlineStr">
        <is>
          <t>LF022</t>
        </is>
      </c>
      <c r="K261" s="15" t="inlineStr">
        <is>
          <t>名古屋支店</t>
        </is>
      </c>
      <c r="L261" s="15" t="inlineStr">
        <is>
          <t>599</t>
        </is>
      </c>
      <c r="M261" s="19">
        <f>"INSERT INTO "&amp;C261&amp;" VALUES("&amp;L261&amp;" , "&amp;E261&amp;");"</f>
        <v/>
      </c>
      <c r="O261" s="17" t="inlineStr">
        <is>
          <t>599</t>
        </is>
      </c>
      <c r="P261" s="17" t="inlineStr">
        <is>
          <t>9</t>
        </is>
      </c>
      <c r="R261" s="15" t="inlineStr">
        <is>
          <t>INSERT INTO</t>
        </is>
      </c>
      <c r="S261" s="15" t="inlineStr">
        <is>
          <t>CNF_UNIT_FILTERING_TBL</t>
        </is>
      </c>
      <c r="T261" s="15" t="inlineStr">
        <is>
          <t>VALUES(</t>
        </is>
      </c>
      <c r="U261" s="15" t="inlineStr">
        <is>
          <t>599 , 9</t>
        </is>
      </c>
      <c r="V261" s="15" t="inlineStr">
        <is>
          <t>);</t>
        </is>
      </c>
      <c r="X261" s="18">
        <f>EXACT(TRIM(L261&amp;""),O261&amp;"")</f>
        <v/>
      </c>
      <c r="Y261" s="18">
        <f>EXACT(TRIM(E261&amp;""),P261&amp;"")</f>
        <v/>
      </c>
      <c r="Z261" s="18">
        <f>AND(X261:Y261)</f>
        <v/>
      </c>
      <c r="AA261" s="19">
        <f>TRIM(IF(X261,"",$X$3&amp;" ")&amp;IF(Y261,"",$Y$3&amp;" "))</f>
        <v/>
      </c>
      <c r="AB261" s="18">
        <f>EXACT(SUBSTITUTE(M261," ",""),SUBSTITUTE(R261&amp;S261&amp;T261&amp;U261&amp;V261," ",""))</f>
        <v/>
      </c>
    </row>
    <row r="262">
      <c r="A262" s="15" t="inlineStr">
        <is>
          <t>INSERT INTO CNF_UNIT_FILTERING_TBL SELECT UNIT_ID, 11 FROM MST_UNIT_TBL WHERE UNIT_CODE = 'LF022';</t>
        </is>
      </c>
      <c r="B262" s="16" t="n"/>
      <c r="C262" s="15" t="inlineStr">
        <is>
          <t>CNF_UNIT_FILTERING_TBL</t>
        </is>
      </c>
      <c r="D262" s="15" t="inlineStr">
        <is>
          <t>UNIT_ID</t>
        </is>
      </c>
      <c r="E262" s="15" t="inlineStr">
        <is>
          <t>11</t>
        </is>
      </c>
      <c r="F262" s="15" t="inlineStr">
        <is>
          <t>MST_UNIT_TBL</t>
        </is>
      </c>
      <c r="G262" s="15" t="inlineStr">
        <is>
          <t>UNIT_CODE</t>
        </is>
      </c>
      <c r="H262" s="15" t="inlineStr">
        <is>
          <t>LF022</t>
        </is>
      </c>
      <c r="J262" s="15" t="inlineStr">
        <is>
          <t>LF022</t>
        </is>
      </c>
      <c r="K262" s="15" t="inlineStr">
        <is>
          <t>名古屋支店</t>
        </is>
      </c>
      <c r="L262" s="15" t="inlineStr">
        <is>
          <t>599</t>
        </is>
      </c>
      <c r="M262" s="19">
        <f>"INSERT INTO "&amp;C262&amp;" VALUES("&amp;L262&amp;" , "&amp;E262&amp;");"</f>
        <v/>
      </c>
      <c r="O262" s="17" t="inlineStr">
        <is>
          <t>599</t>
        </is>
      </c>
      <c r="P262" s="17" t="inlineStr">
        <is>
          <t>11</t>
        </is>
      </c>
      <c r="R262" s="15" t="inlineStr">
        <is>
          <t>INSERT INTO</t>
        </is>
      </c>
      <c r="S262" s="15" t="inlineStr">
        <is>
          <t>CNF_UNIT_FILTERING_TBL</t>
        </is>
      </c>
      <c r="T262" s="15" t="inlineStr">
        <is>
          <t>VALUES(</t>
        </is>
      </c>
      <c r="U262" s="15" t="inlineStr">
        <is>
          <t>599 , 11</t>
        </is>
      </c>
      <c r="V262" s="15" t="inlineStr">
        <is>
          <t>);</t>
        </is>
      </c>
      <c r="X262" s="18">
        <f>EXACT(TRIM(L262&amp;""),O262&amp;"")</f>
        <v/>
      </c>
      <c r="Y262" s="18">
        <f>EXACT(TRIM(E262&amp;""),P262&amp;"")</f>
        <v/>
      </c>
      <c r="Z262" s="18">
        <f>AND(X262:Y262)</f>
        <v/>
      </c>
      <c r="AA262" s="19">
        <f>TRIM(IF(X262,"",$X$3&amp;" ")&amp;IF(Y262,"",$Y$3&amp;" "))</f>
        <v/>
      </c>
      <c r="AB262" s="18">
        <f>EXACT(SUBSTITUTE(M262," ",""),SUBSTITUTE(R262&amp;S262&amp;T262&amp;U262&amp;V262," ",""))</f>
        <v/>
      </c>
    </row>
    <row r="263">
      <c r="A263" s="15" t="inlineStr">
        <is>
          <t>INSERT INTO CNF_UNIT_FILTERING_TBL SELECT UNIT_ID, 12 FROM MST_UNIT_TBL WHERE UNIT_CODE = 'LF022';</t>
        </is>
      </c>
      <c r="B263" s="16" t="n"/>
      <c r="C263" s="15" t="inlineStr">
        <is>
          <t>CNF_UNIT_FILTERING_TBL</t>
        </is>
      </c>
      <c r="D263" s="15" t="inlineStr">
        <is>
          <t>UNIT_ID</t>
        </is>
      </c>
      <c r="E263" s="15" t="inlineStr">
        <is>
          <t>12</t>
        </is>
      </c>
      <c r="F263" s="15" t="inlineStr">
        <is>
          <t>MST_UNIT_TBL</t>
        </is>
      </c>
      <c r="G263" s="15" t="inlineStr">
        <is>
          <t>UNIT_CODE</t>
        </is>
      </c>
      <c r="H263" s="15" t="inlineStr">
        <is>
          <t>LF022</t>
        </is>
      </c>
      <c r="J263" s="15" t="inlineStr">
        <is>
          <t>LF022</t>
        </is>
      </c>
      <c r="K263" s="15" t="inlineStr">
        <is>
          <t>名古屋支店</t>
        </is>
      </c>
      <c r="L263" s="15" t="inlineStr">
        <is>
          <t>599</t>
        </is>
      </c>
      <c r="M263" s="19">
        <f>"INSERT INTO "&amp;C263&amp;" VALUES("&amp;L263&amp;" , "&amp;E263&amp;");"</f>
        <v/>
      </c>
      <c r="O263" s="17" t="inlineStr">
        <is>
          <t>599</t>
        </is>
      </c>
      <c r="P263" s="17" t="inlineStr">
        <is>
          <t>12</t>
        </is>
      </c>
      <c r="R263" s="15" t="inlineStr">
        <is>
          <t>INSERT INTO</t>
        </is>
      </c>
      <c r="S263" s="15" t="inlineStr">
        <is>
          <t>CNF_UNIT_FILTERING_TBL</t>
        </is>
      </c>
      <c r="T263" s="15" t="inlineStr">
        <is>
          <t>VALUES(</t>
        </is>
      </c>
      <c r="U263" s="15" t="inlineStr">
        <is>
          <t>599 , 12</t>
        </is>
      </c>
      <c r="V263" s="15" t="inlineStr">
        <is>
          <t>);</t>
        </is>
      </c>
      <c r="X263" s="18">
        <f>EXACT(TRIM(L263&amp;""),O263&amp;"")</f>
        <v/>
      </c>
      <c r="Y263" s="18">
        <f>EXACT(TRIM(E263&amp;""),P263&amp;"")</f>
        <v/>
      </c>
      <c r="Z263" s="18">
        <f>AND(X263:Y263)</f>
        <v/>
      </c>
      <c r="AA263" s="19">
        <f>TRIM(IF(X263,"",$X$3&amp;" ")&amp;IF(Y263,"",$Y$3&amp;" "))</f>
        <v/>
      </c>
      <c r="AB263" s="18">
        <f>EXACT(SUBSTITUTE(M263," ",""),SUBSTITUTE(R263&amp;S263&amp;T263&amp;U263&amp;V263," ",""))</f>
        <v/>
      </c>
    </row>
    <row r="264">
      <c r="A264" s="15" t="inlineStr">
        <is>
          <t>INSERT INTO CNF_UNIT_FILTERING_TBL SELECT UNIT_ID, 13 FROM MST_UNIT_TBL WHERE UNIT_CODE = 'LF022';</t>
        </is>
      </c>
      <c r="B264" s="16" t="n"/>
      <c r="C264" s="15" t="inlineStr">
        <is>
          <t>CNF_UNIT_FILTERING_TBL</t>
        </is>
      </c>
      <c r="D264" s="15" t="inlineStr">
        <is>
          <t>UNIT_ID</t>
        </is>
      </c>
      <c r="E264" s="15" t="inlineStr">
        <is>
          <t>13</t>
        </is>
      </c>
      <c r="F264" s="15" t="inlineStr">
        <is>
          <t>MST_UNIT_TBL</t>
        </is>
      </c>
      <c r="G264" s="15" t="inlineStr">
        <is>
          <t>UNIT_CODE</t>
        </is>
      </c>
      <c r="H264" s="15" t="inlineStr">
        <is>
          <t>LF022</t>
        </is>
      </c>
      <c r="J264" s="15" t="inlineStr">
        <is>
          <t>LF022</t>
        </is>
      </c>
      <c r="K264" s="15" t="inlineStr">
        <is>
          <t>名古屋支店</t>
        </is>
      </c>
      <c r="L264" s="15" t="inlineStr">
        <is>
          <t>599</t>
        </is>
      </c>
      <c r="M264" s="19">
        <f>"INSERT INTO "&amp;C264&amp;" VALUES("&amp;L264&amp;" , "&amp;E264&amp;");"</f>
        <v/>
      </c>
      <c r="O264" s="17" t="inlineStr">
        <is>
          <t>599</t>
        </is>
      </c>
      <c r="P264" s="17" t="inlineStr">
        <is>
          <t>13</t>
        </is>
      </c>
      <c r="R264" s="15" t="inlineStr">
        <is>
          <t>INSERT INTO</t>
        </is>
      </c>
      <c r="S264" s="15" t="inlineStr">
        <is>
          <t>CNF_UNIT_FILTERING_TBL</t>
        </is>
      </c>
      <c r="T264" s="15" t="inlineStr">
        <is>
          <t>VALUES(</t>
        </is>
      </c>
      <c r="U264" s="15" t="inlineStr">
        <is>
          <t>599 , 13</t>
        </is>
      </c>
      <c r="V264" s="15" t="inlineStr">
        <is>
          <t>);</t>
        </is>
      </c>
      <c r="X264" s="18">
        <f>EXACT(TRIM(L264&amp;""),O264&amp;"")</f>
        <v/>
      </c>
      <c r="Y264" s="18">
        <f>EXACT(TRIM(E264&amp;""),P264&amp;"")</f>
        <v/>
      </c>
      <c r="Z264" s="18">
        <f>AND(X264:Y264)</f>
        <v/>
      </c>
      <c r="AA264" s="19">
        <f>TRIM(IF(X264,"",$X$3&amp;" ")&amp;IF(Y264,"",$Y$3&amp;" "))</f>
        <v/>
      </c>
      <c r="AB264" s="18">
        <f>EXACT(SUBSTITUTE(M264," ",""),SUBSTITUTE(R264&amp;S264&amp;T264&amp;U264&amp;V264," ",""))</f>
        <v/>
      </c>
    </row>
    <row r="265">
      <c r="A265" s="15" t="inlineStr">
        <is>
          <t>INSERT INTO CNF_UNIT_FILTERING_TBL SELECT UNIT_ID, 14 FROM MST_UNIT_TBL WHERE UNIT_CODE = 'LF022';</t>
        </is>
      </c>
      <c r="B265" s="16" t="n"/>
      <c r="C265" s="15" t="inlineStr">
        <is>
          <t>CNF_UNIT_FILTERING_TBL</t>
        </is>
      </c>
      <c r="D265" s="15" t="inlineStr">
        <is>
          <t>UNIT_ID</t>
        </is>
      </c>
      <c r="E265" s="15" t="inlineStr">
        <is>
          <t>14</t>
        </is>
      </c>
      <c r="F265" s="15" t="inlineStr">
        <is>
          <t>MST_UNIT_TBL</t>
        </is>
      </c>
      <c r="G265" s="15" t="inlineStr">
        <is>
          <t>UNIT_CODE</t>
        </is>
      </c>
      <c r="H265" s="15" t="inlineStr">
        <is>
          <t>LF022</t>
        </is>
      </c>
      <c r="J265" s="15" t="inlineStr">
        <is>
          <t>LF022</t>
        </is>
      </c>
      <c r="K265" s="15" t="inlineStr">
        <is>
          <t>名古屋支店</t>
        </is>
      </c>
      <c r="L265" s="15" t="inlineStr">
        <is>
          <t>599</t>
        </is>
      </c>
      <c r="M265" s="19">
        <f>"INSERT INTO "&amp;C265&amp;" VALUES("&amp;L265&amp;" , "&amp;E265&amp;");"</f>
        <v/>
      </c>
      <c r="O265" s="17" t="inlineStr">
        <is>
          <t>599</t>
        </is>
      </c>
      <c r="P265" s="17" t="inlineStr">
        <is>
          <t>14</t>
        </is>
      </c>
      <c r="R265" s="15" t="inlineStr">
        <is>
          <t>INSERT INTO</t>
        </is>
      </c>
      <c r="S265" s="15" t="inlineStr">
        <is>
          <t>CNF_UNIT_FILTERING_TBL</t>
        </is>
      </c>
      <c r="T265" s="15" t="inlineStr">
        <is>
          <t>VALUES(</t>
        </is>
      </c>
      <c r="U265" s="15" t="inlineStr">
        <is>
          <t>599 , 14</t>
        </is>
      </c>
      <c r="V265" s="15" t="inlineStr">
        <is>
          <t>);</t>
        </is>
      </c>
      <c r="X265" s="18">
        <f>EXACT(TRIM(L265&amp;""),O265&amp;"")</f>
        <v/>
      </c>
      <c r="Y265" s="18">
        <f>EXACT(TRIM(E265&amp;""),P265&amp;"")</f>
        <v/>
      </c>
      <c r="Z265" s="18">
        <f>AND(X265:Y265)</f>
        <v/>
      </c>
      <c r="AA265" s="19">
        <f>TRIM(IF(X265,"",$X$3&amp;" ")&amp;IF(Y265,"",$Y$3&amp;" "))</f>
        <v/>
      </c>
      <c r="AB265" s="18">
        <f>EXACT(SUBSTITUTE(M265," ",""),SUBSTITUTE(R265&amp;S265&amp;T265&amp;U265&amp;V265," ",""))</f>
        <v/>
      </c>
    </row>
    <row r="266">
      <c r="A266" s="15" t="inlineStr">
        <is>
          <t>INSERT INTO CNF_UNIT_FILTERING_TBL SELECT UNIT_ID, 15 FROM MST_UNIT_TBL WHERE UNIT_CODE = 'LF022';</t>
        </is>
      </c>
      <c r="B266" s="16" t="n"/>
      <c r="C266" s="15" t="inlineStr">
        <is>
          <t>CNF_UNIT_FILTERING_TBL</t>
        </is>
      </c>
      <c r="D266" s="15" t="inlineStr">
        <is>
          <t>UNIT_ID</t>
        </is>
      </c>
      <c r="E266" s="15" t="inlineStr">
        <is>
          <t>15</t>
        </is>
      </c>
      <c r="F266" s="15" t="inlineStr">
        <is>
          <t>MST_UNIT_TBL</t>
        </is>
      </c>
      <c r="G266" s="15" t="inlineStr">
        <is>
          <t>UNIT_CODE</t>
        </is>
      </c>
      <c r="H266" s="15" t="inlineStr">
        <is>
          <t>LF022</t>
        </is>
      </c>
      <c r="J266" s="15" t="inlineStr">
        <is>
          <t>LF022</t>
        </is>
      </c>
      <c r="K266" s="15" t="inlineStr">
        <is>
          <t>名古屋支店</t>
        </is>
      </c>
      <c r="L266" s="15" t="inlineStr">
        <is>
          <t>599</t>
        </is>
      </c>
      <c r="M266" s="19">
        <f>"INSERT INTO "&amp;C266&amp;" VALUES("&amp;L266&amp;" , "&amp;E266&amp;");"</f>
        <v/>
      </c>
      <c r="O266" s="17" t="inlineStr">
        <is>
          <t>599</t>
        </is>
      </c>
      <c r="P266" s="17" t="inlineStr">
        <is>
          <t>15</t>
        </is>
      </c>
      <c r="R266" s="15" t="inlineStr">
        <is>
          <t>INSERT INTO</t>
        </is>
      </c>
      <c r="S266" s="15" t="inlineStr">
        <is>
          <t>CNF_UNIT_FILTERING_TBL</t>
        </is>
      </c>
      <c r="T266" s="15" t="inlineStr">
        <is>
          <t>VALUES(</t>
        </is>
      </c>
      <c r="U266" s="15" t="inlineStr">
        <is>
          <t>599 , 15</t>
        </is>
      </c>
      <c r="V266" s="15" t="inlineStr">
        <is>
          <t>);</t>
        </is>
      </c>
      <c r="X266" s="18">
        <f>EXACT(TRIM(L266&amp;""),O266&amp;"")</f>
        <v/>
      </c>
      <c r="Y266" s="18">
        <f>EXACT(TRIM(E266&amp;""),P266&amp;"")</f>
        <v/>
      </c>
      <c r="Z266" s="18">
        <f>AND(X266:Y266)</f>
        <v/>
      </c>
      <c r="AA266" s="19">
        <f>TRIM(IF(X266,"",$X$3&amp;" ")&amp;IF(Y266,"",$Y$3&amp;" "))</f>
        <v/>
      </c>
      <c r="AB266" s="18">
        <f>EXACT(SUBSTITUTE(M266," ",""),SUBSTITUTE(R266&amp;S266&amp;T266&amp;U266&amp;V266," ",""))</f>
        <v/>
      </c>
    </row>
    <row r="267">
      <c r="A267" s="15" t="inlineStr">
        <is>
          <t>INSERT INTO CNF_UNIT_FILTERING_TBL SELECT UNIT_ID, 16 FROM MST_UNIT_TBL WHERE UNIT_CODE = 'LF022';</t>
        </is>
      </c>
      <c r="B267" s="16" t="n"/>
      <c r="C267" s="15" t="inlineStr">
        <is>
          <t>CNF_UNIT_FILTERING_TBL</t>
        </is>
      </c>
      <c r="D267" s="15" t="inlineStr">
        <is>
          <t>UNIT_ID</t>
        </is>
      </c>
      <c r="E267" s="15" t="inlineStr">
        <is>
          <t>16</t>
        </is>
      </c>
      <c r="F267" s="15" t="inlineStr">
        <is>
          <t>MST_UNIT_TBL</t>
        </is>
      </c>
      <c r="G267" s="15" t="inlineStr">
        <is>
          <t>UNIT_CODE</t>
        </is>
      </c>
      <c r="H267" s="15" t="inlineStr">
        <is>
          <t>LF022</t>
        </is>
      </c>
      <c r="J267" s="15" t="inlineStr">
        <is>
          <t>LF022</t>
        </is>
      </c>
      <c r="K267" s="15" t="inlineStr">
        <is>
          <t>名古屋支店</t>
        </is>
      </c>
      <c r="L267" s="15" t="inlineStr">
        <is>
          <t>599</t>
        </is>
      </c>
      <c r="M267" s="19">
        <f>"INSERT INTO "&amp;C267&amp;" VALUES("&amp;L267&amp;" , "&amp;E267&amp;");"</f>
        <v/>
      </c>
      <c r="O267" s="17" t="inlineStr">
        <is>
          <t>599</t>
        </is>
      </c>
      <c r="P267" s="17" t="inlineStr">
        <is>
          <t>16</t>
        </is>
      </c>
      <c r="R267" s="15" t="inlineStr">
        <is>
          <t>INSERT INTO</t>
        </is>
      </c>
      <c r="S267" s="15" t="inlineStr">
        <is>
          <t>CNF_UNIT_FILTERING_TBL</t>
        </is>
      </c>
      <c r="T267" s="15" t="inlineStr">
        <is>
          <t>VALUES(</t>
        </is>
      </c>
      <c r="U267" s="15" t="inlineStr">
        <is>
          <t>599 , 16</t>
        </is>
      </c>
      <c r="V267" s="15" t="inlineStr">
        <is>
          <t>);</t>
        </is>
      </c>
      <c r="X267" s="18">
        <f>EXACT(TRIM(L267&amp;""),O267&amp;"")</f>
        <v/>
      </c>
      <c r="Y267" s="18">
        <f>EXACT(TRIM(E267&amp;""),P267&amp;"")</f>
        <v/>
      </c>
      <c r="Z267" s="18">
        <f>AND(X267:Y267)</f>
        <v/>
      </c>
      <c r="AA267" s="19">
        <f>TRIM(IF(X267,"",$X$3&amp;" ")&amp;IF(Y267,"",$Y$3&amp;" "))</f>
        <v/>
      </c>
      <c r="AB267" s="18">
        <f>EXACT(SUBSTITUTE(M267," ",""),SUBSTITUTE(R267&amp;S267&amp;T267&amp;U267&amp;V267," ",""))</f>
        <v/>
      </c>
    </row>
    <row r="268">
      <c r="A268" s="15" t="inlineStr">
        <is>
          <t>INSERT INTO CNF_UNIT_FILTERING_TBL SELECT UNIT_ID, 1 FROM MST_UNIT_TBL WHERE UNIT_CODE = 'LF023';</t>
        </is>
      </c>
      <c r="B268" s="16" t="n"/>
      <c r="C268" s="15" t="inlineStr">
        <is>
          <t>CNF_UNIT_FILTERING_TBL</t>
        </is>
      </c>
      <c r="D268" s="15" t="inlineStr">
        <is>
          <t>UNIT_ID</t>
        </is>
      </c>
      <c r="E268" s="15" t="inlineStr">
        <is>
          <t>1</t>
        </is>
      </c>
      <c r="F268" s="15" t="inlineStr">
        <is>
          <t>MST_UNIT_TBL</t>
        </is>
      </c>
      <c r="G268" s="15" t="inlineStr">
        <is>
          <t>UNIT_CODE</t>
        </is>
      </c>
      <c r="H268" s="15" t="inlineStr">
        <is>
          <t>LF023</t>
        </is>
      </c>
      <c r="J268" s="15" t="inlineStr">
        <is>
          <t>LF023</t>
        </is>
      </c>
      <c r="K268" s="15" t="inlineStr">
        <is>
          <t>仙台支店</t>
        </is>
      </c>
      <c r="L268" s="15" t="inlineStr">
        <is>
          <t>600</t>
        </is>
      </c>
      <c r="M268" s="19">
        <f>"INSERT INTO "&amp;C268&amp;" VALUES("&amp;L268&amp;" , "&amp;E268&amp;");"</f>
        <v/>
      </c>
      <c r="O268" s="17" t="inlineStr">
        <is>
          <t>600</t>
        </is>
      </c>
      <c r="P268" s="17" t="inlineStr">
        <is>
          <t>1</t>
        </is>
      </c>
      <c r="R268" s="15" t="inlineStr">
        <is>
          <t>INSERT INTO</t>
        </is>
      </c>
      <c r="S268" s="15" t="inlineStr">
        <is>
          <t>CNF_UNIT_FILTERING_TBL</t>
        </is>
      </c>
      <c r="T268" s="15" t="inlineStr">
        <is>
          <t>VALUES(</t>
        </is>
      </c>
      <c r="U268" s="15" t="inlineStr">
        <is>
          <t>600 , 1</t>
        </is>
      </c>
      <c r="V268" s="15" t="inlineStr">
        <is>
          <t>);</t>
        </is>
      </c>
      <c r="X268" s="18">
        <f>EXACT(TRIM(L268&amp;""),O268&amp;"")</f>
        <v/>
      </c>
      <c r="Y268" s="18">
        <f>EXACT(TRIM(E268&amp;""),P268&amp;"")</f>
        <v/>
      </c>
      <c r="Z268" s="18">
        <f>AND(X268:Y268)</f>
        <v/>
      </c>
      <c r="AA268" s="19">
        <f>TRIM(IF(X268,"",$X$3&amp;" ")&amp;IF(Y268,"",$Y$3&amp;" "))</f>
        <v/>
      </c>
      <c r="AB268" s="18">
        <f>EXACT(SUBSTITUTE(M268," ",""),SUBSTITUTE(R268&amp;S268&amp;T268&amp;U268&amp;V268," ",""))</f>
        <v/>
      </c>
    </row>
    <row r="269">
      <c r="A269" s="15" t="inlineStr">
        <is>
          <t>INSERT INTO CNF_UNIT_FILTERING_TBL SELECT UNIT_ID, 4 FROM MST_UNIT_TBL WHERE UNIT_CODE = 'LF023';</t>
        </is>
      </c>
      <c r="B269" s="16" t="n"/>
      <c r="C269" s="15" t="inlineStr">
        <is>
          <t>CNF_UNIT_FILTERING_TBL</t>
        </is>
      </c>
      <c r="D269" s="15" t="inlineStr">
        <is>
          <t>UNIT_ID</t>
        </is>
      </c>
      <c r="E269" s="15" t="inlineStr">
        <is>
          <t>4</t>
        </is>
      </c>
      <c r="F269" s="15" t="inlineStr">
        <is>
          <t>MST_UNIT_TBL</t>
        </is>
      </c>
      <c r="G269" s="15" t="inlineStr">
        <is>
          <t>UNIT_CODE</t>
        </is>
      </c>
      <c r="H269" s="15" t="inlineStr">
        <is>
          <t>LF023</t>
        </is>
      </c>
      <c r="J269" s="15" t="inlineStr">
        <is>
          <t>LF023</t>
        </is>
      </c>
      <c r="K269" s="15" t="inlineStr">
        <is>
          <t>仙台支店</t>
        </is>
      </c>
      <c r="L269" s="15" t="inlineStr">
        <is>
          <t>600</t>
        </is>
      </c>
      <c r="M269" s="19">
        <f>"INSERT INTO "&amp;C269&amp;" VALUES("&amp;L269&amp;" , "&amp;E269&amp;");"</f>
        <v/>
      </c>
      <c r="O269" s="17" t="inlineStr">
        <is>
          <t>600</t>
        </is>
      </c>
      <c r="P269" s="17" t="inlineStr">
        <is>
          <t>4</t>
        </is>
      </c>
      <c r="R269" s="15" t="inlineStr">
        <is>
          <t>INSERT INTO</t>
        </is>
      </c>
      <c r="S269" s="15" t="inlineStr">
        <is>
          <t>CNF_UNIT_FILTERING_TBL</t>
        </is>
      </c>
      <c r="T269" s="15" t="inlineStr">
        <is>
          <t>VALUES(</t>
        </is>
      </c>
      <c r="U269" s="15" t="inlineStr">
        <is>
          <t>600 , 4</t>
        </is>
      </c>
      <c r="V269" s="15" t="inlineStr">
        <is>
          <t>);</t>
        </is>
      </c>
      <c r="X269" s="18">
        <f>EXACT(TRIM(L269&amp;""),O269&amp;"")</f>
        <v/>
      </c>
      <c r="Y269" s="18">
        <f>EXACT(TRIM(E269&amp;""),P269&amp;"")</f>
        <v/>
      </c>
      <c r="Z269" s="18">
        <f>AND(X269:Y269)</f>
        <v/>
      </c>
      <c r="AA269" s="19">
        <f>TRIM(IF(X269,"",$X$3&amp;" ")&amp;IF(Y269,"",$Y$3&amp;" "))</f>
        <v/>
      </c>
      <c r="AB269" s="18">
        <f>EXACT(SUBSTITUTE(M269," ",""),SUBSTITUTE(R269&amp;S269&amp;T269&amp;U269&amp;V269," ",""))</f>
        <v/>
      </c>
    </row>
    <row r="270">
      <c r="A270" s="15" t="inlineStr">
        <is>
          <t>INSERT INTO CNF_UNIT_FILTERING_TBL SELECT UNIT_ID, 5 FROM MST_UNIT_TBL WHERE UNIT_CODE = 'LF023';</t>
        </is>
      </c>
      <c r="B270" s="16" t="n"/>
      <c r="C270" s="15" t="inlineStr">
        <is>
          <t>CNF_UNIT_FILTERING_TBL</t>
        </is>
      </c>
      <c r="D270" s="15" t="inlineStr">
        <is>
          <t>UNIT_ID</t>
        </is>
      </c>
      <c r="E270" s="15" t="inlineStr">
        <is>
          <t>5</t>
        </is>
      </c>
      <c r="F270" s="15" t="inlineStr">
        <is>
          <t>MST_UNIT_TBL</t>
        </is>
      </c>
      <c r="G270" s="15" t="inlineStr">
        <is>
          <t>UNIT_CODE</t>
        </is>
      </c>
      <c r="H270" s="15" t="inlineStr">
        <is>
          <t>LF023</t>
        </is>
      </c>
      <c r="J270" s="15" t="inlineStr">
        <is>
          <t>LF023</t>
        </is>
      </c>
      <c r="K270" s="15" t="inlineStr">
        <is>
          <t>仙台支店</t>
        </is>
      </c>
      <c r="L270" s="15" t="inlineStr">
        <is>
          <t>600</t>
        </is>
      </c>
      <c r="M270" s="19">
        <f>"INSERT INTO "&amp;C270&amp;" VALUES("&amp;L270&amp;" , "&amp;E270&amp;");"</f>
        <v/>
      </c>
      <c r="O270" s="17" t="inlineStr">
        <is>
          <t>600</t>
        </is>
      </c>
      <c r="P270" s="17" t="inlineStr">
        <is>
          <t>5</t>
        </is>
      </c>
      <c r="R270" s="15" t="inlineStr">
        <is>
          <t>INSERT INTO</t>
        </is>
      </c>
      <c r="S270" s="15" t="inlineStr">
        <is>
          <t>CNF_UNIT_FILTERING_TBL</t>
        </is>
      </c>
      <c r="T270" s="15" t="inlineStr">
        <is>
          <t>VALUES(</t>
        </is>
      </c>
      <c r="U270" s="15" t="inlineStr">
        <is>
          <t>600 , 5</t>
        </is>
      </c>
      <c r="V270" s="15" t="inlineStr">
        <is>
          <t>);</t>
        </is>
      </c>
      <c r="X270" s="18">
        <f>EXACT(TRIM(L270&amp;""),O270&amp;"")</f>
        <v/>
      </c>
      <c r="Y270" s="18">
        <f>EXACT(TRIM(E270&amp;""),P270&amp;"")</f>
        <v/>
      </c>
      <c r="Z270" s="18">
        <f>AND(X270:Y270)</f>
        <v/>
      </c>
      <c r="AA270" s="19">
        <f>TRIM(IF(X270,"",$X$3&amp;" ")&amp;IF(Y270,"",$Y$3&amp;" "))</f>
        <v/>
      </c>
      <c r="AB270" s="18">
        <f>EXACT(SUBSTITUTE(M270," ",""),SUBSTITUTE(R270&amp;S270&amp;T270&amp;U270&amp;V270," ",""))</f>
        <v/>
      </c>
    </row>
    <row r="271">
      <c r="A271" s="15" t="inlineStr">
        <is>
          <t>INSERT INTO CNF_UNIT_FILTERING_TBL SELECT UNIT_ID, 7 FROM MST_UNIT_TBL WHERE UNIT_CODE = 'LF023';</t>
        </is>
      </c>
      <c r="B271" s="16" t="n"/>
      <c r="C271" s="15" t="inlineStr">
        <is>
          <t>CNF_UNIT_FILTERING_TBL</t>
        </is>
      </c>
      <c r="D271" s="15" t="inlineStr">
        <is>
          <t>UNIT_ID</t>
        </is>
      </c>
      <c r="E271" s="15" t="inlineStr">
        <is>
          <t>7</t>
        </is>
      </c>
      <c r="F271" s="15" t="inlineStr">
        <is>
          <t>MST_UNIT_TBL</t>
        </is>
      </c>
      <c r="G271" s="15" t="inlineStr">
        <is>
          <t>UNIT_CODE</t>
        </is>
      </c>
      <c r="H271" s="15" t="inlineStr">
        <is>
          <t>LF023</t>
        </is>
      </c>
      <c r="J271" s="15" t="inlineStr">
        <is>
          <t>LF023</t>
        </is>
      </c>
      <c r="K271" s="15" t="inlineStr">
        <is>
          <t>仙台支店</t>
        </is>
      </c>
      <c r="L271" s="15" t="inlineStr">
        <is>
          <t>600</t>
        </is>
      </c>
      <c r="M271" s="19">
        <f>"INSERT INTO "&amp;C271&amp;" VALUES("&amp;L271&amp;" , "&amp;E271&amp;");"</f>
        <v/>
      </c>
      <c r="O271" s="17" t="inlineStr">
        <is>
          <t>600</t>
        </is>
      </c>
      <c r="P271" s="17" t="inlineStr">
        <is>
          <t>7</t>
        </is>
      </c>
      <c r="R271" s="15" t="inlineStr">
        <is>
          <t>INSERT INTO</t>
        </is>
      </c>
      <c r="S271" s="15" t="inlineStr">
        <is>
          <t>CNF_UNIT_FILTERING_TBL</t>
        </is>
      </c>
      <c r="T271" s="15" t="inlineStr">
        <is>
          <t>VALUES(</t>
        </is>
      </c>
      <c r="U271" s="15" t="inlineStr">
        <is>
          <t>600 , 7</t>
        </is>
      </c>
      <c r="V271" s="15" t="inlineStr">
        <is>
          <t>);</t>
        </is>
      </c>
      <c r="X271" s="18">
        <f>EXACT(TRIM(L271&amp;""),O271&amp;"")</f>
        <v/>
      </c>
      <c r="Y271" s="18">
        <f>EXACT(TRIM(E271&amp;""),P271&amp;"")</f>
        <v/>
      </c>
      <c r="Z271" s="18">
        <f>AND(X271:Y271)</f>
        <v/>
      </c>
      <c r="AA271" s="19">
        <f>TRIM(IF(X271,"",$X$3&amp;" ")&amp;IF(Y271,"",$Y$3&amp;" "))</f>
        <v/>
      </c>
      <c r="AB271" s="18">
        <f>EXACT(SUBSTITUTE(M271," ",""),SUBSTITUTE(R271&amp;S271&amp;T271&amp;U271&amp;V271," ",""))</f>
        <v/>
      </c>
    </row>
    <row r="272">
      <c r="A272" s="15" t="inlineStr">
        <is>
          <t>INSERT INTO CNF_UNIT_FILTERING_TBL SELECT UNIT_ID, 8 FROM MST_UNIT_TBL WHERE UNIT_CODE = 'LF023';</t>
        </is>
      </c>
      <c r="B272" s="16" t="n"/>
      <c r="C272" s="15" t="inlineStr">
        <is>
          <t>CNF_UNIT_FILTERING_TBL</t>
        </is>
      </c>
      <c r="D272" s="15" t="inlineStr">
        <is>
          <t>UNIT_ID</t>
        </is>
      </c>
      <c r="E272" s="15" t="inlineStr">
        <is>
          <t>8</t>
        </is>
      </c>
      <c r="F272" s="15" t="inlineStr">
        <is>
          <t>MST_UNIT_TBL</t>
        </is>
      </c>
      <c r="G272" s="15" t="inlineStr">
        <is>
          <t>UNIT_CODE</t>
        </is>
      </c>
      <c r="H272" s="15" t="inlineStr">
        <is>
          <t>LF023</t>
        </is>
      </c>
      <c r="J272" s="15" t="inlineStr">
        <is>
          <t>LF023</t>
        </is>
      </c>
      <c r="K272" s="15" t="inlineStr">
        <is>
          <t>仙台支店</t>
        </is>
      </c>
      <c r="L272" s="15" t="inlineStr">
        <is>
          <t>600</t>
        </is>
      </c>
      <c r="M272" s="19">
        <f>"INSERT INTO "&amp;C272&amp;" VALUES("&amp;L272&amp;" , "&amp;E272&amp;");"</f>
        <v/>
      </c>
      <c r="O272" s="17" t="inlineStr">
        <is>
          <t>600</t>
        </is>
      </c>
      <c r="P272" s="17" t="inlineStr">
        <is>
          <t>8</t>
        </is>
      </c>
      <c r="R272" s="15" t="inlineStr">
        <is>
          <t>INSERT INTO</t>
        </is>
      </c>
      <c r="S272" s="15" t="inlineStr">
        <is>
          <t>CNF_UNIT_FILTERING_TBL</t>
        </is>
      </c>
      <c r="T272" s="15" t="inlineStr">
        <is>
          <t>VALUES(</t>
        </is>
      </c>
      <c r="U272" s="15" t="inlineStr">
        <is>
          <t>600 , 8</t>
        </is>
      </c>
      <c r="V272" s="15" t="inlineStr">
        <is>
          <t>);</t>
        </is>
      </c>
      <c r="X272" s="18">
        <f>EXACT(TRIM(L272&amp;""),O272&amp;"")</f>
        <v/>
      </c>
      <c r="Y272" s="18">
        <f>EXACT(TRIM(E272&amp;""),P272&amp;"")</f>
        <v/>
      </c>
      <c r="Z272" s="18">
        <f>AND(X272:Y272)</f>
        <v/>
      </c>
      <c r="AA272" s="19">
        <f>TRIM(IF(X272,"",$X$3&amp;" ")&amp;IF(Y272,"",$Y$3&amp;" "))</f>
        <v/>
      </c>
      <c r="AB272" s="18">
        <f>EXACT(SUBSTITUTE(M272," ",""),SUBSTITUTE(R272&amp;S272&amp;T272&amp;U272&amp;V272," ",""))</f>
        <v/>
      </c>
    </row>
    <row r="273">
      <c r="A273" s="15" t="inlineStr">
        <is>
          <t>INSERT INTO CNF_UNIT_FILTERING_TBL SELECT UNIT_ID, 9 FROM MST_UNIT_TBL WHERE UNIT_CODE = 'LF023';</t>
        </is>
      </c>
      <c r="B273" s="16" t="n"/>
      <c r="C273" s="15" t="inlineStr">
        <is>
          <t>CNF_UNIT_FILTERING_TBL</t>
        </is>
      </c>
      <c r="D273" s="15" t="inlineStr">
        <is>
          <t>UNIT_ID</t>
        </is>
      </c>
      <c r="E273" s="15" t="inlineStr">
        <is>
          <t>9</t>
        </is>
      </c>
      <c r="F273" s="15" t="inlineStr">
        <is>
          <t>MST_UNIT_TBL</t>
        </is>
      </c>
      <c r="G273" s="15" t="inlineStr">
        <is>
          <t>UNIT_CODE</t>
        </is>
      </c>
      <c r="H273" s="15" t="inlineStr">
        <is>
          <t>LF023</t>
        </is>
      </c>
      <c r="J273" s="15" t="inlineStr">
        <is>
          <t>LF023</t>
        </is>
      </c>
      <c r="K273" s="15" t="inlineStr">
        <is>
          <t>仙台支店</t>
        </is>
      </c>
      <c r="L273" s="15" t="inlineStr">
        <is>
          <t>600</t>
        </is>
      </c>
      <c r="M273" s="19">
        <f>"INSERT INTO "&amp;C273&amp;" VALUES("&amp;L273&amp;" , "&amp;E273&amp;");"</f>
        <v/>
      </c>
      <c r="O273" s="17" t="inlineStr">
        <is>
          <t>600</t>
        </is>
      </c>
      <c r="P273" s="17" t="inlineStr">
        <is>
          <t>9</t>
        </is>
      </c>
      <c r="R273" s="15" t="inlineStr">
        <is>
          <t>INSERT INTO</t>
        </is>
      </c>
      <c r="S273" s="15" t="inlineStr">
        <is>
          <t>CNF_UNIT_FILTERING_TBL</t>
        </is>
      </c>
      <c r="T273" s="15" t="inlineStr">
        <is>
          <t>VALUES(</t>
        </is>
      </c>
      <c r="U273" s="15" t="inlineStr">
        <is>
          <t>600 , 9</t>
        </is>
      </c>
      <c r="V273" s="15" t="inlineStr">
        <is>
          <t>);</t>
        </is>
      </c>
      <c r="X273" s="18">
        <f>EXACT(TRIM(L273&amp;""),O273&amp;"")</f>
        <v/>
      </c>
      <c r="Y273" s="18">
        <f>EXACT(TRIM(E273&amp;""),P273&amp;"")</f>
        <v/>
      </c>
      <c r="Z273" s="18">
        <f>AND(X273:Y273)</f>
        <v/>
      </c>
      <c r="AA273" s="19">
        <f>TRIM(IF(X273,"",$X$3&amp;" ")&amp;IF(Y273,"",$Y$3&amp;" "))</f>
        <v/>
      </c>
      <c r="AB273" s="18">
        <f>EXACT(SUBSTITUTE(M273," ",""),SUBSTITUTE(R273&amp;S273&amp;T273&amp;U273&amp;V273," ",""))</f>
        <v/>
      </c>
    </row>
    <row r="274">
      <c r="A274" s="15" t="inlineStr">
        <is>
          <t>INSERT INTO CNF_UNIT_FILTERING_TBL SELECT UNIT_ID, 11 FROM MST_UNIT_TBL WHERE UNIT_CODE = 'LF023';</t>
        </is>
      </c>
      <c r="B274" s="16" t="n"/>
      <c r="C274" s="15" t="inlineStr">
        <is>
          <t>CNF_UNIT_FILTERING_TBL</t>
        </is>
      </c>
      <c r="D274" s="15" t="inlineStr">
        <is>
          <t>UNIT_ID</t>
        </is>
      </c>
      <c r="E274" s="15" t="inlineStr">
        <is>
          <t>11</t>
        </is>
      </c>
      <c r="F274" s="15" t="inlineStr">
        <is>
          <t>MST_UNIT_TBL</t>
        </is>
      </c>
      <c r="G274" s="15" t="inlineStr">
        <is>
          <t>UNIT_CODE</t>
        </is>
      </c>
      <c r="H274" s="15" t="inlineStr">
        <is>
          <t>LF023</t>
        </is>
      </c>
      <c r="J274" s="15" t="inlineStr">
        <is>
          <t>LF023</t>
        </is>
      </c>
      <c r="K274" s="15" t="inlineStr">
        <is>
          <t>仙台支店</t>
        </is>
      </c>
      <c r="L274" s="15" t="inlineStr">
        <is>
          <t>600</t>
        </is>
      </c>
      <c r="M274" s="19">
        <f>"INSERT INTO "&amp;C274&amp;" VALUES("&amp;L274&amp;" , "&amp;E274&amp;");"</f>
        <v/>
      </c>
      <c r="O274" s="17" t="inlineStr">
        <is>
          <t>600</t>
        </is>
      </c>
      <c r="P274" s="17" t="inlineStr">
        <is>
          <t>11</t>
        </is>
      </c>
      <c r="R274" s="15" t="inlineStr">
        <is>
          <t>INSERT INTO</t>
        </is>
      </c>
      <c r="S274" s="15" t="inlineStr">
        <is>
          <t>CNF_UNIT_FILTERING_TBL</t>
        </is>
      </c>
      <c r="T274" s="15" t="inlineStr">
        <is>
          <t>VALUES(</t>
        </is>
      </c>
      <c r="U274" s="15" t="inlineStr">
        <is>
          <t>600 , 11</t>
        </is>
      </c>
      <c r="V274" s="15" t="inlineStr">
        <is>
          <t>);</t>
        </is>
      </c>
      <c r="X274" s="18">
        <f>EXACT(TRIM(L274&amp;""),O274&amp;"")</f>
        <v/>
      </c>
      <c r="Y274" s="18">
        <f>EXACT(TRIM(E274&amp;""),P274&amp;"")</f>
        <v/>
      </c>
      <c r="Z274" s="18">
        <f>AND(X274:Y274)</f>
        <v/>
      </c>
      <c r="AA274" s="19">
        <f>TRIM(IF(X274,"",$X$3&amp;" ")&amp;IF(Y274,"",$Y$3&amp;" "))</f>
        <v/>
      </c>
      <c r="AB274" s="18">
        <f>EXACT(SUBSTITUTE(M274," ",""),SUBSTITUTE(R274&amp;S274&amp;T274&amp;U274&amp;V274," ",""))</f>
        <v/>
      </c>
    </row>
    <row r="275">
      <c r="A275" s="15" t="inlineStr">
        <is>
          <t>INSERT INTO CNF_UNIT_FILTERING_TBL SELECT UNIT_ID, 12 FROM MST_UNIT_TBL WHERE UNIT_CODE = 'LF023';</t>
        </is>
      </c>
      <c r="B275" s="16" t="n"/>
      <c r="C275" s="15" t="inlineStr">
        <is>
          <t>CNF_UNIT_FILTERING_TBL</t>
        </is>
      </c>
      <c r="D275" s="15" t="inlineStr">
        <is>
          <t>UNIT_ID</t>
        </is>
      </c>
      <c r="E275" s="15" t="inlineStr">
        <is>
          <t>12</t>
        </is>
      </c>
      <c r="F275" s="15" t="inlineStr">
        <is>
          <t>MST_UNIT_TBL</t>
        </is>
      </c>
      <c r="G275" s="15" t="inlineStr">
        <is>
          <t>UNIT_CODE</t>
        </is>
      </c>
      <c r="H275" s="15" t="inlineStr">
        <is>
          <t>LF023</t>
        </is>
      </c>
      <c r="J275" s="15" t="inlineStr">
        <is>
          <t>LF023</t>
        </is>
      </c>
      <c r="K275" s="15" t="inlineStr">
        <is>
          <t>仙台支店</t>
        </is>
      </c>
      <c r="L275" s="15" t="inlineStr">
        <is>
          <t>600</t>
        </is>
      </c>
      <c r="M275" s="19">
        <f>"INSERT INTO "&amp;C275&amp;" VALUES("&amp;L275&amp;" , "&amp;E275&amp;");"</f>
        <v/>
      </c>
      <c r="O275" s="17" t="inlineStr">
        <is>
          <t>600</t>
        </is>
      </c>
      <c r="P275" s="17" t="inlineStr">
        <is>
          <t>12</t>
        </is>
      </c>
      <c r="R275" s="15" t="inlineStr">
        <is>
          <t>INSERT INTO</t>
        </is>
      </c>
      <c r="S275" s="15" t="inlineStr">
        <is>
          <t>CNF_UNIT_FILTERING_TBL</t>
        </is>
      </c>
      <c r="T275" s="15" t="inlineStr">
        <is>
          <t>VALUES(</t>
        </is>
      </c>
      <c r="U275" s="15" t="inlineStr">
        <is>
          <t>600 , 12</t>
        </is>
      </c>
      <c r="V275" s="15" t="inlineStr">
        <is>
          <t>);</t>
        </is>
      </c>
      <c r="X275" s="18">
        <f>EXACT(TRIM(L275&amp;""),O275&amp;"")</f>
        <v/>
      </c>
      <c r="Y275" s="18">
        <f>EXACT(TRIM(E275&amp;""),P275&amp;"")</f>
        <v/>
      </c>
      <c r="Z275" s="18">
        <f>AND(X275:Y275)</f>
        <v/>
      </c>
      <c r="AA275" s="19">
        <f>TRIM(IF(X275,"",$X$3&amp;" ")&amp;IF(Y275,"",$Y$3&amp;" "))</f>
        <v/>
      </c>
      <c r="AB275" s="18">
        <f>EXACT(SUBSTITUTE(M275," ",""),SUBSTITUTE(R275&amp;S275&amp;T275&amp;U275&amp;V275," ",""))</f>
        <v/>
      </c>
    </row>
    <row r="276">
      <c r="A276" s="15" t="inlineStr">
        <is>
          <t>INSERT INTO CNF_UNIT_FILTERING_TBL SELECT UNIT_ID, 13 FROM MST_UNIT_TBL WHERE UNIT_CODE = 'LF023';</t>
        </is>
      </c>
      <c r="B276" s="16" t="n"/>
      <c r="C276" s="15" t="inlineStr">
        <is>
          <t>CNF_UNIT_FILTERING_TBL</t>
        </is>
      </c>
      <c r="D276" s="15" t="inlineStr">
        <is>
          <t>UNIT_ID</t>
        </is>
      </c>
      <c r="E276" s="15" t="inlineStr">
        <is>
          <t>13</t>
        </is>
      </c>
      <c r="F276" s="15" t="inlineStr">
        <is>
          <t>MST_UNIT_TBL</t>
        </is>
      </c>
      <c r="G276" s="15" t="inlineStr">
        <is>
          <t>UNIT_CODE</t>
        </is>
      </c>
      <c r="H276" s="15" t="inlineStr">
        <is>
          <t>LF023</t>
        </is>
      </c>
      <c r="J276" s="15" t="inlineStr">
        <is>
          <t>LF023</t>
        </is>
      </c>
      <c r="K276" s="15" t="inlineStr">
        <is>
          <t>仙台支店</t>
        </is>
      </c>
      <c r="L276" s="15" t="inlineStr">
        <is>
          <t>600</t>
        </is>
      </c>
      <c r="M276" s="19">
        <f>"INSERT INTO "&amp;C276&amp;" VALUES("&amp;L276&amp;" , "&amp;E276&amp;");"</f>
        <v/>
      </c>
      <c r="O276" s="17" t="inlineStr">
        <is>
          <t>600</t>
        </is>
      </c>
      <c r="P276" s="17" t="inlineStr">
        <is>
          <t>13</t>
        </is>
      </c>
      <c r="R276" s="15" t="inlineStr">
        <is>
          <t>INSERT INTO</t>
        </is>
      </c>
      <c r="S276" s="15" t="inlineStr">
        <is>
          <t>CNF_UNIT_FILTERING_TBL</t>
        </is>
      </c>
      <c r="T276" s="15" t="inlineStr">
        <is>
          <t>VALUES(</t>
        </is>
      </c>
      <c r="U276" s="15" t="inlineStr">
        <is>
          <t>600 , 13</t>
        </is>
      </c>
      <c r="V276" s="15" t="inlineStr">
        <is>
          <t>);</t>
        </is>
      </c>
      <c r="X276" s="18">
        <f>EXACT(TRIM(L276&amp;""),O276&amp;"")</f>
        <v/>
      </c>
      <c r="Y276" s="18">
        <f>EXACT(TRIM(E276&amp;""),P276&amp;"")</f>
        <v/>
      </c>
      <c r="Z276" s="18">
        <f>AND(X276:Y276)</f>
        <v/>
      </c>
      <c r="AA276" s="19">
        <f>TRIM(IF(X276,"",$X$3&amp;" ")&amp;IF(Y276,"",$Y$3&amp;" "))</f>
        <v/>
      </c>
      <c r="AB276" s="18">
        <f>EXACT(SUBSTITUTE(M276," ",""),SUBSTITUTE(R276&amp;S276&amp;T276&amp;U276&amp;V276," ",""))</f>
        <v/>
      </c>
    </row>
    <row r="277">
      <c r="A277" s="15" t="inlineStr">
        <is>
          <t>INSERT INTO CNF_UNIT_FILTERING_TBL SELECT UNIT_ID, 14 FROM MST_UNIT_TBL WHERE UNIT_CODE = 'LF023';</t>
        </is>
      </c>
      <c r="B277" s="16" t="n"/>
      <c r="C277" s="15" t="inlineStr">
        <is>
          <t>CNF_UNIT_FILTERING_TBL</t>
        </is>
      </c>
      <c r="D277" s="15" t="inlineStr">
        <is>
          <t>UNIT_ID</t>
        </is>
      </c>
      <c r="E277" s="15" t="inlineStr">
        <is>
          <t>14</t>
        </is>
      </c>
      <c r="F277" s="15" t="inlineStr">
        <is>
          <t>MST_UNIT_TBL</t>
        </is>
      </c>
      <c r="G277" s="15" t="inlineStr">
        <is>
          <t>UNIT_CODE</t>
        </is>
      </c>
      <c r="H277" s="15" t="inlineStr">
        <is>
          <t>LF023</t>
        </is>
      </c>
      <c r="J277" s="15" t="inlineStr">
        <is>
          <t>LF023</t>
        </is>
      </c>
      <c r="K277" s="15" t="inlineStr">
        <is>
          <t>仙台支店</t>
        </is>
      </c>
      <c r="L277" s="15" t="inlineStr">
        <is>
          <t>600</t>
        </is>
      </c>
      <c r="M277" s="19">
        <f>"INSERT INTO "&amp;C277&amp;" VALUES("&amp;L277&amp;" , "&amp;E277&amp;");"</f>
        <v/>
      </c>
      <c r="O277" s="17" t="inlineStr">
        <is>
          <t>600</t>
        </is>
      </c>
      <c r="P277" s="17" t="inlineStr">
        <is>
          <t>14</t>
        </is>
      </c>
      <c r="R277" s="15" t="inlineStr">
        <is>
          <t>INSERT INTO</t>
        </is>
      </c>
      <c r="S277" s="15" t="inlineStr">
        <is>
          <t>CNF_UNIT_FILTERING_TBL</t>
        </is>
      </c>
      <c r="T277" s="15" t="inlineStr">
        <is>
          <t>VALUES(</t>
        </is>
      </c>
      <c r="U277" s="15" t="inlineStr">
        <is>
          <t>600 , 14</t>
        </is>
      </c>
      <c r="V277" s="15" t="inlineStr">
        <is>
          <t>);</t>
        </is>
      </c>
      <c r="X277" s="18">
        <f>EXACT(TRIM(L277&amp;""),O277&amp;"")</f>
        <v/>
      </c>
      <c r="Y277" s="18">
        <f>EXACT(TRIM(E277&amp;""),P277&amp;"")</f>
        <v/>
      </c>
      <c r="Z277" s="18">
        <f>AND(X277:Y277)</f>
        <v/>
      </c>
      <c r="AA277" s="19">
        <f>TRIM(IF(X277,"",$X$3&amp;" ")&amp;IF(Y277,"",$Y$3&amp;" "))</f>
        <v/>
      </c>
      <c r="AB277" s="18">
        <f>EXACT(SUBSTITUTE(M277," ",""),SUBSTITUTE(R277&amp;S277&amp;T277&amp;U277&amp;V277," ",""))</f>
        <v/>
      </c>
    </row>
    <row r="278">
      <c r="A278" s="15" t="inlineStr">
        <is>
          <t>INSERT INTO CNF_UNIT_FILTERING_TBL SELECT UNIT_ID, 15 FROM MST_UNIT_TBL WHERE UNIT_CODE = 'LF023';</t>
        </is>
      </c>
      <c r="B278" s="16" t="n"/>
      <c r="C278" s="15" t="inlineStr">
        <is>
          <t>CNF_UNIT_FILTERING_TBL</t>
        </is>
      </c>
      <c r="D278" s="15" t="inlineStr">
        <is>
          <t>UNIT_ID</t>
        </is>
      </c>
      <c r="E278" s="15" t="inlineStr">
        <is>
          <t>15</t>
        </is>
      </c>
      <c r="F278" s="15" t="inlineStr">
        <is>
          <t>MST_UNIT_TBL</t>
        </is>
      </c>
      <c r="G278" s="15" t="inlineStr">
        <is>
          <t>UNIT_CODE</t>
        </is>
      </c>
      <c r="H278" s="15" t="inlineStr">
        <is>
          <t>LF023</t>
        </is>
      </c>
      <c r="J278" s="15" t="inlineStr">
        <is>
          <t>LF023</t>
        </is>
      </c>
      <c r="K278" s="15" t="inlineStr">
        <is>
          <t>仙台支店</t>
        </is>
      </c>
      <c r="L278" s="15" t="inlineStr">
        <is>
          <t>600</t>
        </is>
      </c>
      <c r="M278" s="19">
        <f>"INSERT INTO "&amp;C278&amp;" VALUES("&amp;L278&amp;" , "&amp;E278&amp;");"</f>
        <v/>
      </c>
      <c r="O278" s="17" t="inlineStr">
        <is>
          <t>600</t>
        </is>
      </c>
      <c r="P278" s="17" t="inlineStr">
        <is>
          <t>15</t>
        </is>
      </c>
      <c r="R278" s="15" t="inlineStr">
        <is>
          <t>INSERT INTO</t>
        </is>
      </c>
      <c r="S278" s="15" t="inlineStr">
        <is>
          <t>CNF_UNIT_FILTERING_TBL</t>
        </is>
      </c>
      <c r="T278" s="15" t="inlineStr">
        <is>
          <t>VALUES(</t>
        </is>
      </c>
      <c r="U278" s="15" t="inlineStr">
        <is>
          <t>600 , 15</t>
        </is>
      </c>
      <c r="V278" s="15" t="inlineStr">
        <is>
          <t>);</t>
        </is>
      </c>
      <c r="X278" s="18">
        <f>EXACT(TRIM(L278&amp;""),O278&amp;"")</f>
        <v/>
      </c>
      <c r="Y278" s="18">
        <f>EXACT(TRIM(E278&amp;""),P278&amp;"")</f>
        <v/>
      </c>
      <c r="Z278" s="18">
        <f>AND(X278:Y278)</f>
        <v/>
      </c>
      <c r="AA278" s="19">
        <f>TRIM(IF(X278,"",$X$3&amp;" ")&amp;IF(Y278,"",$Y$3&amp;" "))</f>
        <v/>
      </c>
      <c r="AB278" s="18">
        <f>EXACT(SUBSTITUTE(M278," ",""),SUBSTITUTE(R278&amp;S278&amp;T278&amp;U278&amp;V278," ",""))</f>
        <v/>
      </c>
    </row>
    <row r="279">
      <c r="A279" s="15" t="inlineStr">
        <is>
          <t>INSERT INTO CNF_UNIT_FILTERING_TBL SELECT UNIT_ID, 16 FROM MST_UNIT_TBL WHERE UNIT_CODE = 'LF023';</t>
        </is>
      </c>
      <c r="B279" s="16" t="n"/>
      <c r="C279" s="15" t="inlineStr">
        <is>
          <t>CNF_UNIT_FILTERING_TBL</t>
        </is>
      </c>
      <c r="D279" s="15" t="inlineStr">
        <is>
          <t>UNIT_ID</t>
        </is>
      </c>
      <c r="E279" s="15" t="inlineStr">
        <is>
          <t>16</t>
        </is>
      </c>
      <c r="F279" s="15" t="inlineStr">
        <is>
          <t>MST_UNIT_TBL</t>
        </is>
      </c>
      <c r="G279" s="15" t="inlineStr">
        <is>
          <t>UNIT_CODE</t>
        </is>
      </c>
      <c r="H279" s="15" t="inlineStr">
        <is>
          <t>LF023</t>
        </is>
      </c>
      <c r="J279" s="15" t="inlineStr">
        <is>
          <t>LF023</t>
        </is>
      </c>
      <c r="K279" s="15" t="inlineStr">
        <is>
          <t>仙台支店</t>
        </is>
      </c>
      <c r="L279" s="15" t="inlineStr">
        <is>
          <t>600</t>
        </is>
      </c>
      <c r="M279" s="19">
        <f>"INSERT INTO "&amp;C279&amp;" VALUES("&amp;L279&amp;" , "&amp;E279&amp;");"</f>
        <v/>
      </c>
      <c r="O279" s="17" t="inlineStr">
        <is>
          <t>600</t>
        </is>
      </c>
      <c r="P279" s="17" t="inlineStr">
        <is>
          <t>16</t>
        </is>
      </c>
      <c r="R279" s="15" t="inlineStr">
        <is>
          <t>INSERT INTO</t>
        </is>
      </c>
      <c r="S279" s="15" t="inlineStr">
        <is>
          <t>CNF_UNIT_FILTERING_TBL</t>
        </is>
      </c>
      <c r="T279" s="15" t="inlineStr">
        <is>
          <t>VALUES(</t>
        </is>
      </c>
      <c r="U279" s="15" t="inlineStr">
        <is>
          <t>600 , 16</t>
        </is>
      </c>
      <c r="V279" s="15" t="inlineStr">
        <is>
          <t>);</t>
        </is>
      </c>
      <c r="X279" s="18">
        <f>EXACT(TRIM(L279&amp;""),O279&amp;"")</f>
        <v/>
      </c>
      <c r="Y279" s="18">
        <f>EXACT(TRIM(E279&amp;""),P279&amp;"")</f>
        <v/>
      </c>
      <c r="Z279" s="18">
        <f>AND(X279:Y279)</f>
        <v/>
      </c>
      <c r="AA279" s="19">
        <f>TRIM(IF(X279,"",$X$3&amp;" ")&amp;IF(Y279,"",$Y$3&amp;" "))</f>
        <v/>
      </c>
      <c r="AB279" s="18">
        <f>EXACT(SUBSTITUTE(M279," ",""),SUBSTITUTE(R279&amp;S279&amp;T279&amp;U279&amp;V279," ",""))</f>
        <v/>
      </c>
    </row>
    <row r="280">
      <c r="A280" s="15" t="inlineStr">
        <is>
          <t>INSERT INTO CNF_UNIT_FILTERING_TBL SELECT UNIT_ID, 1 FROM MST_UNIT_TBL WHERE UNIT_CODE = 'LF024';</t>
        </is>
      </c>
      <c r="B280" s="16" t="n"/>
      <c r="C280" s="15" t="inlineStr">
        <is>
          <t>CNF_UNIT_FILTERING_TBL</t>
        </is>
      </c>
      <c r="D280" s="15" t="inlineStr">
        <is>
          <t>UNIT_ID</t>
        </is>
      </c>
      <c r="E280" s="15" t="inlineStr">
        <is>
          <t>1</t>
        </is>
      </c>
      <c r="F280" s="15" t="inlineStr">
        <is>
          <t>MST_UNIT_TBL</t>
        </is>
      </c>
      <c r="G280" s="15" t="inlineStr">
        <is>
          <t>UNIT_CODE</t>
        </is>
      </c>
      <c r="H280" s="15" t="inlineStr">
        <is>
          <t>LF024</t>
        </is>
      </c>
      <c r="J280" s="15" t="inlineStr">
        <is>
          <t>LF024</t>
        </is>
      </c>
      <c r="K280" s="15" t="inlineStr">
        <is>
          <t>福岡支店</t>
        </is>
      </c>
      <c r="L280" s="15" t="inlineStr">
        <is>
          <t>601</t>
        </is>
      </c>
      <c r="M280" s="19">
        <f>"INSERT INTO "&amp;C280&amp;" VALUES("&amp;L280&amp;" , "&amp;E280&amp;");"</f>
        <v/>
      </c>
      <c r="O280" s="17" t="inlineStr">
        <is>
          <t>601</t>
        </is>
      </c>
      <c r="P280" s="17" t="inlineStr">
        <is>
          <t>1</t>
        </is>
      </c>
      <c r="R280" s="15" t="inlineStr">
        <is>
          <t>INSERT INTO</t>
        </is>
      </c>
      <c r="S280" s="15" t="inlineStr">
        <is>
          <t>CNF_UNIT_FILTERING_TBL</t>
        </is>
      </c>
      <c r="T280" s="15" t="inlineStr">
        <is>
          <t>VALUES(</t>
        </is>
      </c>
      <c r="U280" s="15" t="inlineStr">
        <is>
          <t>601 , 1</t>
        </is>
      </c>
      <c r="V280" s="15" t="inlineStr">
        <is>
          <t>);</t>
        </is>
      </c>
      <c r="X280" s="18">
        <f>EXACT(TRIM(L280&amp;""),O280&amp;"")</f>
        <v/>
      </c>
      <c r="Y280" s="18">
        <f>EXACT(TRIM(E280&amp;""),P280&amp;"")</f>
        <v/>
      </c>
      <c r="Z280" s="18">
        <f>AND(X280:Y280)</f>
        <v/>
      </c>
      <c r="AA280" s="19">
        <f>TRIM(IF(X280,"",$X$3&amp;" ")&amp;IF(Y280,"",$Y$3&amp;" "))</f>
        <v/>
      </c>
      <c r="AB280" s="18">
        <f>EXACT(SUBSTITUTE(M280," ",""),SUBSTITUTE(R280&amp;S280&amp;T280&amp;U280&amp;V280," ",""))</f>
        <v/>
      </c>
    </row>
    <row r="281">
      <c r="A281" s="15" t="inlineStr">
        <is>
          <t>INSERT INTO CNF_UNIT_FILTERING_TBL SELECT UNIT_ID, 4 FROM MST_UNIT_TBL WHERE UNIT_CODE = 'LF024';</t>
        </is>
      </c>
      <c r="B281" s="16" t="n"/>
      <c r="C281" s="15" t="inlineStr">
        <is>
          <t>CNF_UNIT_FILTERING_TBL</t>
        </is>
      </c>
      <c r="D281" s="15" t="inlineStr">
        <is>
          <t>UNIT_ID</t>
        </is>
      </c>
      <c r="E281" s="15" t="inlineStr">
        <is>
          <t>4</t>
        </is>
      </c>
      <c r="F281" s="15" t="inlineStr">
        <is>
          <t>MST_UNIT_TBL</t>
        </is>
      </c>
      <c r="G281" s="15" t="inlineStr">
        <is>
          <t>UNIT_CODE</t>
        </is>
      </c>
      <c r="H281" s="15" t="inlineStr">
        <is>
          <t>LF024</t>
        </is>
      </c>
      <c r="J281" s="15" t="inlineStr">
        <is>
          <t>LF024</t>
        </is>
      </c>
      <c r="K281" s="15" t="inlineStr">
        <is>
          <t>福岡支店</t>
        </is>
      </c>
      <c r="L281" s="15" t="inlineStr">
        <is>
          <t>601</t>
        </is>
      </c>
      <c r="M281" s="19">
        <f>"INSERT INTO "&amp;C281&amp;" VALUES("&amp;L281&amp;" , "&amp;E281&amp;");"</f>
        <v/>
      </c>
      <c r="O281" s="17" t="inlineStr">
        <is>
          <t>601</t>
        </is>
      </c>
      <c r="P281" s="17" t="inlineStr">
        <is>
          <t>4</t>
        </is>
      </c>
      <c r="R281" s="15" t="inlineStr">
        <is>
          <t>INSERT INTO</t>
        </is>
      </c>
      <c r="S281" s="15" t="inlineStr">
        <is>
          <t>CNF_UNIT_FILTERING_TBL</t>
        </is>
      </c>
      <c r="T281" s="15" t="inlineStr">
        <is>
          <t>VALUES(</t>
        </is>
      </c>
      <c r="U281" s="15" t="inlineStr">
        <is>
          <t>601 , 4</t>
        </is>
      </c>
      <c r="V281" s="15" t="inlineStr">
        <is>
          <t>);</t>
        </is>
      </c>
      <c r="X281" s="18">
        <f>EXACT(TRIM(L281&amp;""),O281&amp;"")</f>
        <v/>
      </c>
      <c r="Y281" s="18">
        <f>EXACT(TRIM(E281&amp;""),P281&amp;"")</f>
        <v/>
      </c>
      <c r="Z281" s="18">
        <f>AND(X281:Y281)</f>
        <v/>
      </c>
      <c r="AA281" s="19">
        <f>TRIM(IF(X281,"",$X$3&amp;" ")&amp;IF(Y281,"",$Y$3&amp;" "))</f>
        <v/>
      </c>
      <c r="AB281" s="18">
        <f>EXACT(SUBSTITUTE(M281," ",""),SUBSTITUTE(R281&amp;S281&amp;T281&amp;U281&amp;V281," ",""))</f>
        <v/>
      </c>
    </row>
    <row r="282">
      <c r="A282" s="15" t="inlineStr">
        <is>
          <t>INSERT INTO CNF_UNIT_FILTERING_TBL SELECT UNIT_ID, 5 FROM MST_UNIT_TBL WHERE UNIT_CODE = 'LF024';</t>
        </is>
      </c>
      <c r="B282" s="16" t="n"/>
      <c r="C282" s="15" t="inlineStr">
        <is>
          <t>CNF_UNIT_FILTERING_TBL</t>
        </is>
      </c>
      <c r="D282" s="15" t="inlineStr">
        <is>
          <t>UNIT_ID</t>
        </is>
      </c>
      <c r="E282" s="15" t="inlineStr">
        <is>
          <t>5</t>
        </is>
      </c>
      <c r="F282" s="15" t="inlineStr">
        <is>
          <t>MST_UNIT_TBL</t>
        </is>
      </c>
      <c r="G282" s="15" t="inlineStr">
        <is>
          <t>UNIT_CODE</t>
        </is>
      </c>
      <c r="H282" s="15" t="inlineStr">
        <is>
          <t>LF024</t>
        </is>
      </c>
      <c r="J282" s="15" t="inlineStr">
        <is>
          <t>LF024</t>
        </is>
      </c>
      <c r="K282" s="15" t="inlineStr">
        <is>
          <t>福岡支店</t>
        </is>
      </c>
      <c r="L282" s="15" t="inlineStr">
        <is>
          <t>601</t>
        </is>
      </c>
      <c r="M282" s="19">
        <f>"INSERT INTO "&amp;C282&amp;" VALUES("&amp;L282&amp;" , "&amp;E282&amp;");"</f>
        <v/>
      </c>
      <c r="O282" s="17" t="inlineStr">
        <is>
          <t>601</t>
        </is>
      </c>
      <c r="P282" s="17" t="inlineStr">
        <is>
          <t>5</t>
        </is>
      </c>
      <c r="R282" s="15" t="inlineStr">
        <is>
          <t>INSERT INTO</t>
        </is>
      </c>
      <c r="S282" s="15" t="inlineStr">
        <is>
          <t>CNF_UNIT_FILTERING_TBL</t>
        </is>
      </c>
      <c r="T282" s="15" t="inlineStr">
        <is>
          <t>VALUES(</t>
        </is>
      </c>
      <c r="U282" s="15" t="inlineStr">
        <is>
          <t>601 , 5</t>
        </is>
      </c>
      <c r="V282" s="15" t="inlineStr">
        <is>
          <t>);</t>
        </is>
      </c>
      <c r="X282" s="18">
        <f>EXACT(TRIM(L282&amp;""),O282&amp;"")</f>
        <v/>
      </c>
      <c r="Y282" s="18">
        <f>EXACT(TRIM(E282&amp;""),P282&amp;"")</f>
        <v/>
      </c>
      <c r="Z282" s="18">
        <f>AND(X282:Y282)</f>
        <v/>
      </c>
      <c r="AA282" s="19">
        <f>TRIM(IF(X282,"",$X$3&amp;" ")&amp;IF(Y282,"",$Y$3&amp;" "))</f>
        <v/>
      </c>
      <c r="AB282" s="18">
        <f>EXACT(SUBSTITUTE(M282," ",""),SUBSTITUTE(R282&amp;S282&amp;T282&amp;U282&amp;V282," ",""))</f>
        <v/>
      </c>
    </row>
    <row r="283">
      <c r="A283" s="15" t="inlineStr">
        <is>
          <t>INSERT INTO CNF_UNIT_FILTERING_TBL SELECT UNIT_ID, 7 FROM MST_UNIT_TBL WHERE UNIT_CODE = 'LF024';</t>
        </is>
      </c>
      <c r="B283" s="16" t="n"/>
      <c r="C283" s="15" t="inlineStr">
        <is>
          <t>CNF_UNIT_FILTERING_TBL</t>
        </is>
      </c>
      <c r="D283" s="15" t="inlineStr">
        <is>
          <t>UNIT_ID</t>
        </is>
      </c>
      <c r="E283" s="15" t="inlineStr">
        <is>
          <t>7</t>
        </is>
      </c>
      <c r="F283" s="15" t="inlineStr">
        <is>
          <t>MST_UNIT_TBL</t>
        </is>
      </c>
      <c r="G283" s="15" t="inlineStr">
        <is>
          <t>UNIT_CODE</t>
        </is>
      </c>
      <c r="H283" s="15" t="inlineStr">
        <is>
          <t>LF024</t>
        </is>
      </c>
      <c r="J283" s="15" t="inlineStr">
        <is>
          <t>LF024</t>
        </is>
      </c>
      <c r="K283" s="15" t="inlineStr">
        <is>
          <t>福岡支店</t>
        </is>
      </c>
      <c r="L283" s="15" t="inlineStr">
        <is>
          <t>601</t>
        </is>
      </c>
      <c r="M283" s="19">
        <f>"INSERT INTO "&amp;C283&amp;" VALUES("&amp;L283&amp;" , "&amp;E283&amp;");"</f>
        <v/>
      </c>
      <c r="O283" s="17" t="inlineStr">
        <is>
          <t>601</t>
        </is>
      </c>
      <c r="P283" s="17" t="inlineStr">
        <is>
          <t>7</t>
        </is>
      </c>
      <c r="R283" s="15" t="inlineStr">
        <is>
          <t>INSERT INTO</t>
        </is>
      </c>
      <c r="S283" s="15" t="inlineStr">
        <is>
          <t>CNF_UNIT_FILTERING_TBL</t>
        </is>
      </c>
      <c r="T283" s="15" t="inlineStr">
        <is>
          <t>VALUES(</t>
        </is>
      </c>
      <c r="U283" s="15" t="inlineStr">
        <is>
          <t>601 , 7</t>
        </is>
      </c>
      <c r="V283" s="15" t="inlineStr">
        <is>
          <t>);</t>
        </is>
      </c>
      <c r="X283" s="18">
        <f>EXACT(TRIM(L283&amp;""),O283&amp;"")</f>
        <v/>
      </c>
      <c r="Y283" s="18">
        <f>EXACT(TRIM(E283&amp;""),P283&amp;"")</f>
        <v/>
      </c>
      <c r="Z283" s="18">
        <f>AND(X283:Y283)</f>
        <v/>
      </c>
      <c r="AA283" s="19">
        <f>TRIM(IF(X283,"",$X$3&amp;" ")&amp;IF(Y283,"",$Y$3&amp;" "))</f>
        <v/>
      </c>
      <c r="AB283" s="18">
        <f>EXACT(SUBSTITUTE(M283," ",""),SUBSTITUTE(R283&amp;S283&amp;T283&amp;U283&amp;V283," ",""))</f>
        <v/>
      </c>
    </row>
    <row r="284">
      <c r="A284" s="15" t="inlineStr">
        <is>
          <t>INSERT INTO CNF_UNIT_FILTERING_TBL SELECT UNIT_ID, 8 FROM MST_UNIT_TBL WHERE UNIT_CODE = 'LF024';</t>
        </is>
      </c>
      <c r="B284" s="16" t="n"/>
      <c r="C284" s="15" t="inlineStr">
        <is>
          <t>CNF_UNIT_FILTERING_TBL</t>
        </is>
      </c>
      <c r="D284" s="15" t="inlineStr">
        <is>
          <t>UNIT_ID</t>
        </is>
      </c>
      <c r="E284" s="15" t="inlineStr">
        <is>
          <t>8</t>
        </is>
      </c>
      <c r="F284" s="15" t="inlineStr">
        <is>
          <t>MST_UNIT_TBL</t>
        </is>
      </c>
      <c r="G284" s="15" t="inlineStr">
        <is>
          <t>UNIT_CODE</t>
        </is>
      </c>
      <c r="H284" s="15" t="inlineStr">
        <is>
          <t>LF024</t>
        </is>
      </c>
      <c r="J284" s="15" t="inlineStr">
        <is>
          <t>LF024</t>
        </is>
      </c>
      <c r="K284" s="15" t="inlineStr">
        <is>
          <t>福岡支店</t>
        </is>
      </c>
      <c r="L284" s="15" t="inlineStr">
        <is>
          <t>601</t>
        </is>
      </c>
      <c r="M284" s="19">
        <f>"INSERT INTO "&amp;C284&amp;" VALUES("&amp;L284&amp;" , "&amp;E284&amp;");"</f>
        <v/>
      </c>
      <c r="O284" s="17" t="inlineStr">
        <is>
          <t>601</t>
        </is>
      </c>
      <c r="P284" s="17" t="inlineStr">
        <is>
          <t>8</t>
        </is>
      </c>
      <c r="R284" s="15" t="inlineStr">
        <is>
          <t>INSERT INTO</t>
        </is>
      </c>
      <c r="S284" s="15" t="inlineStr">
        <is>
          <t>CNF_UNIT_FILTERING_TBL</t>
        </is>
      </c>
      <c r="T284" s="15" t="inlineStr">
        <is>
          <t>VALUES(</t>
        </is>
      </c>
      <c r="U284" s="15" t="inlineStr">
        <is>
          <t>601 , 8</t>
        </is>
      </c>
      <c r="V284" s="15" t="inlineStr">
        <is>
          <t>);</t>
        </is>
      </c>
      <c r="X284" s="18">
        <f>EXACT(TRIM(L284&amp;""),O284&amp;"")</f>
        <v/>
      </c>
      <c r="Y284" s="18">
        <f>EXACT(TRIM(E284&amp;""),P284&amp;"")</f>
        <v/>
      </c>
      <c r="Z284" s="18">
        <f>AND(X284:Y284)</f>
        <v/>
      </c>
      <c r="AA284" s="19">
        <f>TRIM(IF(X284,"",$X$3&amp;" ")&amp;IF(Y284,"",$Y$3&amp;" "))</f>
        <v/>
      </c>
      <c r="AB284" s="18">
        <f>EXACT(SUBSTITUTE(M284," ",""),SUBSTITUTE(R284&amp;S284&amp;T284&amp;U284&amp;V284," ",""))</f>
        <v/>
      </c>
    </row>
    <row r="285">
      <c r="A285" s="15" t="inlineStr">
        <is>
          <t>INSERT INTO CNF_UNIT_FILTERING_TBL SELECT UNIT_ID, 9 FROM MST_UNIT_TBL WHERE UNIT_CODE = 'LF024';</t>
        </is>
      </c>
      <c r="B285" s="16" t="n"/>
      <c r="C285" s="15" t="inlineStr">
        <is>
          <t>CNF_UNIT_FILTERING_TBL</t>
        </is>
      </c>
      <c r="D285" s="15" t="inlineStr">
        <is>
          <t>UNIT_ID</t>
        </is>
      </c>
      <c r="E285" s="15" t="inlineStr">
        <is>
          <t>9</t>
        </is>
      </c>
      <c r="F285" s="15" t="inlineStr">
        <is>
          <t>MST_UNIT_TBL</t>
        </is>
      </c>
      <c r="G285" s="15" t="inlineStr">
        <is>
          <t>UNIT_CODE</t>
        </is>
      </c>
      <c r="H285" s="15" t="inlineStr">
        <is>
          <t>LF024</t>
        </is>
      </c>
      <c r="J285" s="15" t="inlineStr">
        <is>
          <t>LF024</t>
        </is>
      </c>
      <c r="K285" s="15" t="inlineStr">
        <is>
          <t>福岡支店</t>
        </is>
      </c>
      <c r="L285" s="15" t="inlineStr">
        <is>
          <t>601</t>
        </is>
      </c>
      <c r="M285" s="19">
        <f>"INSERT INTO "&amp;C285&amp;" VALUES("&amp;L285&amp;" , "&amp;E285&amp;");"</f>
        <v/>
      </c>
      <c r="O285" s="17" t="inlineStr">
        <is>
          <t>601</t>
        </is>
      </c>
      <c r="P285" s="17" t="inlineStr">
        <is>
          <t>9</t>
        </is>
      </c>
      <c r="R285" s="15" t="inlineStr">
        <is>
          <t>INSERT INTO</t>
        </is>
      </c>
      <c r="S285" s="15" t="inlineStr">
        <is>
          <t>CNF_UNIT_FILTERING_TBL</t>
        </is>
      </c>
      <c r="T285" s="15" t="inlineStr">
        <is>
          <t>VALUES(</t>
        </is>
      </c>
      <c r="U285" s="15" t="inlineStr">
        <is>
          <t>601 , 9</t>
        </is>
      </c>
      <c r="V285" s="15" t="inlineStr">
        <is>
          <t>);</t>
        </is>
      </c>
      <c r="X285" s="18">
        <f>EXACT(TRIM(L285&amp;""),O285&amp;"")</f>
        <v/>
      </c>
      <c r="Y285" s="18">
        <f>EXACT(TRIM(E285&amp;""),P285&amp;"")</f>
        <v/>
      </c>
      <c r="Z285" s="18">
        <f>AND(X285:Y285)</f>
        <v/>
      </c>
      <c r="AA285" s="19">
        <f>TRIM(IF(X285,"",$X$3&amp;" ")&amp;IF(Y285,"",$Y$3&amp;" "))</f>
        <v/>
      </c>
      <c r="AB285" s="18">
        <f>EXACT(SUBSTITUTE(M285," ",""),SUBSTITUTE(R285&amp;S285&amp;T285&amp;U285&amp;V285," ",""))</f>
        <v/>
      </c>
    </row>
    <row r="286">
      <c r="A286" s="15" t="inlineStr">
        <is>
          <t>INSERT INTO CNF_UNIT_FILTERING_TBL SELECT UNIT_ID, 11 FROM MST_UNIT_TBL WHERE UNIT_CODE = 'LF024';</t>
        </is>
      </c>
      <c r="B286" s="16" t="n"/>
      <c r="C286" s="15" t="inlineStr">
        <is>
          <t>CNF_UNIT_FILTERING_TBL</t>
        </is>
      </c>
      <c r="D286" s="15" t="inlineStr">
        <is>
          <t>UNIT_ID</t>
        </is>
      </c>
      <c r="E286" s="15" t="inlineStr">
        <is>
          <t>11</t>
        </is>
      </c>
      <c r="F286" s="15" t="inlineStr">
        <is>
          <t>MST_UNIT_TBL</t>
        </is>
      </c>
      <c r="G286" s="15" t="inlineStr">
        <is>
          <t>UNIT_CODE</t>
        </is>
      </c>
      <c r="H286" s="15" t="inlineStr">
        <is>
          <t>LF024</t>
        </is>
      </c>
      <c r="J286" s="15" t="inlineStr">
        <is>
          <t>LF024</t>
        </is>
      </c>
      <c r="K286" s="15" t="inlineStr">
        <is>
          <t>福岡支店</t>
        </is>
      </c>
      <c r="L286" s="15" t="inlineStr">
        <is>
          <t>601</t>
        </is>
      </c>
      <c r="M286" s="19">
        <f>"INSERT INTO "&amp;C286&amp;" VALUES("&amp;L286&amp;" , "&amp;E286&amp;");"</f>
        <v/>
      </c>
      <c r="O286" s="17" t="inlineStr">
        <is>
          <t>601</t>
        </is>
      </c>
      <c r="P286" s="17" t="inlineStr">
        <is>
          <t>11</t>
        </is>
      </c>
      <c r="R286" s="15" t="inlineStr">
        <is>
          <t>INSERT INTO</t>
        </is>
      </c>
      <c r="S286" s="15" t="inlineStr">
        <is>
          <t>CNF_UNIT_FILTERING_TBL</t>
        </is>
      </c>
      <c r="T286" s="15" t="inlineStr">
        <is>
          <t>VALUES(</t>
        </is>
      </c>
      <c r="U286" s="15" t="inlineStr">
        <is>
          <t>601 , 11</t>
        </is>
      </c>
      <c r="V286" s="15" t="inlineStr">
        <is>
          <t>);</t>
        </is>
      </c>
      <c r="X286" s="18">
        <f>EXACT(TRIM(L286&amp;""),O286&amp;"")</f>
        <v/>
      </c>
      <c r="Y286" s="18">
        <f>EXACT(TRIM(E286&amp;""),P286&amp;"")</f>
        <v/>
      </c>
      <c r="Z286" s="18">
        <f>AND(X286:Y286)</f>
        <v/>
      </c>
      <c r="AA286" s="19">
        <f>TRIM(IF(X286,"",$X$3&amp;" ")&amp;IF(Y286,"",$Y$3&amp;" "))</f>
        <v/>
      </c>
      <c r="AB286" s="18">
        <f>EXACT(SUBSTITUTE(M286," ",""),SUBSTITUTE(R286&amp;S286&amp;T286&amp;U286&amp;V286," ",""))</f>
        <v/>
      </c>
    </row>
    <row r="287">
      <c r="A287" s="15" t="inlineStr">
        <is>
          <t>INSERT INTO CNF_UNIT_FILTERING_TBL SELECT UNIT_ID, 12 FROM MST_UNIT_TBL WHERE UNIT_CODE = 'LF024';</t>
        </is>
      </c>
      <c r="B287" s="16" t="n"/>
      <c r="C287" s="15" t="inlineStr">
        <is>
          <t>CNF_UNIT_FILTERING_TBL</t>
        </is>
      </c>
      <c r="D287" s="15" t="inlineStr">
        <is>
          <t>UNIT_ID</t>
        </is>
      </c>
      <c r="E287" s="15" t="inlineStr">
        <is>
          <t>12</t>
        </is>
      </c>
      <c r="F287" s="15" t="inlineStr">
        <is>
          <t>MST_UNIT_TBL</t>
        </is>
      </c>
      <c r="G287" s="15" t="inlineStr">
        <is>
          <t>UNIT_CODE</t>
        </is>
      </c>
      <c r="H287" s="15" t="inlineStr">
        <is>
          <t>LF024</t>
        </is>
      </c>
      <c r="J287" s="15" t="inlineStr">
        <is>
          <t>LF024</t>
        </is>
      </c>
      <c r="K287" s="15" t="inlineStr">
        <is>
          <t>福岡支店</t>
        </is>
      </c>
      <c r="L287" s="15" t="inlineStr">
        <is>
          <t>601</t>
        </is>
      </c>
      <c r="M287" s="19">
        <f>"INSERT INTO "&amp;C287&amp;" VALUES("&amp;L287&amp;" , "&amp;E287&amp;");"</f>
        <v/>
      </c>
      <c r="O287" s="17" t="inlineStr">
        <is>
          <t>601</t>
        </is>
      </c>
      <c r="P287" s="17" t="inlineStr">
        <is>
          <t>12</t>
        </is>
      </c>
      <c r="R287" s="15" t="inlineStr">
        <is>
          <t>INSERT INTO</t>
        </is>
      </c>
      <c r="S287" s="15" t="inlineStr">
        <is>
          <t>CNF_UNIT_FILTERING_TBL</t>
        </is>
      </c>
      <c r="T287" s="15" t="inlineStr">
        <is>
          <t>VALUES(</t>
        </is>
      </c>
      <c r="U287" s="15" t="inlineStr">
        <is>
          <t>601 , 12</t>
        </is>
      </c>
      <c r="V287" s="15" t="inlineStr">
        <is>
          <t>);</t>
        </is>
      </c>
      <c r="X287" s="18">
        <f>EXACT(TRIM(L287&amp;""),O287&amp;"")</f>
        <v/>
      </c>
      <c r="Y287" s="18">
        <f>EXACT(TRIM(E287&amp;""),P287&amp;"")</f>
        <v/>
      </c>
      <c r="Z287" s="18">
        <f>AND(X287:Y287)</f>
        <v/>
      </c>
      <c r="AA287" s="19">
        <f>TRIM(IF(X287,"",$X$3&amp;" ")&amp;IF(Y287,"",$Y$3&amp;" "))</f>
        <v/>
      </c>
      <c r="AB287" s="18">
        <f>EXACT(SUBSTITUTE(M287," ",""),SUBSTITUTE(R287&amp;S287&amp;T287&amp;U287&amp;V287," ",""))</f>
        <v/>
      </c>
    </row>
    <row r="288">
      <c r="A288" s="15" t="inlineStr">
        <is>
          <t>INSERT INTO CNF_UNIT_FILTERING_TBL SELECT UNIT_ID, 13 FROM MST_UNIT_TBL WHERE UNIT_CODE = 'LF024';</t>
        </is>
      </c>
      <c r="B288" s="16" t="n"/>
      <c r="C288" s="15" t="inlineStr">
        <is>
          <t>CNF_UNIT_FILTERING_TBL</t>
        </is>
      </c>
      <c r="D288" s="15" t="inlineStr">
        <is>
          <t>UNIT_ID</t>
        </is>
      </c>
      <c r="E288" s="15" t="inlineStr">
        <is>
          <t>13</t>
        </is>
      </c>
      <c r="F288" s="15" t="inlineStr">
        <is>
          <t>MST_UNIT_TBL</t>
        </is>
      </c>
      <c r="G288" s="15" t="inlineStr">
        <is>
          <t>UNIT_CODE</t>
        </is>
      </c>
      <c r="H288" s="15" t="inlineStr">
        <is>
          <t>LF024</t>
        </is>
      </c>
      <c r="J288" s="15" t="inlineStr">
        <is>
          <t>LF024</t>
        </is>
      </c>
      <c r="K288" s="15" t="inlineStr">
        <is>
          <t>福岡支店</t>
        </is>
      </c>
      <c r="L288" s="15" t="inlineStr">
        <is>
          <t>601</t>
        </is>
      </c>
      <c r="M288" s="19">
        <f>"INSERT INTO "&amp;C288&amp;" VALUES("&amp;L288&amp;" , "&amp;E288&amp;");"</f>
        <v/>
      </c>
      <c r="O288" s="17" t="inlineStr">
        <is>
          <t>601</t>
        </is>
      </c>
      <c r="P288" s="17" t="inlineStr">
        <is>
          <t>13</t>
        </is>
      </c>
      <c r="R288" s="15" t="inlineStr">
        <is>
          <t>INSERT INTO</t>
        </is>
      </c>
      <c r="S288" s="15" t="inlineStr">
        <is>
          <t>CNF_UNIT_FILTERING_TBL</t>
        </is>
      </c>
      <c r="T288" s="15" t="inlineStr">
        <is>
          <t>VALUES(</t>
        </is>
      </c>
      <c r="U288" s="15" t="inlineStr">
        <is>
          <t>601 , 13</t>
        </is>
      </c>
      <c r="V288" s="15" t="inlineStr">
        <is>
          <t>);</t>
        </is>
      </c>
      <c r="X288" s="18">
        <f>EXACT(TRIM(L288&amp;""),O288&amp;"")</f>
        <v/>
      </c>
      <c r="Y288" s="18">
        <f>EXACT(TRIM(E288&amp;""),P288&amp;"")</f>
        <v/>
      </c>
      <c r="Z288" s="18">
        <f>AND(X288:Y288)</f>
        <v/>
      </c>
      <c r="AA288" s="19">
        <f>TRIM(IF(X288,"",$X$3&amp;" ")&amp;IF(Y288,"",$Y$3&amp;" "))</f>
        <v/>
      </c>
      <c r="AB288" s="18">
        <f>EXACT(SUBSTITUTE(M288," ",""),SUBSTITUTE(R288&amp;S288&amp;T288&amp;U288&amp;V288," ",""))</f>
        <v/>
      </c>
    </row>
    <row r="289">
      <c r="A289" s="15" t="inlineStr">
        <is>
          <t>INSERT INTO CNF_UNIT_FILTERING_TBL SELECT UNIT_ID, 14 FROM MST_UNIT_TBL WHERE UNIT_CODE = 'LF024';</t>
        </is>
      </c>
      <c r="B289" s="16" t="n"/>
      <c r="C289" s="15" t="inlineStr">
        <is>
          <t>CNF_UNIT_FILTERING_TBL</t>
        </is>
      </c>
      <c r="D289" s="15" t="inlineStr">
        <is>
          <t>UNIT_ID</t>
        </is>
      </c>
      <c r="E289" s="15" t="inlineStr">
        <is>
          <t>14</t>
        </is>
      </c>
      <c r="F289" s="15" t="inlineStr">
        <is>
          <t>MST_UNIT_TBL</t>
        </is>
      </c>
      <c r="G289" s="15" t="inlineStr">
        <is>
          <t>UNIT_CODE</t>
        </is>
      </c>
      <c r="H289" s="15" t="inlineStr">
        <is>
          <t>LF024</t>
        </is>
      </c>
      <c r="J289" s="15" t="inlineStr">
        <is>
          <t>LF024</t>
        </is>
      </c>
      <c r="K289" s="15" t="inlineStr">
        <is>
          <t>福岡支店</t>
        </is>
      </c>
      <c r="L289" s="15" t="inlineStr">
        <is>
          <t>601</t>
        </is>
      </c>
      <c r="M289" s="19">
        <f>"INSERT INTO "&amp;C289&amp;" VALUES("&amp;L289&amp;" , "&amp;E289&amp;");"</f>
        <v/>
      </c>
      <c r="O289" s="17" t="inlineStr">
        <is>
          <t>601</t>
        </is>
      </c>
      <c r="P289" s="17" t="inlineStr">
        <is>
          <t>14</t>
        </is>
      </c>
      <c r="R289" s="15" t="inlineStr">
        <is>
          <t>INSERT INTO</t>
        </is>
      </c>
      <c r="S289" s="15" t="inlineStr">
        <is>
          <t>CNF_UNIT_FILTERING_TBL</t>
        </is>
      </c>
      <c r="T289" s="15" t="inlineStr">
        <is>
          <t>VALUES(</t>
        </is>
      </c>
      <c r="U289" s="15" t="inlineStr">
        <is>
          <t>601 , 14</t>
        </is>
      </c>
      <c r="V289" s="15" t="inlineStr">
        <is>
          <t>);</t>
        </is>
      </c>
      <c r="X289" s="18">
        <f>EXACT(TRIM(L289&amp;""),O289&amp;"")</f>
        <v/>
      </c>
      <c r="Y289" s="18">
        <f>EXACT(TRIM(E289&amp;""),P289&amp;"")</f>
        <v/>
      </c>
      <c r="Z289" s="18">
        <f>AND(X289:Y289)</f>
        <v/>
      </c>
      <c r="AA289" s="19">
        <f>TRIM(IF(X289,"",$X$3&amp;" ")&amp;IF(Y289,"",$Y$3&amp;" "))</f>
        <v/>
      </c>
      <c r="AB289" s="18">
        <f>EXACT(SUBSTITUTE(M289," ",""),SUBSTITUTE(R289&amp;S289&amp;T289&amp;U289&amp;V289," ",""))</f>
        <v/>
      </c>
    </row>
    <row r="290">
      <c r="A290" s="15" t="inlineStr">
        <is>
          <t>INSERT INTO CNF_UNIT_FILTERING_TBL SELECT UNIT_ID, 15 FROM MST_UNIT_TBL WHERE UNIT_CODE = 'LF024';</t>
        </is>
      </c>
      <c r="B290" s="16" t="n"/>
      <c r="C290" s="15" t="inlineStr">
        <is>
          <t>CNF_UNIT_FILTERING_TBL</t>
        </is>
      </c>
      <c r="D290" s="15" t="inlineStr">
        <is>
          <t>UNIT_ID</t>
        </is>
      </c>
      <c r="E290" s="15" t="inlineStr">
        <is>
          <t>15</t>
        </is>
      </c>
      <c r="F290" s="15" t="inlineStr">
        <is>
          <t>MST_UNIT_TBL</t>
        </is>
      </c>
      <c r="G290" s="15" t="inlineStr">
        <is>
          <t>UNIT_CODE</t>
        </is>
      </c>
      <c r="H290" s="15" t="inlineStr">
        <is>
          <t>LF024</t>
        </is>
      </c>
      <c r="J290" s="15" t="inlineStr">
        <is>
          <t>LF024</t>
        </is>
      </c>
      <c r="K290" s="15" t="inlineStr">
        <is>
          <t>福岡支店</t>
        </is>
      </c>
      <c r="L290" s="15" t="inlineStr">
        <is>
          <t>601</t>
        </is>
      </c>
      <c r="M290" s="19">
        <f>"INSERT INTO "&amp;C290&amp;" VALUES("&amp;L290&amp;" , "&amp;E290&amp;");"</f>
        <v/>
      </c>
      <c r="O290" s="17" t="inlineStr">
        <is>
          <t>601</t>
        </is>
      </c>
      <c r="P290" s="17" t="inlineStr">
        <is>
          <t>15</t>
        </is>
      </c>
      <c r="R290" s="15" t="inlineStr">
        <is>
          <t>INSERT INTO</t>
        </is>
      </c>
      <c r="S290" s="15" t="inlineStr">
        <is>
          <t>CNF_UNIT_FILTERING_TBL</t>
        </is>
      </c>
      <c r="T290" s="15" t="inlineStr">
        <is>
          <t>VALUES(</t>
        </is>
      </c>
      <c r="U290" s="15" t="inlineStr">
        <is>
          <t>601 , 15</t>
        </is>
      </c>
      <c r="V290" s="15" t="inlineStr">
        <is>
          <t>);</t>
        </is>
      </c>
      <c r="X290" s="18">
        <f>EXACT(TRIM(L290&amp;""),O290&amp;"")</f>
        <v/>
      </c>
      <c r="Y290" s="18">
        <f>EXACT(TRIM(E290&amp;""),P290&amp;"")</f>
        <v/>
      </c>
      <c r="Z290" s="18">
        <f>AND(X290:Y290)</f>
        <v/>
      </c>
      <c r="AA290" s="19">
        <f>TRIM(IF(X290,"",$X$3&amp;" ")&amp;IF(Y290,"",$Y$3&amp;" "))</f>
        <v/>
      </c>
      <c r="AB290" s="18">
        <f>EXACT(SUBSTITUTE(M290," ",""),SUBSTITUTE(R290&amp;S290&amp;T290&amp;U290&amp;V290," ",""))</f>
        <v/>
      </c>
    </row>
    <row r="291">
      <c r="A291" s="15" t="inlineStr">
        <is>
          <t>INSERT INTO CNF_UNIT_FILTERING_TBL SELECT UNIT_ID, 16 FROM MST_UNIT_TBL WHERE UNIT_CODE = 'LF024';</t>
        </is>
      </c>
      <c r="B291" s="16" t="n"/>
      <c r="C291" s="15" t="inlineStr">
        <is>
          <t>CNF_UNIT_FILTERING_TBL</t>
        </is>
      </c>
      <c r="D291" s="15" t="inlineStr">
        <is>
          <t>UNIT_ID</t>
        </is>
      </c>
      <c r="E291" s="15" t="inlineStr">
        <is>
          <t>16</t>
        </is>
      </c>
      <c r="F291" s="15" t="inlineStr">
        <is>
          <t>MST_UNIT_TBL</t>
        </is>
      </c>
      <c r="G291" s="15" t="inlineStr">
        <is>
          <t>UNIT_CODE</t>
        </is>
      </c>
      <c r="H291" s="15" t="inlineStr">
        <is>
          <t>LF024</t>
        </is>
      </c>
      <c r="J291" s="15" t="inlineStr">
        <is>
          <t>LF024</t>
        </is>
      </c>
      <c r="K291" s="15" t="inlineStr">
        <is>
          <t>福岡支店</t>
        </is>
      </c>
      <c r="L291" s="15" t="inlineStr">
        <is>
          <t>601</t>
        </is>
      </c>
      <c r="M291" s="19">
        <f>"INSERT INTO "&amp;C291&amp;" VALUES("&amp;L291&amp;" , "&amp;E291&amp;");"</f>
        <v/>
      </c>
      <c r="O291" s="17" t="inlineStr">
        <is>
          <t>601</t>
        </is>
      </c>
      <c r="P291" s="17" t="inlineStr">
        <is>
          <t>16</t>
        </is>
      </c>
      <c r="R291" s="15" t="inlineStr">
        <is>
          <t>INSERT INTO</t>
        </is>
      </c>
      <c r="S291" s="15" t="inlineStr">
        <is>
          <t>CNF_UNIT_FILTERING_TBL</t>
        </is>
      </c>
      <c r="T291" s="15" t="inlineStr">
        <is>
          <t>VALUES(</t>
        </is>
      </c>
      <c r="U291" s="15" t="inlineStr">
        <is>
          <t>601 , 16</t>
        </is>
      </c>
      <c r="V291" s="15" t="inlineStr">
        <is>
          <t>);</t>
        </is>
      </c>
      <c r="X291" s="18">
        <f>EXACT(TRIM(L291&amp;""),O291&amp;"")</f>
        <v/>
      </c>
      <c r="Y291" s="18">
        <f>EXACT(TRIM(E291&amp;""),P291&amp;"")</f>
        <v/>
      </c>
      <c r="Z291" s="18">
        <f>AND(X291:Y291)</f>
        <v/>
      </c>
      <c r="AA291" s="19">
        <f>TRIM(IF(X291,"",$X$3&amp;" ")&amp;IF(Y291,"",$Y$3&amp;" "))</f>
        <v/>
      </c>
      <c r="AB291" s="18">
        <f>EXACT(SUBSTITUTE(M291," ",""),SUBSTITUTE(R291&amp;S291&amp;T291&amp;U291&amp;V291," ",""))</f>
        <v/>
      </c>
    </row>
    <row r="292">
      <c r="A292" s="15" t="inlineStr">
        <is>
          <t>INSERT INTO CNF_UNIT_FILTERING_TBL SELECT UNIT_ID, 1 FROM MST_UNIT_TBL WHERE UNIT_CODE = 'LF025';</t>
        </is>
      </c>
      <c r="B292" s="16" t="n"/>
      <c r="C292" s="15" t="inlineStr">
        <is>
          <t>CNF_UNIT_FILTERING_TBL</t>
        </is>
      </c>
      <c r="D292" s="15" t="inlineStr">
        <is>
          <t>UNIT_ID</t>
        </is>
      </c>
      <c r="E292" s="15" t="inlineStr">
        <is>
          <t>1</t>
        </is>
      </c>
      <c r="F292" s="15" t="inlineStr">
        <is>
          <t>MST_UNIT_TBL</t>
        </is>
      </c>
      <c r="G292" s="15" t="inlineStr">
        <is>
          <t>UNIT_CODE</t>
        </is>
      </c>
      <c r="H292" s="15" t="inlineStr">
        <is>
          <t>LF025</t>
        </is>
      </c>
      <c r="J292" s="15" t="inlineStr">
        <is>
          <t>LF025</t>
        </is>
      </c>
      <c r="K292" s="15" t="inlineStr">
        <is>
          <t>広島営業部</t>
        </is>
      </c>
      <c r="L292" s="15" t="inlineStr">
        <is>
          <t>602</t>
        </is>
      </c>
      <c r="M292" s="19">
        <f>"INSERT INTO "&amp;C292&amp;" VALUES("&amp;L292&amp;" , "&amp;E292&amp;");"</f>
        <v/>
      </c>
      <c r="O292" s="17" t="inlineStr">
        <is>
          <t>602</t>
        </is>
      </c>
      <c r="P292" s="17" t="inlineStr">
        <is>
          <t>1</t>
        </is>
      </c>
      <c r="R292" s="15" t="inlineStr">
        <is>
          <t>INSERT INTO</t>
        </is>
      </c>
      <c r="S292" s="15" t="inlineStr">
        <is>
          <t>CNF_UNIT_FILTERING_TBL</t>
        </is>
      </c>
      <c r="T292" s="15" t="inlineStr">
        <is>
          <t>VALUES(</t>
        </is>
      </c>
      <c r="U292" s="15" t="inlineStr">
        <is>
          <t>602 , 1</t>
        </is>
      </c>
      <c r="V292" s="15" t="inlineStr">
        <is>
          <t>);</t>
        </is>
      </c>
      <c r="X292" s="18">
        <f>EXACT(TRIM(L292&amp;""),O292&amp;"")</f>
        <v/>
      </c>
      <c r="Y292" s="18">
        <f>EXACT(TRIM(E292&amp;""),P292&amp;"")</f>
        <v/>
      </c>
      <c r="Z292" s="18">
        <f>AND(X292:Y292)</f>
        <v/>
      </c>
      <c r="AA292" s="19">
        <f>TRIM(IF(X292,"",$X$3&amp;" ")&amp;IF(Y292,"",$Y$3&amp;" "))</f>
        <v/>
      </c>
      <c r="AB292" s="18">
        <f>EXACT(SUBSTITUTE(M292," ",""),SUBSTITUTE(R292&amp;S292&amp;T292&amp;U292&amp;V292," ",""))</f>
        <v/>
      </c>
    </row>
    <row r="293">
      <c r="A293" s="15" t="inlineStr">
        <is>
          <t>INSERT INTO CNF_UNIT_FILTERING_TBL SELECT UNIT_ID, 4 FROM MST_UNIT_TBL WHERE UNIT_CODE = 'LF025';</t>
        </is>
      </c>
      <c r="B293" s="16" t="n"/>
      <c r="C293" s="15" t="inlineStr">
        <is>
          <t>CNF_UNIT_FILTERING_TBL</t>
        </is>
      </c>
      <c r="D293" s="15" t="inlineStr">
        <is>
          <t>UNIT_ID</t>
        </is>
      </c>
      <c r="E293" s="15" t="inlineStr">
        <is>
          <t>4</t>
        </is>
      </c>
      <c r="F293" s="15" t="inlineStr">
        <is>
          <t>MST_UNIT_TBL</t>
        </is>
      </c>
      <c r="G293" s="15" t="inlineStr">
        <is>
          <t>UNIT_CODE</t>
        </is>
      </c>
      <c r="H293" s="15" t="inlineStr">
        <is>
          <t>LF025</t>
        </is>
      </c>
      <c r="J293" s="15" t="inlineStr">
        <is>
          <t>LF025</t>
        </is>
      </c>
      <c r="K293" s="15" t="inlineStr">
        <is>
          <t>広島営業部</t>
        </is>
      </c>
      <c r="L293" s="15" t="inlineStr">
        <is>
          <t>602</t>
        </is>
      </c>
      <c r="M293" s="19">
        <f>"INSERT INTO "&amp;C293&amp;" VALUES("&amp;L293&amp;" , "&amp;E293&amp;");"</f>
        <v/>
      </c>
      <c r="O293" s="17" t="inlineStr">
        <is>
          <t>602</t>
        </is>
      </c>
      <c r="P293" s="17" t="inlineStr">
        <is>
          <t>4</t>
        </is>
      </c>
      <c r="R293" s="15" t="inlineStr">
        <is>
          <t>INSERT INTO</t>
        </is>
      </c>
      <c r="S293" s="15" t="inlineStr">
        <is>
          <t>CNF_UNIT_FILTERING_TBL</t>
        </is>
      </c>
      <c r="T293" s="15" t="inlineStr">
        <is>
          <t>VALUES(</t>
        </is>
      </c>
      <c r="U293" s="15" t="inlineStr">
        <is>
          <t>602 , 4</t>
        </is>
      </c>
      <c r="V293" s="15" t="inlineStr">
        <is>
          <t>);</t>
        </is>
      </c>
      <c r="X293" s="18">
        <f>EXACT(TRIM(L293&amp;""),O293&amp;"")</f>
        <v/>
      </c>
      <c r="Y293" s="18">
        <f>EXACT(TRIM(E293&amp;""),P293&amp;"")</f>
        <v/>
      </c>
      <c r="Z293" s="18">
        <f>AND(X293:Y293)</f>
        <v/>
      </c>
      <c r="AA293" s="19">
        <f>TRIM(IF(X293,"",$X$3&amp;" ")&amp;IF(Y293,"",$Y$3&amp;" "))</f>
        <v/>
      </c>
      <c r="AB293" s="18">
        <f>EXACT(SUBSTITUTE(M293," ",""),SUBSTITUTE(R293&amp;S293&amp;T293&amp;U293&amp;V293," ",""))</f>
        <v/>
      </c>
    </row>
    <row r="294">
      <c r="A294" s="15" t="inlineStr">
        <is>
          <t>INSERT INTO CNF_UNIT_FILTERING_TBL SELECT UNIT_ID, 5 FROM MST_UNIT_TBL WHERE UNIT_CODE = 'LF025';</t>
        </is>
      </c>
      <c r="B294" s="16" t="n"/>
      <c r="C294" s="15" t="inlineStr">
        <is>
          <t>CNF_UNIT_FILTERING_TBL</t>
        </is>
      </c>
      <c r="D294" s="15" t="inlineStr">
        <is>
          <t>UNIT_ID</t>
        </is>
      </c>
      <c r="E294" s="15" t="inlineStr">
        <is>
          <t>5</t>
        </is>
      </c>
      <c r="F294" s="15" t="inlineStr">
        <is>
          <t>MST_UNIT_TBL</t>
        </is>
      </c>
      <c r="G294" s="15" t="inlineStr">
        <is>
          <t>UNIT_CODE</t>
        </is>
      </c>
      <c r="H294" s="15" t="inlineStr">
        <is>
          <t>LF025</t>
        </is>
      </c>
      <c r="J294" s="15" t="inlineStr">
        <is>
          <t>LF025</t>
        </is>
      </c>
      <c r="K294" s="15" t="inlineStr">
        <is>
          <t>広島営業部</t>
        </is>
      </c>
      <c r="L294" s="15" t="inlineStr">
        <is>
          <t>602</t>
        </is>
      </c>
      <c r="M294" s="19">
        <f>"INSERT INTO "&amp;C294&amp;" VALUES("&amp;L294&amp;" , "&amp;E294&amp;");"</f>
        <v/>
      </c>
      <c r="O294" s="17" t="inlineStr">
        <is>
          <t>602</t>
        </is>
      </c>
      <c r="P294" s="17" t="inlineStr">
        <is>
          <t>5</t>
        </is>
      </c>
      <c r="R294" s="15" t="inlineStr">
        <is>
          <t>INSERT INTO</t>
        </is>
      </c>
      <c r="S294" s="15" t="inlineStr">
        <is>
          <t>CNF_UNIT_FILTERING_TBL</t>
        </is>
      </c>
      <c r="T294" s="15" t="inlineStr">
        <is>
          <t>VALUES(</t>
        </is>
      </c>
      <c r="U294" s="15" t="inlineStr">
        <is>
          <t>602 , 5</t>
        </is>
      </c>
      <c r="V294" s="15" t="inlineStr">
        <is>
          <t>);</t>
        </is>
      </c>
      <c r="X294" s="18">
        <f>EXACT(TRIM(L294&amp;""),O294&amp;"")</f>
        <v/>
      </c>
      <c r="Y294" s="18">
        <f>EXACT(TRIM(E294&amp;""),P294&amp;"")</f>
        <v/>
      </c>
      <c r="Z294" s="18">
        <f>AND(X294:Y294)</f>
        <v/>
      </c>
      <c r="AA294" s="19">
        <f>TRIM(IF(X294,"",$X$3&amp;" ")&amp;IF(Y294,"",$Y$3&amp;" "))</f>
        <v/>
      </c>
      <c r="AB294" s="18">
        <f>EXACT(SUBSTITUTE(M294," ",""),SUBSTITUTE(R294&amp;S294&amp;T294&amp;U294&amp;V294," ",""))</f>
        <v/>
      </c>
    </row>
    <row r="295">
      <c r="A295" s="15" t="inlineStr">
        <is>
          <t>INSERT INTO CNF_UNIT_FILTERING_TBL SELECT UNIT_ID, 7 FROM MST_UNIT_TBL WHERE UNIT_CODE = 'LF025';</t>
        </is>
      </c>
      <c r="B295" s="16" t="n"/>
      <c r="C295" s="15" t="inlineStr">
        <is>
          <t>CNF_UNIT_FILTERING_TBL</t>
        </is>
      </c>
      <c r="D295" s="15" t="inlineStr">
        <is>
          <t>UNIT_ID</t>
        </is>
      </c>
      <c r="E295" s="15" t="inlineStr">
        <is>
          <t>7</t>
        </is>
      </c>
      <c r="F295" s="15" t="inlineStr">
        <is>
          <t>MST_UNIT_TBL</t>
        </is>
      </c>
      <c r="G295" s="15" t="inlineStr">
        <is>
          <t>UNIT_CODE</t>
        </is>
      </c>
      <c r="H295" s="15" t="inlineStr">
        <is>
          <t>LF025</t>
        </is>
      </c>
      <c r="J295" s="15" t="inlineStr">
        <is>
          <t>LF025</t>
        </is>
      </c>
      <c r="K295" s="15" t="inlineStr">
        <is>
          <t>広島営業部</t>
        </is>
      </c>
      <c r="L295" s="15" t="inlineStr">
        <is>
          <t>602</t>
        </is>
      </c>
      <c r="M295" s="19">
        <f>"INSERT INTO "&amp;C295&amp;" VALUES("&amp;L295&amp;" , "&amp;E295&amp;");"</f>
        <v/>
      </c>
      <c r="O295" s="17" t="inlineStr">
        <is>
          <t>602</t>
        </is>
      </c>
      <c r="P295" s="17" t="inlineStr">
        <is>
          <t>7</t>
        </is>
      </c>
      <c r="R295" s="15" t="inlineStr">
        <is>
          <t>INSERT INTO</t>
        </is>
      </c>
      <c r="S295" s="15" t="inlineStr">
        <is>
          <t>CNF_UNIT_FILTERING_TBL</t>
        </is>
      </c>
      <c r="T295" s="15" t="inlineStr">
        <is>
          <t>VALUES(</t>
        </is>
      </c>
      <c r="U295" s="15" t="inlineStr">
        <is>
          <t>602 , 7</t>
        </is>
      </c>
      <c r="V295" s="15" t="inlineStr">
        <is>
          <t>);</t>
        </is>
      </c>
      <c r="X295" s="18">
        <f>EXACT(TRIM(L295&amp;""),O295&amp;"")</f>
        <v/>
      </c>
      <c r="Y295" s="18">
        <f>EXACT(TRIM(E295&amp;""),P295&amp;"")</f>
        <v/>
      </c>
      <c r="Z295" s="18">
        <f>AND(X295:Y295)</f>
        <v/>
      </c>
      <c r="AA295" s="19">
        <f>TRIM(IF(X295,"",$X$3&amp;" ")&amp;IF(Y295,"",$Y$3&amp;" "))</f>
        <v/>
      </c>
      <c r="AB295" s="18">
        <f>EXACT(SUBSTITUTE(M295," ",""),SUBSTITUTE(R295&amp;S295&amp;T295&amp;U295&amp;V295," ",""))</f>
        <v/>
      </c>
    </row>
    <row r="296">
      <c r="A296" s="15" t="inlineStr">
        <is>
          <t>INSERT INTO CNF_UNIT_FILTERING_TBL SELECT UNIT_ID, 8 FROM MST_UNIT_TBL WHERE UNIT_CODE = 'LF025';</t>
        </is>
      </c>
      <c r="B296" s="16" t="n"/>
      <c r="C296" s="15" t="inlineStr">
        <is>
          <t>CNF_UNIT_FILTERING_TBL</t>
        </is>
      </c>
      <c r="D296" s="15" t="inlineStr">
        <is>
          <t>UNIT_ID</t>
        </is>
      </c>
      <c r="E296" s="15" t="inlineStr">
        <is>
          <t>8</t>
        </is>
      </c>
      <c r="F296" s="15" t="inlineStr">
        <is>
          <t>MST_UNIT_TBL</t>
        </is>
      </c>
      <c r="G296" s="15" t="inlineStr">
        <is>
          <t>UNIT_CODE</t>
        </is>
      </c>
      <c r="H296" s="15" t="inlineStr">
        <is>
          <t>LF025</t>
        </is>
      </c>
      <c r="J296" s="15" t="inlineStr">
        <is>
          <t>LF025</t>
        </is>
      </c>
      <c r="K296" s="15" t="inlineStr">
        <is>
          <t>広島営業部</t>
        </is>
      </c>
      <c r="L296" s="15" t="inlineStr">
        <is>
          <t>602</t>
        </is>
      </c>
      <c r="M296" s="19">
        <f>"INSERT INTO "&amp;C296&amp;" VALUES("&amp;L296&amp;" , "&amp;E296&amp;");"</f>
        <v/>
      </c>
      <c r="O296" s="17" t="inlineStr">
        <is>
          <t>602</t>
        </is>
      </c>
      <c r="P296" s="17" t="inlineStr">
        <is>
          <t>8</t>
        </is>
      </c>
      <c r="R296" s="15" t="inlineStr">
        <is>
          <t>INSERT INTO</t>
        </is>
      </c>
      <c r="S296" s="15" t="inlineStr">
        <is>
          <t>CNF_UNIT_FILTERING_TBL</t>
        </is>
      </c>
      <c r="T296" s="15" t="inlineStr">
        <is>
          <t>VALUES(</t>
        </is>
      </c>
      <c r="U296" s="15" t="inlineStr">
        <is>
          <t>602 , 8</t>
        </is>
      </c>
      <c r="V296" s="15" t="inlineStr">
        <is>
          <t>);</t>
        </is>
      </c>
      <c r="X296" s="18">
        <f>EXACT(TRIM(L296&amp;""),O296&amp;"")</f>
        <v/>
      </c>
      <c r="Y296" s="18">
        <f>EXACT(TRIM(E296&amp;""),P296&amp;"")</f>
        <v/>
      </c>
      <c r="Z296" s="18">
        <f>AND(X296:Y296)</f>
        <v/>
      </c>
      <c r="AA296" s="19">
        <f>TRIM(IF(X296,"",$X$3&amp;" ")&amp;IF(Y296,"",$Y$3&amp;" "))</f>
        <v/>
      </c>
      <c r="AB296" s="18">
        <f>EXACT(SUBSTITUTE(M296," ",""),SUBSTITUTE(R296&amp;S296&amp;T296&amp;U296&amp;V296," ",""))</f>
        <v/>
      </c>
    </row>
    <row r="297">
      <c r="A297" s="15" t="inlineStr">
        <is>
          <t>INSERT INTO CNF_UNIT_FILTERING_TBL SELECT UNIT_ID, 9 FROM MST_UNIT_TBL WHERE UNIT_CODE = 'LF025';</t>
        </is>
      </c>
      <c r="B297" s="16" t="n"/>
      <c r="C297" s="15" t="inlineStr">
        <is>
          <t>CNF_UNIT_FILTERING_TBL</t>
        </is>
      </c>
      <c r="D297" s="15" t="inlineStr">
        <is>
          <t>UNIT_ID</t>
        </is>
      </c>
      <c r="E297" s="15" t="inlineStr">
        <is>
          <t>9</t>
        </is>
      </c>
      <c r="F297" s="15" t="inlineStr">
        <is>
          <t>MST_UNIT_TBL</t>
        </is>
      </c>
      <c r="G297" s="15" t="inlineStr">
        <is>
          <t>UNIT_CODE</t>
        </is>
      </c>
      <c r="H297" s="15" t="inlineStr">
        <is>
          <t>LF025</t>
        </is>
      </c>
      <c r="J297" s="15" t="inlineStr">
        <is>
          <t>LF025</t>
        </is>
      </c>
      <c r="K297" s="15" t="inlineStr">
        <is>
          <t>広島営業部</t>
        </is>
      </c>
      <c r="L297" s="15" t="inlineStr">
        <is>
          <t>602</t>
        </is>
      </c>
      <c r="M297" s="19">
        <f>"INSERT INTO "&amp;C297&amp;" VALUES("&amp;L297&amp;" , "&amp;E297&amp;");"</f>
        <v/>
      </c>
      <c r="O297" s="17" t="inlineStr">
        <is>
          <t>602</t>
        </is>
      </c>
      <c r="P297" s="17" t="inlineStr">
        <is>
          <t>9</t>
        </is>
      </c>
      <c r="R297" s="15" t="inlineStr">
        <is>
          <t>INSERT INTO</t>
        </is>
      </c>
      <c r="S297" s="15" t="inlineStr">
        <is>
          <t>CNF_UNIT_FILTERING_TBL</t>
        </is>
      </c>
      <c r="T297" s="15" t="inlineStr">
        <is>
          <t>VALUES(</t>
        </is>
      </c>
      <c r="U297" s="15" t="inlineStr">
        <is>
          <t>602 , 9</t>
        </is>
      </c>
      <c r="V297" s="15" t="inlineStr">
        <is>
          <t>);</t>
        </is>
      </c>
      <c r="X297" s="18">
        <f>EXACT(TRIM(L297&amp;""),O297&amp;"")</f>
        <v/>
      </c>
      <c r="Y297" s="18">
        <f>EXACT(TRIM(E297&amp;""),P297&amp;"")</f>
        <v/>
      </c>
      <c r="Z297" s="18">
        <f>AND(X297:Y297)</f>
        <v/>
      </c>
      <c r="AA297" s="19">
        <f>TRIM(IF(X297,"",$X$3&amp;" ")&amp;IF(Y297,"",$Y$3&amp;" "))</f>
        <v/>
      </c>
      <c r="AB297" s="18">
        <f>EXACT(SUBSTITUTE(M297," ",""),SUBSTITUTE(R297&amp;S297&amp;T297&amp;U297&amp;V297," ",""))</f>
        <v/>
      </c>
    </row>
    <row r="298">
      <c r="A298" s="15" t="inlineStr">
        <is>
          <t>INSERT INTO CNF_UNIT_FILTERING_TBL SELECT UNIT_ID, 11 FROM MST_UNIT_TBL WHERE UNIT_CODE = 'LF025';</t>
        </is>
      </c>
      <c r="B298" s="16" t="n"/>
      <c r="C298" s="15" t="inlineStr">
        <is>
          <t>CNF_UNIT_FILTERING_TBL</t>
        </is>
      </c>
      <c r="D298" s="15" t="inlineStr">
        <is>
          <t>UNIT_ID</t>
        </is>
      </c>
      <c r="E298" s="15" t="inlineStr">
        <is>
          <t>11</t>
        </is>
      </c>
      <c r="F298" s="15" t="inlineStr">
        <is>
          <t>MST_UNIT_TBL</t>
        </is>
      </c>
      <c r="G298" s="15" t="inlineStr">
        <is>
          <t>UNIT_CODE</t>
        </is>
      </c>
      <c r="H298" s="15" t="inlineStr">
        <is>
          <t>LF025</t>
        </is>
      </c>
      <c r="J298" s="15" t="inlineStr">
        <is>
          <t>LF025</t>
        </is>
      </c>
      <c r="K298" s="15" t="inlineStr">
        <is>
          <t>広島営業部</t>
        </is>
      </c>
      <c r="L298" s="15" t="inlineStr">
        <is>
          <t>602</t>
        </is>
      </c>
      <c r="M298" s="19">
        <f>"INSERT INTO "&amp;C298&amp;" VALUES("&amp;L298&amp;" , "&amp;E298&amp;");"</f>
        <v/>
      </c>
      <c r="O298" s="17" t="inlineStr">
        <is>
          <t>602</t>
        </is>
      </c>
      <c r="P298" s="17" t="inlineStr">
        <is>
          <t>11</t>
        </is>
      </c>
      <c r="R298" s="15" t="inlineStr">
        <is>
          <t>INSERT INTO</t>
        </is>
      </c>
      <c r="S298" s="15" t="inlineStr">
        <is>
          <t>CNF_UNIT_FILTERING_TBL</t>
        </is>
      </c>
      <c r="T298" s="15" t="inlineStr">
        <is>
          <t>VALUES(</t>
        </is>
      </c>
      <c r="U298" s="15" t="inlineStr">
        <is>
          <t>602 , 11</t>
        </is>
      </c>
      <c r="V298" s="15" t="inlineStr">
        <is>
          <t>);</t>
        </is>
      </c>
      <c r="X298" s="18">
        <f>EXACT(TRIM(L298&amp;""),O298&amp;"")</f>
        <v/>
      </c>
      <c r="Y298" s="18">
        <f>EXACT(TRIM(E298&amp;""),P298&amp;"")</f>
        <v/>
      </c>
      <c r="Z298" s="18">
        <f>AND(X298:Y298)</f>
        <v/>
      </c>
      <c r="AA298" s="19">
        <f>TRIM(IF(X298,"",$X$3&amp;" ")&amp;IF(Y298,"",$Y$3&amp;" "))</f>
        <v/>
      </c>
      <c r="AB298" s="18">
        <f>EXACT(SUBSTITUTE(M298," ",""),SUBSTITUTE(R298&amp;S298&amp;T298&amp;U298&amp;V298," ",""))</f>
        <v/>
      </c>
    </row>
    <row r="299">
      <c r="A299" s="15" t="inlineStr">
        <is>
          <t>INSERT INTO CNF_UNIT_FILTERING_TBL SELECT UNIT_ID, 12 FROM MST_UNIT_TBL WHERE UNIT_CODE = 'LF025';</t>
        </is>
      </c>
      <c r="B299" s="16" t="n"/>
      <c r="C299" s="15" t="inlineStr">
        <is>
          <t>CNF_UNIT_FILTERING_TBL</t>
        </is>
      </c>
      <c r="D299" s="15" t="inlineStr">
        <is>
          <t>UNIT_ID</t>
        </is>
      </c>
      <c r="E299" s="15" t="inlineStr">
        <is>
          <t>12</t>
        </is>
      </c>
      <c r="F299" s="15" t="inlineStr">
        <is>
          <t>MST_UNIT_TBL</t>
        </is>
      </c>
      <c r="G299" s="15" t="inlineStr">
        <is>
          <t>UNIT_CODE</t>
        </is>
      </c>
      <c r="H299" s="15" t="inlineStr">
        <is>
          <t>LF025</t>
        </is>
      </c>
      <c r="J299" s="15" t="inlineStr">
        <is>
          <t>LF025</t>
        </is>
      </c>
      <c r="K299" s="15" t="inlineStr">
        <is>
          <t>広島営業部</t>
        </is>
      </c>
      <c r="L299" s="15" t="inlineStr">
        <is>
          <t>602</t>
        </is>
      </c>
      <c r="M299" s="19">
        <f>"INSERT INTO "&amp;C299&amp;" VALUES("&amp;L299&amp;" , "&amp;E299&amp;");"</f>
        <v/>
      </c>
      <c r="O299" s="17" t="inlineStr">
        <is>
          <t>602</t>
        </is>
      </c>
      <c r="P299" s="17" t="inlineStr">
        <is>
          <t>12</t>
        </is>
      </c>
      <c r="R299" s="15" t="inlineStr">
        <is>
          <t>INSERT INTO</t>
        </is>
      </c>
      <c r="S299" s="15" t="inlineStr">
        <is>
          <t>CNF_UNIT_FILTERING_TBL</t>
        </is>
      </c>
      <c r="T299" s="15" t="inlineStr">
        <is>
          <t>VALUES(</t>
        </is>
      </c>
      <c r="U299" s="15" t="inlineStr">
        <is>
          <t>602 , 12</t>
        </is>
      </c>
      <c r="V299" s="15" t="inlineStr">
        <is>
          <t>);</t>
        </is>
      </c>
      <c r="X299" s="18">
        <f>EXACT(TRIM(L299&amp;""),O299&amp;"")</f>
        <v/>
      </c>
      <c r="Y299" s="18">
        <f>EXACT(TRIM(E299&amp;""),P299&amp;"")</f>
        <v/>
      </c>
      <c r="Z299" s="18">
        <f>AND(X299:Y299)</f>
        <v/>
      </c>
      <c r="AA299" s="19">
        <f>TRIM(IF(X299,"",$X$3&amp;" ")&amp;IF(Y299,"",$Y$3&amp;" "))</f>
        <v/>
      </c>
      <c r="AB299" s="18">
        <f>EXACT(SUBSTITUTE(M299," ",""),SUBSTITUTE(R299&amp;S299&amp;T299&amp;U299&amp;V299," ",""))</f>
        <v/>
      </c>
    </row>
    <row r="300">
      <c r="A300" s="15" t="inlineStr">
        <is>
          <t>INSERT INTO CNF_UNIT_FILTERING_TBL SELECT UNIT_ID, 13 FROM MST_UNIT_TBL WHERE UNIT_CODE = 'LF025';</t>
        </is>
      </c>
      <c r="B300" s="16" t="n"/>
      <c r="C300" s="15" t="inlineStr">
        <is>
          <t>CNF_UNIT_FILTERING_TBL</t>
        </is>
      </c>
      <c r="D300" s="15" t="inlineStr">
        <is>
          <t>UNIT_ID</t>
        </is>
      </c>
      <c r="E300" s="15" t="inlineStr">
        <is>
          <t>13</t>
        </is>
      </c>
      <c r="F300" s="15" t="inlineStr">
        <is>
          <t>MST_UNIT_TBL</t>
        </is>
      </c>
      <c r="G300" s="15" t="inlineStr">
        <is>
          <t>UNIT_CODE</t>
        </is>
      </c>
      <c r="H300" s="15" t="inlineStr">
        <is>
          <t>LF025</t>
        </is>
      </c>
      <c r="J300" s="15" t="inlineStr">
        <is>
          <t>LF025</t>
        </is>
      </c>
      <c r="K300" s="15" t="inlineStr">
        <is>
          <t>広島営業部</t>
        </is>
      </c>
      <c r="L300" s="15" t="inlineStr">
        <is>
          <t>602</t>
        </is>
      </c>
      <c r="M300" s="19">
        <f>"INSERT INTO "&amp;C300&amp;" VALUES("&amp;L300&amp;" , "&amp;E300&amp;");"</f>
        <v/>
      </c>
      <c r="O300" s="17" t="inlineStr">
        <is>
          <t>602</t>
        </is>
      </c>
      <c r="P300" s="17" t="inlineStr">
        <is>
          <t>13</t>
        </is>
      </c>
      <c r="R300" s="15" t="inlineStr">
        <is>
          <t>INSERT INTO</t>
        </is>
      </c>
      <c r="S300" s="15" t="inlineStr">
        <is>
          <t>CNF_UNIT_FILTERING_TBL</t>
        </is>
      </c>
      <c r="T300" s="15" t="inlineStr">
        <is>
          <t>VALUES(</t>
        </is>
      </c>
      <c r="U300" s="15" t="inlineStr">
        <is>
          <t>602 , 13</t>
        </is>
      </c>
      <c r="V300" s="15" t="inlineStr">
        <is>
          <t>);</t>
        </is>
      </c>
      <c r="X300" s="18">
        <f>EXACT(TRIM(L300&amp;""),O300&amp;"")</f>
        <v/>
      </c>
      <c r="Y300" s="18">
        <f>EXACT(TRIM(E300&amp;""),P300&amp;"")</f>
        <v/>
      </c>
      <c r="Z300" s="18">
        <f>AND(X300:Y300)</f>
        <v/>
      </c>
      <c r="AA300" s="19">
        <f>TRIM(IF(X300,"",$X$3&amp;" ")&amp;IF(Y300,"",$Y$3&amp;" "))</f>
        <v/>
      </c>
      <c r="AB300" s="18">
        <f>EXACT(SUBSTITUTE(M300," ",""),SUBSTITUTE(R300&amp;S300&amp;T300&amp;U300&amp;V300," ",""))</f>
        <v/>
      </c>
    </row>
    <row r="301">
      <c r="A301" s="15" t="inlineStr">
        <is>
          <t>INSERT INTO CNF_UNIT_FILTERING_TBL SELECT UNIT_ID, 14 FROM MST_UNIT_TBL WHERE UNIT_CODE = 'LF025';</t>
        </is>
      </c>
      <c r="B301" s="16" t="n"/>
      <c r="C301" s="15" t="inlineStr">
        <is>
          <t>CNF_UNIT_FILTERING_TBL</t>
        </is>
      </c>
      <c r="D301" s="15" t="inlineStr">
        <is>
          <t>UNIT_ID</t>
        </is>
      </c>
      <c r="E301" s="15" t="inlineStr">
        <is>
          <t>14</t>
        </is>
      </c>
      <c r="F301" s="15" t="inlineStr">
        <is>
          <t>MST_UNIT_TBL</t>
        </is>
      </c>
      <c r="G301" s="15" t="inlineStr">
        <is>
          <t>UNIT_CODE</t>
        </is>
      </c>
      <c r="H301" s="15" t="inlineStr">
        <is>
          <t>LF025</t>
        </is>
      </c>
      <c r="J301" s="15" t="inlineStr">
        <is>
          <t>LF025</t>
        </is>
      </c>
      <c r="K301" s="15" t="inlineStr">
        <is>
          <t>広島営業部</t>
        </is>
      </c>
      <c r="L301" s="15" t="inlineStr">
        <is>
          <t>602</t>
        </is>
      </c>
      <c r="M301" s="19">
        <f>"INSERT INTO "&amp;C301&amp;" VALUES("&amp;L301&amp;" , "&amp;E301&amp;");"</f>
        <v/>
      </c>
      <c r="O301" s="17" t="inlineStr">
        <is>
          <t>602</t>
        </is>
      </c>
      <c r="P301" s="17" t="inlineStr">
        <is>
          <t>14</t>
        </is>
      </c>
      <c r="R301" s="15" t="inlineStr">
        <is>
          <t>INSERT INTO</t>
        </is>
      </c>
      <c r="S301" s="15" t="inlineStr">
        <is>
          <t>CNF_UNIT_FILTERING_TBL</t>
        </is>
      </c>
      <c r="T301" s="15" t="inlineStr">
        <is>
          <t>VALUES(</t>
        </is>
      </c>
      <c r="U301" s="15" t="inlineStr">
        <is>
          <t>602 , 14</t>
        </is>
      </c>
      <c r="V301" s="15" t="inlineStr">
        <is>
          <t>);</t>
        </is>
      </c>
      <c r="X301" s="18">
        <f>EXACT(TRIM(L301&amp;""),O301&amp;"")</f>
        <v/>
      </c>
      <c r="Y301" s="18">
        <f>EXACT(TRIM(E301&amp;""),P301&amp;"")</f>
        <v/>
      </c>
      <c r="Z301" s="18">
        <f>AND(X301:Y301)</f>
        <v/>
      </c>
      <c r="AA301" s="19">
        <f>TRIM(IF(X301,"",$X$3&amp;" ")&amp;IF(Y301,"",$Y$3&amp;" "))</f>
        <v/>
      </c>
      <c r="AB301" s="18">
        <f>EXACT(SUBSTITUTE(M301," ",""),SUBSTITUTE(R301&amp;S301&amp;T301&amp;U301&amp;V301," ",""))</f>
        <v/>
      </c>
    </row>
    <row r="302">
      <c r="A302" s="15" t="inlineStr">
        <is>
          <t>INSERT INTO CNF_UNIT_FILTERING_TBL SELECT UNIT_ID, 15 FROM MST_UNIT_TBL WHERE UNIT_CODE = 'LF025';</t>
        </is>
      </c>
      <c r="B302" s="16" t="n"/>
      <c r="C302" s="15" t="inlineStr">
        <is>
          <t>CNF_UNIT_FILTERING_TBL</t>
        </is>
      </c>
      <c r="D302" s="15" t="inlineStr">
        <is>
          <t>UNIT_ID</t>
        </is>
      </c>
      <c r="E302" s="15" t="inlineStr">
        <is>
          <t>15</t>
        </is>
      </c>
      <c r="F302" s="15" t="inlineStr">
        <is>
          <t>MST_UNIT_TBL</t>
        </is>
      </c>
      <c r="G302" s="15" t="inlineStr">
        <is>
          <t>UNIT_CODE</t>
        </is>
      </c>
      <c r="H302" s="15" t="inlineStr">
        <is>
          <t>LF025</t>
        </is>
      </c>
      <c r="J302" s="15" t="inlineStr">
        <is>
          <t>LF025</t>
        </is>
      </c>
      <c r="K302" s="15" t="inlineStr">
        <is>
          <t>広島営業部</t>
        </is>
      </c>
      <c r="L302" s="15" t="inlineStr">
        <is>
          <t>602</t>
        </is>
      </c>
      <c r="M302" s="19">
        <f>"INSERT INTO "&amp;C302&amp;" VALUES("&amp;L302&amp;" , "&amp;E302&amp;");"</f>
        <v/>
      </c>
      <c r="O302" s="17" t="inlineStr">
        <is>
          <t>602</t>
        </is>
      </c>
      <c r="P302" s="17" t="inlineStr">
        <is>
          <t>15</t>
        </is>
      </c>
      <c r="R302" s="15" t="inlineStr">
        <is>
          <t>INSERT INTO</t>
        </is>
      </c>
      <c r="S302" s="15" t="inlineStr">
        <is>
          <t>CNF_UNIT_FILTERING_TBL</t>
        </is>
      </c>
      <c r="T302" s="15" t="inlineStr">
        <is>
          <t>VALUES(</t>
        </is>
      </c>
      <c r="U302" s="15" t="inlineStr">
        <is>
          <t>602 , 15</t>
        </is>
      </c>
      <c r="V302" s="15" t="inlineStr">
        <is>
          <t>);</t>
        </is>
      </c>
      <c r="X302" s="18">
        <f>EXACT(TRIM(L302&amp;""),O302&amp;"")</f>
        <v/>
      </c>
      <c r="Y302" s="18">
        <f>EXACT(TRIM(E302&amp;""),P302&amp;"")</f>
        <v/>
      </c>
      <c r="Z302" s="18">
        <f>AND(X302:Y302)</f>
        <v/>
      </c>
      <c r="AA302" s="19">
        <f>TRIM(IF(X302,"",$X$3&amp;" ")&amp;IF(Y302,"",$Y$3&amp;" "))</f>
        <v/>
      </c>
      <c r="AB302" s="18">
        <f>EXACT(SUBSTITUTE(M302," ",""),SUBSTITUTE(R302&amp;S302&amp;T302&amp;U302&amp;V302," ",""))</f>
        <v/>
      </c>
    </row>
    <row r="303">
      <c r="A303" s="15" t="inlineStr">
        <is>
          <t>INSERT INTO CNF_UNIT_FILTERING_TBL SELECT UNIT_ID, 16 FROM MST_UNIT_TBL WHERE UNIT_CODE = 'LF025';</t>
        </is>
      </c>
      <c r="B303" s="16" t="n"/>
      <c r="C303" s="15" t="inlineStr">
        <is>
          <t>CNF_UNIT_FILTERING_TBL</t>
        </is>
      </c>
      <c r="D303" s="15" t="inlineStr">
        <is>
          <t>UNIT_ID</t>
        </is>
      </c>
      <c r="E303" s="15" t="inlineStr">
        <is>
          <t>16</t>
        </is>
      </c>
      <c r="F303" s="15" t="inlineStr">
        <is>
          <t>MST_UNIT_TBL</t>
        </is>
      </c>
      <c r="G303" s="15" t="inlineStr">
        <is>
          <t>UNIT_CODE</t>
        </is>
      </c>
      <c r="H303" s="15" t="inlineStr">
        <is>
          <t>LF025</t>
        </is>
      </c>
      <c r="J303" s="15" t="inlineStr">
        <is>
          <t>LF025</t>
        </is>
      </c>
      <c r="K303" s="15" t="inlineStr">
        <is>
          <t>広島営業部</t>
        </is>
      </c>
      <c r="L303" s="15" t="inlineStr">
        <is>
          <t>602</t>
        </is>
      </c>
      <c r="M303" s="19">
        <f>"INSERT INTO "&amp;C303&amp;" VALUES("&amp;L303&amp;" , "&amp;E303&amp;");"</f>
        <v/>
      </c>
      <c r="O303" s="17" t="inlineStr">
        <is>
          <t>602</t>
        </is>
      </c>
      <c r="P303" s="17" t="inlineStr">
        <is>
          <t>16</t>
        </is>
      </c>
      <c r="R303" s="15" t="inlineStr">
        <is>
          <t>INSERT INTO</t>
        </is>
      </c>
      <c r="S303" s="15" t="inlineStr">
        <is>
          <t>CNF_UNIT_FILTERING_TBL</t>
        </is>
      </c>
      <c r="T303" s="15" t="inlineStr">
        <is>
          <t>VALUES(</t>
        </is>
      </c>
      <c r="U303" s="15" t="inlineStr">
        <is>
          <t>602 , 16</t>
        </is>
      </c>
      <c r="V303" s="15" t="inlineStr">
        <is>
          <t>);</t>
        </is>
      </c>
      <c r="X303" s="18">
        <f>EXACT(TRIM(L303&amp;""),O303&amp;"")</f>
        <v/>
      </c>
      <c r="Y303" s="18">
        <f>EXACT(TRIM(E303&amp;""),P303&amp;"")</f>
        <v/>
      </c>
      <c r="Z303" s="18">
        <f>AND(X303:Y303)</f>
        <v/>
      </c>
      <c r="AA303" s="19">
        <f>TRIM(IF(X303,"",$X$3&amp;" ")&amp;IF(Y303,"",$Y$3&amp;" "))</f>
        <v/>
      </c>
      <c r="AB303" s="18">
        <f>EXACT(SUBSTITUTE(M303," ",""),SUBSTITUTE(R303&amp;S303&amp;T303&amp;U303&amp;V303," ",""))</f>
        <v/>
      </c>
    </row>
  </sheetData>
  <autoFilter ref="A3:AE303"/>
  <mergeCells count="11">
    <mergeCell ref="O2:P2"/>
    <mergeCell ref="C2:H2"/>
    <mergeCell ref="X1:AB1"/>
    <mergeCell ref="AD1:AE1"/>
    <mergeCell ref="AD2:AE2"/>
    <mergeCell ref="R2:V2"/>
    <mergeCell ref="X2:AA2"/>
    <mergeCell ref="O1:V1"/>
    <mergeCell ref="J2:M2"/>
    <mergeCell ref="A1:H1"/>
    <mergeCell ref="J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77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" customWidth="1" min="6" max="6"/>
    <col width="15" customWidth="1" min="7" max="7"/>
    <col width="15" customWidth="1" min="8" max="8"/>
    <col width="15" customWidth="1" min="9" max="9"/>
    <col width="2" customWidth="1" min="10" max="10"/>
    <col width="11" customWidth="1" min="11" max="11"/>
    <col width="11" customWidth="1" min="12" max="12"/>
    <col width="11" customWidth="1" min="13" max="13"/>
    <col width="62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24" customWidth="1" min="21" max="21"/>
    <col width="11" customWidth="1" min="22" max="22"/>
    <col width="2" customWidth="1" min="23" max="23"/>
    <col width="8" customWidth="1" min="24" max="24"/>
    <col width="30" customWidth="1" min="25" max="25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3" t="n"/>
      <c r="G1" s="4" t="inlineStr">
        <is>
          <t>②③ マスタ定義書</t>
        </is>
      </c>
      <c r="H1" s="2" t="n"/>
      <c r="I1" s="2" t="n"/>
      <c r="J1" s="2" t="n"/>
      <c r="K1" s="2" t="n"/>
      <c r="L1" s="2" t="n"/>
      <c r="M1" s="2" t="n"/>
      <c r="N1" s="2" t="n"/>
      <c r="O1" s="3" t="n"/>
      <c r="Q1" s="5" t="inlineStr">
        <is>
          <t>突合</t>
        </is>
      </c>
      <c r="R1" s="2" t="n"/>
      <c r="S1" s="2" t="n"/>
      <c r="T1" s="2" t="n"/>
      <c r="U1" s="2" t="n"/>
      <c r="V1" s="3" t="n"/>
      <c r="X1" s="6" t="inlineStr">
        <is>
          <t>確認結果（記入欄）</t>
        </is>
      </c>
      <c r="Y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3" t="n"/>
      <c r="G2" s="4" t="inlineStr">
        <is>
          <t>横浜銀行様用出荷設定</t>
        </is>
      </c>
      <c r="H2" s="2" t="n"/>
      <c r="I2" s="3" t="n"/>
      <c r="K2" s="8" t="inlineStr">
        <is>
          <t>SQL</t>
        </is>
      </c>
      <c r="L2" s="2" t="n"/>
      <c r="M2" s="2" t="n"/>
      <c r="N2" s="2" t="n"/>
      <c r="O2" s="3" t="n"/>
      <c r="Q2" s="5" t="inlineStr">
        <is>
          <t>①②の突合（項目ごと）</t>
        </is>
      </c>
      <c r="R2" s="2" t="n"/>
      <c r="S2" s="2" t="n"/>
      <c r="T2" s="2" t="n"/>
      <c r="U2" s="3" t="n"/>
      <c r="V2" s="5" t="inlineStr">
        <is>
          <t>①③の突合</t>
        </is>
      </c>
      <c r="X2" s="6" t="inlineStr">
        <is>
          <t>確認結果</t>
        </is>
      </c>
      <c r="Y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G3" s="11" t="inlineStr">
        <is>
          <t>IN_COMP_CODE</t>
        </is>
      </c>
      <c r="H3" s="11" t="inlineStr">
        <is>
          <t>FILE_ATTR</t>
        </is>
      </c>
      <c r="I3" s="11" t="inlineStr">
        <is>
          <t>FILTERING_DEF_ID</t>
        </is>
      </c>
      <c r="K3" s="12" t="inlineStr">
        <is>
          <t>固定</t>
        </is>
      </c>
      <c r="L3" s="12" t="inlineStr">
        <is>
          <t>固定</t>
        </is>
      </c>
      <c r="M3" s="12" t="inlineStr">
        <is>
          <t>固定</t>
        </is>
      </c>
      <c r="N3" s="12" t="inlineStr">
        <is>
          <t>数式</t>
        </is>
      </c>
      <c r="O3" s="12" t="inlineStr">
        <is>
          <t>固定</t>
        </is>
      </c>
      <c r="Q3" s="13" t="inlineStr">
        <is>
          <t>IN_COMP_CODE</t>
        </is>
      </c>
      <c r="R3" s="13" t="inlineStr">
        <is>
          <t>FILE_ATTR</t>
        </is>
      </c>
      <c r="S3" s="13" t="inlineStr">
        <is>
          <t>FILTERING_DEF_ID</t>
        </is>
      </c>
      <c r="T3" s="13" t="inlineStr">
        <is>
          <t>全項目一致</t>
        </is>
      </c>
      <c r="U3" s="13" t="inlineStr">
        <is>
          <t>相違した項目</t>
        </is>
      </c>
      <c r="V3" s="13" t="inlineStr">
        <is>
          <t>SQL文一致</t>
        </is>
      </c>
      <c r="X3" s="14" t="inlineStr">
        <is>
          <t>判定</t>
        </is>
      </c>
      <c r="Y3" s="14" t="inlineStr">
        <is>
          <t>備考</t>
        </is>
      </c>
    </row>
    <row r="4">
      <c r="A4" s="15" t="inlineStr">
        <is>
          <t>INSERT INTO CNF_CIF_FILE_FILTERING_TBL VALUES('A' , 'B' , 16);</t>
        </is>
      </c>
      <c r="B4" s="16" t="n"/>
      <c r="C4" s="15" t="inlineStr">
        <is>
          <t xml:space="preserve">'A' </t>
        </is>
      </c>
      <c r="D4" s="15" t="inlineStr">
        <is>
          <t xml:space="preserve"> 'B' </t>
        </is>
      </c>
      <c r="E4" s="15" t="inlineStr">
        <is>
          <t xml:space="preserve"> 16</t>
        </is>
      </c>
      <c r="G4" s="17" t="inlineStr">
        <is>
          <t>A</t>
        </is>
      </c>
      <c r="H4" s="17" t="inlineStr">
        <is>
          <t>B</t>
        </is>
      </c>
      <c r="I4" s="17" t="inlineStr">
        <is>
          <t>16</t>
        </is>
      </c>
      <c r="K4" s="15" t="inlineStr">
        <is>
          <t>INSERT INTO</t>
        </is>
      </c>
      <c r="L4" s="15" t="inlineStr">
        <is>
          <t>CNF_CIF_FILE_FILTERING_TBL</t>
        </is>
      </c>
      <c r="M4" s="15" t="inlineStr">
        <is>
          <t>VALUES(</t>
        </is>
      </c>
      <c r="N4" s="15" t="inlineStr">
        <is>
          <t>'A' , 'B' , 16</t>
        </is>
      </c>
      <c r="O4" s="15" t="inlineStr">
        <is>
          <t>);</t>
        </is>
      </c>
      <c r="Q4" s="18">
        <f>EXACT(TRIM(C4),"'"&amp;G4&amp;"'")</f>
        <v/>
      </c>
      <c r="R4" s="18">
        <f>EXACT(TRIM(D4),"'"&amp;H4&amp;"'")</f>
        <v/>
      </c>
      <c r="S4" s="18">
        <f>EXACT(TRIM(E4),I4&amp;"")</f>
        <v/>
      </c>
      <c r="T4" s="18">
        <f>AND(Q4:S4)</f>
        <v/>
      </c>
      <c r="U4" s="19">
        <f>TRIM(IF(Q4,"",$Q$3&amp;" ")&amp;IF(R4,"",$R$3&amp;" ")&amp;IF(S4,"",$S$3&amp;" "))</f>
        <v/>
      </c>
      <c r="V4" s="18">
        <f>EXACT(SUBSTITUTE(A4," ",""),SUBSTITUTE(K4&amp;L4&amp;M4&amp;N4&amp;O4," ",""))</f>
        <v/>
      </c>
    </row>
    <row r="5">
      <c r="A5" s="15" t="inlineStr">
        <is>
          <t>INSERT INTO CNF_CIF_FILE_FILTERING_TBL VALUES('A' , 'C' , 16);</t>
        </is>
      </c>
      <c r="B5" s="16" t="n"/>
      <c r="C5" s="15" t="inlineStr">
        <is>
          <t xml:space="preserve">'A' </t>
        </is>
      </c>
      <c r="D5" s="15" t="inlineStr">
        <is>
          <t xml:space="preserve"> 'C' </t>
        </is>
      </c>
      <c r="E5" s="15" t="inlineStr">
        <is>
          <t xml:space="preserve"> 16</t>
        </is>
      </c>
      <c r="G5" s="17" t="inlineStr">
        <is>
          <t>A</t>
        </is>
      </c>
      <c r="H5" s="17" t="inlineStr">
        <is>
          <t>C</t>
        </is>
      </c>
      <c r="I5" s="17" t="inlineStr">
        <is>
          <t>16</t>
        </is>
      </c>
      <c r="K5" s="15" t="inlineStr">
        <is>
          <t>INSERT INTO</t>
        </is>
      </c>
      <c r="L5" s="15" t="inlineStr">
        <is>
          <t>CNF_CIF_FILE_FILTERING_TBL</t>
        </is>
      </c>
      <c r="M5" s="15" t="inlineStr">
        <is>
          <t>VALUES(</t>
        </is>
      </c>
      <c r="N5" s="15" t="inlineStr">
        <is>
          <t>'A' , 'C' , 16</t>
        </is>
      </c>
      <c r="O5" s="15" t="inlineStr">
        <is>
          <t>);</t>
        </is>
      </c>
      <c r="Q5" s="18">
        <f>EXACT(TRIM(C5),"'"&amp;G5&amp;"'")</f>
        <v/>
      </c>
      <c r="R5" s="18">
        <f>EXACT(TRIM(D5),"'"&amp;H5&amp;"'")</f>
        <v/>
      </c>
      <c r="S5" s="18">
        <f>EXACT(TRIM(E5),I5&amp;"")</f>
        <v/>
      </c>
      <c r="T5" s="18">
        <f>AND(Q5:S5)</f>
        <v/>
      </c>
      <c r="U5" s="19">
        <f>TRIM(IF(Q5,"",$Q$3&amp;" ")&amp;IF(R5,"",$R$3&amp;" ")&amp;IF(S5,"",$S$3&amp;" "))</f>
        <v/>
      </c>
      <c r="V5" s="18">
        <f>EXACT(SUBSTITUTE(A5," ",""),SUBSTITUTE(K5&amp;L5&amp;M5&amp;N5&amp;O5," ",""))</f>
        <v/>
      </c>
    </row>
    <row r="6">
      <c r="A6" s="15" t="inlineStr">
        <is>
          <t>INSERT INTO CNF_CIF_FILE_FILTERING_TBL VALUES('A' , 'O' , 1);</t>
        </is>
      </c>
      <c r="B6" s="16" t="n"/>
      <c r="C6" s="15" t="inlineStr">
        <is>
          <t xml:space="preserve">'A' </t>
        </is>
      </c>
      <c r="D6" s="15" t="inlineStr">
        <is>
          <t xml:space="preserve"> 'O' </t>
        </is>
      </c>
      <c r="E6" s="15" t="inlineStr">
        <is>
          <t xml:space="preserve"> 1</t>
        </is>
      </c>
      <c r="G6" s="17" t="inlineStr">
        <is>
          <t>A</t>
        </is>
      </c>
      <c r="H6" s="17" t="inlineStr">
        <is>
          <t>O</t>
        </is>
      </c>
      <c r="I6" s="17" t="inlineStr">
        <is>
          <t>1</t>
        </is>
      </c>
      <c r="K6" s="15" t="inlineStr">
        <is>
          <t>INSERT INTO</t>
        </is>
      </c>
      <c r="L6" s="15" t="inlineStr">
        <is>
          <t>CNF_CIF_FILE_FILTERING_TBL</t>
        </is>
      </c>
      <c r="M6" s="15" t="inlineStr">
        <is>
          <t>VALUES(</t>
        </is>
      </c>
      <c r="N6" s="15" t="inlineStr">
        <is>
          <t>'A' , 'O' , 1</t>
        </is>
      </c>
      <c r="O6" s="15" t="inlineStr">
        <is>
          <t>);</t>
        </is>
      </c>
      <c r="Q6" s="18">
        <f>EXACT(TRIM(C6),"'"&amp;G6&amp;"'")</f>
        <v/>
      </c>
      <c r="R6" s="18">
        <f>EXACT(TRIM(D6),"'"&amp;H6&amp;"'")</f>
        <v/>
      </c>
      <c r="S6" s="18">
        <f>EXACT(TRIM(E6),I6&amp;"")</f>
        <v/>
      </c>
      <c r="T6" s="18">
        <f>AND(Q6:S6)</f>
        <v/>
      </c>
      <c r="U6" s="19">
        <f>TRIM(IF(Q6,"",$Q$3&amp;" ")&amp;IF(R6,"",$R$3&amp;" ")&amp;IF(S6,"",$S$3&amp;" "))</f>
        <v/>
      </c>
      <c r="V6" s="18">
        <f>EXACT(SUBSTITUTE(A6," ",""),SUBSTITUTE(K6&amp;L6&amp;M6&amp;N6&amp;O6," ",""))</f>
        <v/>
      </c>
    </row>
    <row r="7">
      <c r="A7" s="15" t="inlineStr">
        <is>
          <t>INSERT INTO CNF_CIF_FILE_FILTERING_TBL VALUES('A' , 'O' , 4);</t>
        </is>
      </c>
      <c r="B7" s="16" t="n"/>
      <c r="C7" s="15" t="inlineStr">
        <is>
          <t xml:space="preserve">'A' </t>
        </is>
      </c>
      <c r="D7" s="15" t="inlineStr">
        <is>
          <t xml:space="preserve"> 'O' </t>
        </is>
      </c>
      <c r="E7" s="15" t="inlineStr">
        <is>
          <t xml:space="preserve"> 4</t>
        </is>
      </c>
      <c r="G7" s="17" t="inlineStr">
        <is>
          <t>A</t>
        </is>
      </c>
      <c r="H7" s="17" t="inlineStr">
        <is>
          <t>O</t>
        </is>
      </c>
      <c r="I7" s="17" t="inlineStr">
        <is>
          <t>4</t>
        </is>
      </c>
      <c r="K7" s="15" t="inlineStr">
        <is>
          <t>INSERT INTO</t>
        </is>
      </c>
      <c r="L7" s="15" t="inlineStr">
        <is>
          <t>CNF_CIF_FILE_FILTERING_TBL</t>
        </is>
      </c>
      <c r="M7" s="15" t="inlineStr">
        <is>
          <t>VALUES(</t>
        </is>
      </c>
      <c r="N7" s="15" t="inlineStr">
        <is>
          <t>'A' , 'O' , 4</t>
        </is>
      </c>
      <c r="O7" s="15" t="inlineStr">
        <is>
          <t>);</t>
        </is>
      </c>
      <c r="Q7" s="18">
        <f>EXACT(TRIM(C7),"'"&amp;G7&amp;"'")</f>
        <v/>
      </c>
      <c r="R7" s="18">
        <f>EXACT(TRIM(D7),"'"&amp;H7&amp;"'")</f>
        <v/>
      </c>
      <c r="S7" s="18">
        <f>EXACT(TRIM(E7),I7&amp;"")</f>
        <v/>
      </c>
      <c r="T7" s="18">
        <f>AND(Q7:S7)</f>
        <v/>
      </c>
      <c r="U7" s="19">
        <f>TRIM(IF(Q7,"",$Q$3&amp;" ")&amp;IF(R7,"",$R$3&amp;" ")&amp;IF(S7,"",$S$3&amp;" "))</f>
        <v/>
      </c>
      <c r="V7" s="18">
        <f>EXACT(SUBSTITUTE(A7," ",""),SUBSTITUTE(K7&amp;L7&amp;M7&amp;N7&amp;O7," ",""))</f>
        <v/>
      </c>
    </row>
    <row r="8">
      <c r="A8" s="15" t="inlineStr">
        <is>
          <t>INSERT INTO CNF_CIF_FILE_FILTERING_TBL VALUES('A' , 'O' , 5);</t>
        </is>
      </c>
      <c r="B8" s="16" t="n"/>
      <c r="C8" s="15" t="inlineStr">
        <is>
          <t xml:space="preserve">'A' </t>
        </is>
      </c>
      <c r="D8" s="15" t="inlineStr">
        <is>
          <t xml:space="preserve"> 'O' </t>
        </is>
      </c>
      <c r="E8" s="15" t="inlineStr">
        <is>
          <t xml:space="preserve"> 5</t>
        </is>
      </c>
      <c r="G8" s="17" t="inlineStr">
        <is>
          <t>A</t>
        </is>
      </c>
      <c r="H8" s="17" t="inlineStr">
        <is>
          <t>O</t>
        </is>
      </c>
      <c r="I8" s="17" t="inlineStr">
        <is>
          <t>5</t>
        </is>
      </c>
      <c r="K8" s="15" t="inlineStr">
        <is>
          <t>INSERT INTO</t>
        </is>
      </c>
      <c r="L8" s="15" t="inlineStr">
        <is>
          <t>CNF_CIF_FILE_FILTERING_TBL</t>
        </is>
      </c>
      <c r="M8" s="15" t="inlineStr">
        <is>
          <t>VALUES(</t>
        </is>
      </c>
      <c r="N8" s="15" t="inlineStr">
        <is>
          <t>'A' , 'O' , 5</t>
        </is>
      </c>
      <c r="O8" s="15" t="inlineStr">
        <is>
          <t>);</t>
        </is>
      </c>
      <c r="Q8" s="18">
        <f>EXACT(TRIM(C8),"'"&amp;G8&amp;"'")</f>
        <v/>
      </c>
      <c r="R8" s="18">
        <f>EXACT(TRIM(D8),"'"&amp;H8&amp;"'")</f>
        <v/>
      </c>
      <c r="S8" s="18">
        <f>EXACT(TRIM(E8),I8&amp;"")</f>
        <v/>
      </c>
      <c r="T8" s="18">
        <f>AND(Q8:S8)</f>
        <v/>
      </c>
      <c r="U8" s="19">
        <f>TRIM(IF(Q8,"",$Q$3&amp;" ")&amp;IF(R8,"",$R$3&amp;" ")&amp;IF(S8,"",$S$3&amp;" "))</f>
        <v/>
      </c>
      <c r="V8" s="18">
        <f>EXACT(SUBSTITUTE(A8," ",""),SUBSTITUTE(K8&amp;L8&amp;M8&amp;N8&amp;O8," ",""))</f>
        <v/>
      </c>
    </row>
    <row r="9">
      <c r="A9" s="15" t="inlineStr">
        <is>
          <t>INSERT INTO CNF_CIF_FILE_FILTERING_TBL VALUES('A' , 'O' , 6);</t>
        </is>
      </c>
      <c r="B9" s="16" t="n"/>
      <c r="C9" s="15" t="inlineStr">
        <is>
          <t xml:space="preserve">'A' </t>
        </is>
      </c>
      <c r="D9" s="15" t="inlineStr">
        <is>
          <t xml:space="preserve"> 'O' </t>
        </is>
      </c>
      <c r="E9" s="15" t="inlineStr">
        <is>
          <t xml:space="preserve"> 6</t>
        </is>
      </c>
      <c r="G9" s="17" t="inlineStr">
        <is>
          <t>A</t>
        </is>
      </c>
      <c r="H9" s="17" t="inlineStr">
        <is>
          <t>O</t>
        </is>
      </c>
      <c r="I9" s="17" t="inlineStr">
        <is>
          <t>6</t>
        </is>
      </c>
      <c r="K9" s="15" t="inlineStr">
        <is>
          <t>INSERT INTO</t>
        </is>
      </c>
      <c r="L9" s="15" t="inlineStr">
        <is>
          <t>CNF_CIF_FILE_FILTERING_TBL</t>
        </is>
      </c>
      <c r="M9" s="15" t="inlineStr">
        <is>
          <t>VALUES(</t>
        </is>
      </c>
      <c r="N9" s="15" t="inlineStr">
        <is>
          <t>'A' , 'O' , 6</t>
        </is>
      </c>
      <c r="O9" s="15" t="inlineStr">
        <is>
          <t>);</t>
        </is>
      </c>
      <c r="Q9" s="18">
        <f>EXACT(TRIM(C9),"'"&amp;G9&amp;"'")</f>
        <v/>
      </c>
      <c r="R9" s="18">
        <f>EXACT(TRIM(D9),"'"&amp;H9&amp;"'")</f>
        <v/>
      </c>
      <c r="S9" s="18">
        <f>EXACT(TRIM(E9),I9&amp;"")</f>
        <v/>
      </c>
      <c r="T9" s="18">
        <f>AND(Q9:S9)</f>
        <v/>
      </c>
      <c r="U9" s="19">
        <f>TRIM(IF(Q9,"",$Q$3&amp;" ")&amp;IF(R9,"",$R$3&amp;" ")&amp;IF(S9,"",$S$3&amp;" "))</f>
        <v/>
      </c>
      <c r="V9" s="18">
        <f>EXACT(SUBSTITUTE(A9," ",""),SUBSTITUTE(K9&amp;L9&amp;M9&amp;N9&amp;O9," ",""))</f>
        <v/>
      </c>
    </row>
    <row r="10">
      <c r="A10" s="15" t="inlineStr">
        <is>
          <t>INSERT INTO CNF_CIF_FILE_FILTERING_TBL VALUES('A' , 'O' , 8);</t>
        </is>
      </c>
      <c r="B10" s="16" t="n"/>
      <c r="C10" s="15" t="inlineStr">
        <is>
          <t xml:space="preserve">'A' </t>
        </is>
      </c>
      <c r="D10" s="15" t="inlineStr">
        <is>
          <t xml:space="preserve"> 'O' </t>
        </is>
      </c>
      <c r="E10" s="15" t="inlineStr">
        <is>
          <t xml:space="preserve"> 8</t>
        </is>
      </c>
      <c r="G10" s="17" t="inlineStr">
        <is>
          <t>A</t>
        </is>
      </c>
      <c r="H10" s="17" t="inlineStr">
        <is>
          <t>O</t>
        </is>
      </c>
      <c r="I10" s="17" t="inlineStr">
        <is>
          <t>8</t>
        </is>
      </c>
      <c r="K10" s="15" t="inlineStr">
        <is>
          <t>INSERT INTO</t>
        </is>
      </c>
      <c r="L10" s="15" t="inlineStr">
        <is>
          <t>CNF_CIF_FILE_FILTERING_TBL</t>
        </is>
      </c>
      <c r="M10" s="15" t="inlineStr">
        <is>
          <t>VALUES(</t>
        </is>
      </c>
      <c r="N10" s="15" t="inlineStr">
        <is>
          <t>'A' , 'O' , 8</t>
        </is>
      </c>
      <c r="O10" s="15" t="inlineStr">
        <is>
          <t>);</t>
        </is>
      </c>
      <c r="Q10" s="18">
        <f>EXACT(TRIM(C10),"'"&amp;G10&amp;"'")</f>
        <v/>
      </c>
      <c r="R10" s="18">
        <f>EXACT(TRIM(D10),"'"&amp;H10&amp;"'")</f>
        <v/>
      </c>
      <c r="S10" s="18">
        <f>EXACT(TRIM(E10),I10&amp;"")</f>
        <v/>
      </c>
      <c r="T10" s="18">
        <f>AND(Q10:S10)</f>
        <v/>
      </c>
      <c r="U10" s="19">
        <f>TRIM(IF(Q10,"",$Q$3&amp;" ")&amp;IF(R10,"",$R$3&amp;" ")&amp;IF(S10,"",$S$3&amp;" "))</f>
        <v/>
      </c>
      <c r="V10" s="18">
        <f>EXACT(SUBSTITUTE(A10," ",""),SUBSTITUTE(K10&amp;L10&amp;M10&amp;N10&amp;O10," ",""))</f>
        <v/>
      </c>
    </row>
    <row r="11">
      <c r="A11" s="15" t="inlineStr">
        <is>
          <t>INSERT INTO CNF_CIF_FILE_FILTERING_TBL VALUES('A' , 'O' , 9);</t>
        </is>
      </c>
      <c r="B11" s="16" t="n"/>
      <c r="C11" s="15" t="inlineStr">
        <is>
          <t xml:space="preserve">'A' </t>
        </is>
      </c>
      <c r="D11" s="15" t="inlineStr">
        <is>
          <t xml:space="preserve"> 'O' </t>
        </is>
      </c>
      <c r="E11" s="15" t="inlineStr">
        <is>
          <t xml:space="preserve"> 9</t>
        </is>
      </c>
      <c r="G11" s="17" t="inlineStr">
        <is>
          <t>A</t>
        </is>
      </c>
      <c r="H11" s="17" t="inlineStr">
        <is>
          <t>O</t>
        </is>
      </c>
      <c r="I11" s="17" t="inlineStr">
        <is>
          <t>9</t>
        </is>
      </c>
      <c r="K11" s="15" t="inlineStr">
        <is>
          <t>INSERT INTO</t>
        </is>
      </c>
      <c r="L11" s="15" t="inlineStr">
        <is>
          <t>CNF_CIF_FILE_FILTERING_TBL</t>
        </is>
      </c>
      <c r="M11" s="15" t="inlineStr">
        <is>
          <t>VALUES(</t>
        </is>
      </c>
      <c r="N11" s="15" t="inlineStr">
        <is>
          <t>'A' , 'O' , 9</t>
        </is>
      </c>
      <c r="O11" s="15" t="inlineStr">
        <is>
          <t>);</t>
        </is>
      </c>
      <c r="Q11" s="18">
        <f>EXACT(TRIM(C11),"'"&amp;G11&amp;"'")</f>
        <v/>
      </c>
      <c r="R11" s="18">
        <f>EXACT(TRIM(D11),"'"&amp;H11&amp;"'")</f>
        <v/>
      </c>
      <c r="S11" s="18">
        <f>EXACT(TRIM(E11),I11&amp;"")</f>
        <v/>
      </c>
      <c r="T11" s="18">
        <f>AND(Q11:S11)</f>
        <v/>
      </c>
      <c r="U11" s="19">
        <f>TRIM(IF(Q11,"",$Q$3&amp;" ")&amp;IF(R11,"",$R$3&amp;" ")&amp;IF(S11,"",$S$3&amp;" "))</f>
        <v/>
      </c>
      <c r="V11" s="18">
        <f>EXACT(SUBSTITUTE(A11," ",""),SUBSTITUTE(K11&amp;L11&amp;M11&amp;N11&amp;O11," ",""))</f>
        <v/>
      </c>
    </row>
    <row r="12">
      <c r="A12" s="15" t="inlineStr">
        <is>
          <t>INSERT INTO CNF_CIF_FILE_FILTERING_TBL VALUES('A' , 'O' , 11);</t>
        </is>
      </c>
      <c r="B12" s="16" t="n"/>
      <c r="C12" s="15" t="inlineStr">
        <is>
          <t xml:space="preserve">'A' </t>
        </is>
      </c>
      <c r="D12" s="15" t="inlineStr">
        <is>
          <t xml:space="preserve"> 'O' </t>
        </is>
      </c>
      <c r="E12" s="15" t="inlineStr">
        <is>
          <t xml:space="preserve"> 11</t>
        </is>
      </c>
      <c r="G12" s="17" t="inlineStr">
        <is>
          <t>A</t>
        </is>
      </c>
      <c r="H12" s="17" t="inlineStr">
        <is>
          <t>O</t>
        </is>
      </c>
      <c r="I12" s="17" t="inlineStr">
        <is>
          <t>11</t>
        </is>
      </c>
      <c r="K12" s="15" t="inlineStr">
        <is>
          <t>INSERT INTO</t>
        </is>
      </c>
      <c r="L12" s="15" t="inlineStr">
        <is>
          <t>CNF_CIF_FILE_FILTERING_TBL</t>
        </is>
      </c>
      <c r="M12" s="15" t="inlineStr">
        <is>
          <t>VALUES(</t>
        </is>
      </c>
      <c r="N12" s="15" t="inlineStr">
        <is>
          <t>'A' , 'O' , 11</t>
        </is>
      </c>
      <c r="O12" s="15" t="inlineStr">
        <is>
          <t>);</t>
        </is>
      </c>
      <c r="Q12" s="18">
        <f>EXACT(TRIM(C12),"'"&amp;G12&amp;"'")</f>
        <v/>
      </c>
      <c r="R12" s="18">
        <f>EXACT(TRIM(D12),"'"&amp;H12&amp;"'")</f>
        <v/>
      </c>
      <c r="S12" s="18">
        <f>EXACT(TRIM(E12),I12&amp;"")</f>
        <v/>
      </c>
      <c r="T12" s="18">
        <f>AND(Q12:S12)</f>
        <v/>
      </c>
      <c r="U12" s="19">
        <f>TRIM(IF(Q12,"",$Q$3&amp;" ")&amp;IF(R12,"",$R$3&amp;" ")&amp;IF(S12,"",$S$3&amp;" "))</f>
        <v/>
      </c>
      <c r="V12" s="18">
        <f>EXACT(SUBSTITUTE(A12," ",""),SUBSTITUTE(K12&amp;L12&amp;M12&amp;N12&amp;O12," ",""))</f>
        <v/>
      </c>
    </row>
    <row r="13">
      <c r="A13" s="15" t="inlineStr">
        <is>
          <t>INSERT INTO CNF_CIF_FILE_FILTERING_TBL VALUES('A' , 'O' , 12);</t>
        </is>
      </c>
      <c r="B13" s="16" t="n"/>
      <c r="C13" s="15" t="inlineStr">
        <is>
          <t xml:space="preserve">'A' </t>
        </is>
      </c>
      <c r="D13" s="15" t="inlineStr">
        <is>
          <t xml:space="preserve"> 'O' </t>
        </is>
      </c>
      <c r="E13" s="15" t="inlineStr">
        <is>
          <t xml:space="preserve"> 12</t>
        </is>
      </c>
      <c r="G13" s="17" t="inlineStr">
        <is>
          <t>A</t>
        </is>
      </c>
      <c r="H13" s="17" t="inlineStr">
        <is>
          <t>O</t>
        </is>
      </c>
      <c r="I13" s="17" t="inlineStr">
        <is>
          <t>12</t>
        </is>
      </c>
      <c r="K13" s="15" t="inlineStr">
        <is>
          <t>INSERT INTO</t>
        </is>
      </c>
      <c r="L13" s="15" t="inlineStr">
        <is>
          <t>CNF_CIF_FILE_FILTERING_TBL</t>
        </is>
      </c>
      <c r="M13" s="15" t="inlineStr">
        <is>
          <t>VALUES(</t>
        </is>
      </c>
      <c r="N13" s="15" t="inlineStr">
        <is>
          <t>'A' , 'O' , 12</t>
        </is>
      </c>
      <c r="O13" s="15" t="inlineStr">
        <is>
          <t>);</t>
        </is>
      </c>
      <c r="Q13" s="18">
        <f>EXACT(TRIM(C13),"'"&amp;G13&amp;"'")</f>
        <v/>
      </c>
      <c r="R13" s="18">
        <f>EXACT(TRIM(D13),"'"&amp;H13&amp;"'")</f>
        <v/>
      </c>
      <c r="S13" s="18">
        <f>EXACT(TRIM(E13),I13&amp;"")</f>
        <v/>
      </c>
      <c r="T13" s="18">
        <f>AND(Q13:S13)</f>
        <v/>
      </c>
      <c r="U13" s="19">
        <f>TRIM(IF(Q13,"",$Q$3&amp;" ")&amp;IF(R13,"",$R$3&amp;" ")&amp;IF(S13,"",$S$3&amp;" "))</f>
        <v/>
      </c>
      <c r="V13" s="18">
        <f>EXACT(SUBSTITUTE(A13," ",""),SUBSTITUTE(K13&amp;L13&amp;M13&amp;N13&amp;O13," ",""))</f>
        <v/>
      </c>
    </row>
    <row r="14">
      <c r="A14" s="15" t="inlineStr">
        <is>
          <t>INSERT INTO CNF_CIF_FILE_FILTERING_TBL VALUES('A' , 'O' , 13);</t>
        </is>
      </c>
      <c r="B14" s="16" t="n"/>
      <c r="C14" s="15" t="inlineStr">
        <is>
          <t xml:space="preserve">'A' </t>
        </is>
      </c>
      <c r="D14" s="15" t="inlineStr">
        <is>
          <t xml:space="preserve"> 'O' </t>
        </is>
      </c>
      <c r="E14" s="15" t="inlineStr">
        <is>
          <t xml:space="preserve"> 13</t>
        </is>
      </c>
      <c r="G14" s="17" t="inlineStr">
        <is>
          <t>A</t>
        </is>
      </c>
      <c r="H14" s="17" t="inlineStr">
        <is>
          <t>O</t>
        </is>
      </c>
      <c r="I14" s="17" t="inlineStr">
        <is>
          <t>13</t>
        </is>
      </c>
      <c r="K14" s="15" t="inlineStr">
        <is>
          <t>INSERT INTO</t>
        </is>
      </c>
      <c r="L14" s="15" t="inlineStr">
        <is>
          <t>CNF_CIF_FILE_FILTERING_TBL</t>
        </is>
      </c>
      <c r="M14" s="15" t="inlineStr">
        <is>
          <t>VALUES(</t>
        </is>
      </c>
      <c r="N14" s="15" t="inlineStr">
        <is>
          <t>'A' , 'O' , 13</t>
        </is>
      </c>
      <c r="O14" s="15" t="inlineStr">
        <is>
          <t>);</t>
        </is>
      </c>
      <c r="Q14" s="18">
        <f>EXACT(TRIM(C14),"'"&amp;G14&amp;"'")</f>
        <v/>
      </c>
      <c r="R14" s="18">
        <f>EXACT(TRIM(D14),"'"&amp;H14&amp;"'")</f>
        <v/>
      </c>
      <c r="S14" s="18">
        <f>EXACT(TRIM(E14),I14&amp;"")</f>
        <v/>
      </c>
      <c r="T14" s="18">
        <f>AND(Q14:S14)</f>
        <v/>
      </c>
      <c r="U14" s="19">
        <f>TRIM(IF(Q14,"",$Q$3&amp;" ")&amp;IF(R14,"",$R$3&amp;" ")&amp;IF(S14,"",$S$3&amp;" "))</f>
        <v/>
      </c>
      <c r="V14" s="18">
        <f>EXACT(SUBSTITUTE(A14," ",""),SUBSTITUTE(K14&amp;L14&amp;M14&amp;N14&amp;O14," ",""))</f>
        <v/>
      </c>
    </row>
    <row r="15">
      <c r="A15" s="15" t="inlineStr">
        <is>
          <t>INSERT INTO CNF_CIF_FILE_FILTERING_TBL VALUES('A' , 'O' , 14);</t>
        </is>
      </c>
      <c r="B15" s="16" t="n"/>
      <c r="C15" s="15" t="inlineStr">
        <is>
          <t xml:space="preserve">'A' </t>
        </is>
      </c>
      <c r="D15" s="15" t="inlineStr">
        <is>
          <t xml:space="preserve"> 'O' </t>
        </is>
      </c>
      <c r="E15" s="15" t="inlineStr">
        <is>
          <t xml:space="preserve"> 14</t>
        </is>
      </c>
      <c r="G15" s="17" t="inlineStr">
        <is>
          <t>A</t>
        </is>
      </c>
      <c r="H15" s="17" t="inlineStr">
        <is>
          <t>O</t>
        </is>
      </c>
      <c r="I15" s="17" t="inlineStr">
        <is>
          <t>14</t>
        </is>
      </c>
      <c r="K15" s="15" t="inlineStr">
        <is>
          <t>INSERT INTO</t>
        </is>
      </c>
      <c r="L15" s="15" t="inlineStr">
        <is>
          <t>CNF_CIF_FILE_FILTERING_TBL</t>
        </is>
      </c>
      <c r="M15" s="15" t="inlineStr">
        <is>
          <t>VALUES(</t>
        </is>
      </c>
      <c r="N15" s="15" t="inlineStr">
        <is>
          <t>'A' , 'O' , 14</t>
        </is>
      </c>
      <c r="O15" s="15" t="inlineStr">
        <is>
          <t>);</t>
        </is>
      </c>
      <c r="Q15" s="18">
        <f>EXACT(TRIM(C15),"'"&amp;G15&amp;"'")</f>
        <v/>
      </c>
      <c r="R15" s="18">
        <f>EXACT(TRIM(D15),"'"&amp;H15&amp;"'")</f>
        <v/>
      </c>
      <c r="S15" s="18">
        <f>EXACT(TRIM(E15),I15&amp;"")</f>
        <v/>
      </c>
      <c r="T15" s="18">
        <f>AND(Q15:S15)</f>
        <v/>
      </c>
      <c r="U15" s="19">
        <f>TRIM(IF(Q15,"",$Q$3&amp;" ")&amp;IF(R15,"",$R$3&amp;" ")&amp;IF(S15,"",$S$3&amp;" "))</f>
        <v/>
      </c>
      <c r="V15" s="18">
        <f>EXACT(SUBSTITUTE(A15," ",""),SUBSTITUTE(K15&amp;L15&amp;M15&amp;N15&amp;O15," ",""))</f>
        <v/>
      </c>
    </row>
    <row r="16">
      <c r="A16" s="15" t="inlineStr">
        <is>
          <t>INSERT INTO CNF_CIF_FILE_FILTERING_TBL VALUES('A' , 'O' , 15);</t>
        </is>
      </c>
      <c r="B16" s="16" t="n"/>
      <c r="C16" s="15" t="inlineStr">
        <is>
          <t xml:space="preserve">'A' </t>
        </is>
      </c>
      <c r="D16" s="15" t="inlineStr">
        <is>
          <t xml:space="preserve"> 'O' </t>
        </is>
      </c>
      <c r="E16" s="15" t="inlineStr">
        <is>
          <t xml:space="preserve"> 15</t>
        </is>
      </c>
      <c r="G16" s="17" t="inlineStr">
        <is>
          <t>A</t>
        </is>
      </c>
      <c r="H16" s="17" t="inlineStr">
        <is>
          <t>O</t>
        </is>
      </c>
      <c r="I16" s="17" t="inlineStr">
        <is>
          <t>15</t>
        </is>
      </c>
      <c r="K16" s="15" t="inlineStr">
        <is>
          <t>INSERT INTO</t>
        </is>
      </c>
      <c r="L16" s="15" t="inlineStr">
        <is>
          <t>CNF_CIF_FILE_FILTERING_TBL</t>
        </is>
      </c>
      <c r="M16" s="15" t="inlineStr">
        <is>
          <t>VALUES(</t>
        </is>
      </c>
      <c r="N16" s="15" t="inlineStr">
        <is>
          <t>'A' , 'O' , 15</t>
        </is>
      </c>
      <c r="O16" s="15" t="inlineStr">
        <is>
          <t>);</t>
        </is>
      </c>
      <c r="Q16" s="18">
        <f>EXACT(TRIM(C16),"'"&amp;G16&amp;"'")</f>
        <v/>
      </c>
      <c r="R16" s="18">
        <f>EXACT(TRIM(D16),"'"&amp;H16&amp;"'")</f>
        <v/>
      </c>
      <c r="S16" s="18">
        <f>EXACT(TRIM(E16),I16&amp;"")</f>
        <v/>
      </c>
      <c r="T16" s="18">
        <f>AND(Q16:S16)</f>
        <v/>
      </c>
      <c r="U16" s="19">
        <f>TRIM(IF(Q16,"",$Q$3&amp;" ")&amp;IF(R16,"",$R$3&amp;" ")&amp;IF(S16,"",$S$3&amp;" "))</f>
        <v/>
      </c>
      <c r="V16" s="18">
        <f>EXACT(SUBSTITUTE(A16," ",""),SUBSTITUTE(K16&amp;L16&amp;M16&amp;N16&amp;O16," ",""))</f>
        <v/>
      </c>
    </row>
    <row r="17">
      <c r="A17" s="15" t="inlineStr">
        <is>
          <t>INSERT INTO CNF_CIF_FILE_FILTERING_TBL VALUES('A' , 'O' , 16);</t>
        </is>
      </c>
      <c r="B17" s="16" t="n"/>
      <c r="C17" s="15" t="inlineStr">
        <is>
          <t xml:space="preserve">'A' </t>
        </is>
      </c>
      <c r="D17" s="15" t="inlineStr">
        <is>
          <t xml:space="preserve"> 'O' </t>
        </is>
      </c>
      <c r="E17" s="15" t="inlineStr">
        <is>
          <t xml:space="preserve"> 16</t>
        </is>
      </c>
      <c r="G17" s="17" t="inlineStr">
        <is>
          <t>A</t>
        </is>
      </c>
      <c r="H17" s="17" t="inlineStr">
        <is>
          <t>O</t>
        </is>
      </c>
      <c r="I17" s="17" t="inlineStr">
        <is>
          <t>16</t>
        </is>
      </c>
      <c r="K17" s="15" t="inlineStr">
        <is>
          <t>INSERT INTO</t>
        </is>
      </c>
      <c r="L17" s="15" t="inlineStr">
        <is>
          <t>CNF_CIF_FILE_FILTERING_TBL</t>
        </is>
      </c>
      <c r="M17" s="15" t="inlineStr">
        <is>
          <t>VALUES(</t>
        </is>
      </c>
      <c r="N17" s="15" t="inlineStr">
        <is>
          <t>'A' , 'O' , 16</t>
        </is>
      </c>
      <c r="O17" s="15" t="inlineStr">
        <is>
          <t>);</t>
        </is>
      </c>
      <c r="Q17" s="18">
        <f>EXACT(TRIM(C17),"'"&amp;G17&amp;"'")</f>
        <v/>
      </c>
      <c r="R17" s="18">
        <f>EXACT(TRIM(D17),"'"&amp;H17&amp;"'")</f>
        <v/>
      </c>
      <c r="S17" s="18">
        <f>EXACT(TRIM(E17),I17&amp;"")</f>
        <v/>
      </c>
      <c r="T17" s="18">
        <f>AND(Q17:S17)</f>
        <v/>
      </c>
      <c r="U17" s="19">
        <f>TRIM(IF(Q17,"",$Q$3&amp;" ")&amp;IF(R17,"",$R$3&amp;" ")&amp;IF(S17,"",$S$3&amp;" "))</f>
        <v/>
      </c>
      <c r="V17" s="18">
        <f>EXACT(SUBSTITUTE(A17," ",""),SUBSTITUTE(K17&amp;L17&amp;M17&amp;N17&amp;O17," ",""))</f>
        <v/>
      </c>
    </row>
    <row r="18">
      <c r="A18" s="15" t="inlineStr">
        <is>
          <t>INSERT INTO CNF_CIF_FILE_FILTERING_TBL VALUES('A' , 'P' , 1);</t>
        </is>
      </c>
      <c r="B18" s="16" t="n"/>
      <c r="C18" s="15" t="inlineStr">
        <is>
          <t xml:space="preserve">'A' </t>
        </is>
      </c>
      <c r="D18" s="15" t="inlineStr">
        <is>
          <t xml:space="preserve"> 'P' </t>
        </is>
      </c>
      <c r="E18" s="15" t="inlineStr">
        <is>
          <t xml:space="preserve"> 1</t>
        </is>
      </c>
      <c r="G18" s="17" t="inlineStr">
        <is>
          <t>A</t>
        </is>
      </c>
      <c r="H18" s="17" t="inlineStr">
        <is>
          <t>P</t>
        </is>
      </c>
      <c r="I18" s="17" t="inlineStr">
        <is>
          <t>1</t>
        </is>
      </c>
      <c r="K18" s="15" t="inlineStr">
        <is>
          <t>INSERT INTO</t>
        </is>
      </c>
      <c r="L18" s="15" t="inlineStr">
        <is>
          <t>CNF_CIF_FILE_FILTERING_TBL</t>
        </is>
      </c>
      <c r="M18" s="15" t="inlineStr">
        <is>
          <t>VALUES(</t>
        </is>
      </c>
      <c r="N18" s="15" t="inlineStr">
        <is>
          <t>'A' , 'P' , 1</t>
        </is>
      </c>
      <c r="O18" s="15" t="inlineStr">
        <is>
          <t>);</t>
        </is>
      </c>
      <c r="Q18" s="18">
        <f>EXACT(TRIM(C18),"'"&amp;G18&amp;"'")</f>
        <v/>
      </c>
      <c r="R18" s="18">
        <f>EXACT(TRIM(D18),"'"&amp;H18&amp;"'")</f>
        <v/>
      </c>
      <c r="S18" s="18">
        <f>EXACT(TRIM(E18),I18&amp;"")</f>
        <v/>
      </c>
      <c r="T18" s="18">
        <f>AND(Q18:S18)</f>
        <v/>
      </c>
      <c r="U18" s="19">
        <f>TRIM(IF(Q18,"",$Q$3&amp;" ")&amp;IF(R18,"",$R$3&amp;" ")&amp;IF(S18,"",$S$3&amp;" "))</f>
        <v/>
      </c>
      <c r="V18" s="18">
        <f>EXACT(SUBSTITUTE(A18," ",""),SUBSTITUTE(K18&amp;L18&amp;M18&amp;N18&amp;O18," ",""))</f>
        <v/>
      </c>
    </row>
    <row r="19">
      <c r="A19" s="15" t="inlineStr">
        <is>
          <t>INSERT INTO CNF_CIF_FILE_FILTERING_TBL VALUES('A' , 'P' , 4);</t>
        </is>
      </c>
      <c r="B19" s="16" t="n"/>
      <c r="C19" s="15" t="inlineStr">
        <is>
          <t xml:space="preserve">'A' </t>
        </is>
      </c>
      <c r="D19" s="15" t="inlineStr">
        <is>
          <t xml:space="preserve"> 'P' </t>
        </is>
      </c>
      <c r="E19" s="15" t="inlineStr">
        <is>
          <t xml:space="preserve"> 4</t>
        </is>
      </c>
      <c r="G19" s="17" t="inlineStr">
        <is>
          <t>A</t>
        </is>
      </c>
      <c r="H19" s="17" t="inlineStr">
        <is>
          <t>P</t>
        </is>
      </c>
      <c r="I19" s="17" t="inlineStr">
        <is>
          <t>4</t>
        </is>
      </c>
      <c r="K19" s="15" t="inlineStr">
        <is>
          <t>INSERT INTO</t>
        </is>
      </c>
      <c r="L19" s="15" t="inlineStr">
        <is>
          <t>CNF_CIF_FILE_FILTERING_TBL</t>
        </is>
      </c>
      <c r="M19" s="15" t="inlineStr">
        <is>
          <t>VALUES(</t>
        </is>
      </c>
      <c r="N19" s="15" t="inlineStr">
        <is>
          <t>'A' , 'P' , 4</t>
        </is>
      </c>
      <c r="O19" s="15" t="inlineStr">
        <is>
          <t>);</t>
        </is>
      </c>
      <c r="Q19" s="18">
        <f>EXACT(TRIM(C19),"'"&amp;G19&amp;"'")</f>
        <v/>
      </c>
      <c r="R19" s="18">
        <f>EXACT(TRIM(D19),"'"&amp;H19&amp;"'")</f>
        <v/>
      </c>
      <c r="S19" s="18">
        <f>EXACT(TRIM(E19),I19&amp;"")</f>
        <v/>
      </c>
      <c r="T19" s="18">
        <f>AND(Q19:S19)</f>
        <v/>
      </c>
      <c r="U19" s="19">
        <f>TRIM(IF(Q19,"",$Q$3&amp;" ")&amp;IF(R19,"",$R$3&amp;" ")&amp;IF(S19,"",$S$3&amp;" "))</f>
        <v/>
      </c>
      <c r="V19" s="18">
        <f>EXACT(SUBSTITUTE(A19," ",""),SUBSTITUTE(K19&amp;L19&amp;M19&amp;N19&amp;O19," ",""))</f>
        <v/>
      </c>
    </row>
    <row r="20">
      <c r="A20" s="15" t="inlineStr">
        <is>
          <t>INSERT INTO CNF_CIF_FILE_FILTERING_TBL VALUES('A' , 'P' , 5);</t>
        </is>
      </c>
      <c r="B20" s="16" t="n"/>
      <c r="C20" s="15" t="inlineStr">
        <is>
          <t xml:space="preserve">'A' </t>
        </is>
      </c>
      <c r="D20" s="15" t="inlineStr">
        <is>
          <t xml:space="preserve"> 'P' </t>
        </is>
      </c>
      <c r="E20" s="15" t="inlineStr">
        <is>
          <t xml:space="preserve"> 5</t>
        </is>
      </c>
      <c r="G20" s="17" t="inlineStr">
        <is>
          <t>A</t>
        </is>
      </c>
      <c r="H20" s="17" t="inlineStr">
        <is>
          <t>P</t>
        </is>
      </c>
      <c r="I20" s="17" t="inlineStr">
        <is>
          <t>5</t>
        </is>
      </c>
      <c r="K20" s="15" t="inlineStr">
        <is>
          <t>INSERT INTO</t>
        </is>
      </c>
      <c r="L20" s="15" t="inlineStr">
        <is>
          <t>CNF_CIF_FILE_FILTERING_TBL</t>
        </is>
      </c>
      <c r="M20" s="15" t="inlineStr">
        <is>
          <t>VALUES(</t>
        </is>
      </c>
      <c r="N20" s="15" t="inlineStr">
        <is>
          <t>'A' , 'P' , 5</t>
        </is>
      </c>
      <c r="O20" s="15" t="inlineStr">
        <is>
          <t>);</t>
        </is>
      </c>
      <c r="Q20" s="18">
        <f>EXACT(TRIM(C20),"'"&amp;G20&amp;"'")</f>
        <v/>
      </c>
      <c r="R20" s="18">
        <f>EXACT(TRIM(D20),"'"&amp;H20&amp;"'")</f>
        <v/>
      </c>
      <c r="S20" s="18">
        <f>EXACT(TRIM(E20),I20&amp;"")</f>
        <v/>
      </c>
      <c r="T20" s="18">
        <f>AND(Q20:S20)</f>
        <v/>
      </c>
      <c r="U20" s="19">
        <f>TRIM(IF(Q20,"",$Q$3&amp;" ")&amp;IF(R20,"",$R$3&amp;" ")&amp;IF(S20,"",$S$3&amp;" "))</f>
        <v/>
      </c>
      <c r="V20" s="18">
        <f>EXACT(SUBSTITUTE(A20," ",""),SUBSTITUTE(K20&amp;L20&amp;M20&amp;N20&amp;O20," ",""))</f>
        <v/>
      </c>
    </row>
    <row r="21">
      <c r="A21" s="15" t="inlineStr">
        <is>
          <t>INSERT INTO CNF_CIF_FILE_FILTERING_TBL VALUES('A' , 'P' , 6);</t>
        </is>
      </c>
      <c r="B21" s="16" t="n"/>
      <c r="C21" s="15" t="inlineStr">
        <is>
          <t xml:space="preserve">'A' </t>
        </is>
      </c>
      <c r="D21" s="15" t="inlineStr">
        <is>
          <t xml:space="preserve"> 'P' </t>
        </is>
      </c>
      <c r="E21" s="15" t="inlineStr">
        <is>
          <t xml:space="preserve"> 6</t>
        </is>
      </c>
      <c r="G21" s="17" t="inlineStr">
        <is>
          <t>A</t>
        </is>
      </c>
      <c r="H21" s="17" t="inlineStr">
        <is>
          <t>P</t>
        </is>
      </c>
      <c r="I21" s="17" t="inlineStr">
        <is>
          <t>6</t>
        </is>
      </c>
      <c r="K21" s="15" t="inlineStr">
        <is>
          <t>INSERT INTO</t>
        </is>
      </c>
      <c r="L21" s="15" t="inlineStr">
        <is>
          <t>CNF_CIF_FILE_FILTERING_TBL</t>
        </is>
      </c>
      <c r="M21" s="15" t="inlineStr">
        <is>
          <t>VALUES(</t>
        </is>
      </c>
      <c r="N21" s="15" t="inlineStr">
        <is>
          <t>'A' , 'P' , 6</t>
        </is>
      </c>
      <c r="O21" s="15" t="inlineStr">
        <is>
          <t>);</t>
        </is>
      </c>
      <c r="Q21" s="18">
        <f>EXACT(TRIM(C21),"'"&amp;G21&amp;"'")</f>
        <v/>
      </c>
      <c r="R21" s="18">
        <f>EXACT(TRIM(D21),"'"&amp;H21&amp;"'")</f>
        <v/>
      </c>
      <c r="S21" s="18">
        <f>EXACT(TRIM(E21),I21&amp;"")</f>
        <v/>
      </c>
      <c r="T21" s="18">
        <f>AND(Q21:S21)</f>
        <v/>
      </c>
      <c r="U21" s="19">
        <f>TRIM(IF(Q21,"",$Q$3&amp;" ")&amp;IF(R21,"",$R$3&amp;" ")&amp;IF(S21,"",$S$3&amp;" "))</f>
        <v/>
      </c>
      <c r="V21" s="18">
        <f>EXACT(SUBSTITUTE(A21," ",""),SUBSTITUTE(K21&amp;L21&amp;M21&amp;N21&amp;O21," ",""))</f>
        <v/>
      </c>
    </row>
    <row r="22">
      <c r="A22" s="15" t="inlineStr">
        <is>
          <t>INSERT INTO CNF_CIF_FILE_FILTERING_TBL VALUES('A' , 'P' , 8);</t>
        </is>
      </c>
      <c r="B22" s="16" t="n"/>
      <c r="C22" s="15" t="inlineStr">
        <is>
          <t xml:space="preserve">'A' </t>
        </is>
      </c>
      <c r="D22" s="15" t="inlineStr">
        <is>
          <t xml:space="preserve"> 'P' </t>
        </is>
      </c>
      <c r="E22" s="15" t="inlineStr">
        <is>
          <t xml:space="preserve"> 8</t>
        </is>
      </c>
      <c r="G22" s="17" t="inlineStr">
        <is>
          <t>A</t>
        </is>
      </c>
      <c r="H22" s="17" t="inlineStr">
        <is>
          <t>P</t>
        </is>
      </c>
      <c r="I22" s="17" t="inlineStr">
        <is>
          <t>8</t>
        </is>
      </c>
      <c r="K22" s="15" t="inlineStr">
        <is>
          <t>INSERT INTO</t>
        </is>
      </c>
      <c r="L22" s="15" t="inlineStr">
        <is>
          <t>CNF_CIF_FILE_FILTERING_TBL</t>
        </is>
      </c>
      <c r="M22" s="15" t="inlineStr">
        <is>
          <t>VALUES(</t>
        </is>
      </c>
      <c r="N22" s="15" t="inlineStr">
        <is>
          <t>'A' , 'P' , 8</t>
        </is>
      </c>
      <c r="O22" s="15" t="inlineStr">
        <is>
          <t>);</t>
        </is>
      </c>
      <c r="Q22" s="18">
        <f>EXACT(TRIM(C22),"'"&amp;G22&amp;"'")</f>
        <v/>
      </c>
      <c r="R22" s="18">
        <f>EXACT(TRIM(D22),"'"&amp;H22&amp;"'")</f>
        <v/>
      </c>
      <c r="S22" s="18">
        <f>EXACT(TRIM(E22),I22&amp;"")</f>
        <v/>
      </c>
      <c r="T22" s="18">
        <f>AND(Q22:S22)</f>
        <v/>
      </c>
      <c r="U22" s="19">
        <f>TRIM(IF(Q22,"",$Q$3&amp;" ")&amp;IF(R22,"",$R$3&amp;" ")&amp;IF(S22,"",$S$3&amp;" "))</f>
        <v/>
      </c>
      <c r="V22" s="18">
        <f>EXACT(SUBSTITUTE(A22," ",""),SUBSTITUTE(K22&amp;L22&amp;M22&amp;N22&amp;O22," ",""))</f>
        <v/>
      </c>
    </row>
    <row r="23">
      <c r="A23" s="15" t="inlineStr">
        <is>
          <t>INSERT INTO CNF_CIF_FILE_FILTERING_TBL VALUES('A' , 'P' , 9);</t>
        </is>
      </c>
      <c r="B23" s="16" t="n"/>
      <c r="C23" s="15" t="inlineStr">
        <is>
          <t xml:space="preserve">'A' </t>
        </is>
      </c>
      <c r="D23" s="15" t="inlineStr">
        <is>
          <t xml:space="preserve"> 'P' </t>
        </is>
      </c>
      <c r="E23" s="15" t="inlineStr">
        <is>
          <t xml:space="preserve"> 9</t>
        </is>
      </c>
      <c r="G23" s="17" t="inlineStr">
        <is>
          <t>A</t>
        </is>
      </c>
      <c r="H23" s="17" t="inlineStr">
        <is>
          <t>P</t>
        </is>
      </c>
      <c r="I23" s="17" t="inlineStr">
        <is>
          <t>9</t>
        </is>
      </c>
      <c r="K23" s="15" t="inlineStr">
        <is>
          <t>INSERT INTO</t>
        </is>
      </c>
      <c r="L23" s="15" t="inlineStr">
        <is>
          <t>CNF_CIF_FILE_FILTERING_TBL</t>
        </is>
      </c>
      <c r="M23" s="15" t="inlineStr">
        <is>
          <t>VALUES(</t>
        </is>
      </c>
      <c r="N23" s="15" t="inlineStr">
        <is>
          <t>'A' , 'P' , 9</t>
        </is>
      </c>
      <c r="O23" s="15" t="inlineStr">
        <is>
          <t>);</t>
        </is>
      </c>
      <c r="Q23" s="18">
        <f>EXACT(TRIM(C23),"'"&amp;G23&amp;"'")</f>
        <v/>
      </c>
      <c r="R23" s="18">
        <f>EXACT(TRIM(D23),"'"&amp;H23&amp;"'")</f>
        <v/>
      </c>
      <c r="S23" s="18">
        <f>EXACT(TRIM(E23),I23&amp;"")</f>
        <v/>
      </c>
      <c r="T23" s="18">
        <f>AND(Q23:S23)</f>
        <v/>
      </c>
      <c r="U23" s="19">
        <f>TRIM(IF(Q23,"",$Q$3&amp;" ")&amp;IF(R23,"",$R$3&amp;" ")&amp;IF(S23,"",$S$3&amp;" "))</f>
        <v/>
      </c>
      <c r="V23" s="18">
        <f>EXACT(SUBSTITUTE(A23," ",""),SUBSTITUTE(K23&amp;L23&amp;M23&amp;N23&amp;O23," ",""))</f>
        <v/>
      </c>
    </row>
    <row r="24">
      <c r="A24" s="15" t="inlineStr">
        <is>
          <t>INSERT INTO CNF_CIF_FILE_FILTERING_TBL VALUES('A' , 'P' , 11);</t>
        </is>
      </c>
      <c r="B24" s="16" t="n"/>
      <c r="C24" s="15" t="inlineStr">
        <is>
          <t xml:space="preserve">'A' </t>
        </is>
      </c>
      <c r="D24" s="15" t="inlineStr">
        <is>
          <t xml:space="preserve"> 'P' </t>
        </is>
      </c>
      <c r="E24" s="15" t="inlineStr">
        <is>
          <t xml:space="preserve"> 11</t>
        </is>
      </c>
      <c r="G24" s="17" t="inlineStr">
        <is>
          <t>A</t>
        </is>
      </c>
      <c r="H24" s="17" t="inlineStr">
        <is>
          <t>P</t>
        </is>
      </c>
      <c r="I24" s="17" t="inlineStr">
        <is>
          <t>11</t>
        </is>
      </c>
      <c r="K24" s="15" t="inlineStr">
        <is>
          <t>INSERT INTO</t>
        </is>
      </c>
      <c r="L24" s="15" t="inlineStr">
        <is>
          <t>CNF_CIF_FILE_FILTERING_TBL</t>
        </is>
      </c>
      <c r="M24" s="15" t="inlineStr">
        <is>
          <t>VALUES(</t>
        </is>
      </c>
      <c r="N24" s="15" t="inlineStr">
        <is>
          <t>'A' , 'P' , 11</t>
        </is>
      </c>
      <c r="O24" s="15" t="inlineStr">
        <is>
          <t>);</t>
        </is>
      </c>
      <c r="Q24" s="18">
        <f>EXACT(TRIM(C24),"'"&amp;G24&amp;"'")</f>
        <v/>
      </c>
      <c r="R24" s="18">
        <f>EXACT(TRIM(D24),"'"&amp;H24&amp;"'")</f>
        <v/>
      </c>
      <c r="S24" s="18">
        <f>EXACT(TRIM(E24),I24&amp;"")</f>
        <v/>
      </c>
      <c r="T24" s="18">
        <f>AND(Q24:S24)</f>
        <v/>
      </c>
      <c r="U24" s="19">
        <f>TRIM(IF(Q24,"",$Q$3&amp;" ")&amp;IF(R24,"",$R$3&amp;" ")&amp;IF(S24,"",$S$3&amp;" "))</f>
        <v/>
      </c>
      <c r="V24" s="18">
        <f>EXACT(SUBSTITUTE(A24," ",""),SUBSTITUTE(K24&amp;L24&amp;M24&amp;N24&amp;O24," ",""))</f>
        <v/>
      </c>
    </row>
    <row r="25">
      <c r="A25" s="15" t="inlineStr">
        <is>
          <t>INSERT INTO CNF_CIF_FILE_FILTERING_TBL VALUES('A' , 'P' , 12);</t>
        </is>
      </c>
      <c r="B25" s="16" t="n"/>
      <c r="C25" s="15" t="inlineStr">
        <is>
          <t xml:space="preserve">'A' </t>
        </is>
      </c>
      <c r="D25" s="15" t="inlineStr">
        <is>
          <t xml:space="preserve"> 'P' </t>
        </is>
      </c>
      <c r="E25" s="15" t="inlineStr">
        <is>
          <t xml:space="preserve"> 12</t>
        </is>
      </c>
      <c r="G25" s="17" t="inlineStr">
        <is>
          <t>A</t>
        </is>
      </c>
      <c r="H25" s="17" t="inlineStr">
        <is>
          <t>P</t>
        </is>
      </c>
      <c r="I25" s="17" t="inlineStr">
        <is>
          <t>12</t>
        </is>
      </c>
      <c r="K25" s="15" t="inlineStr">
        <is>
          <t>INSERT INTO</t>
        </is>
      </c>
      <c r="L25" s="15" t="inlineStr">
        <is>
          <t>CNF_CIF_FILE_FILTERING_TBL</t>
        </is>
      </c>
      <c r="M25" s="15" t="inlineStr">
        <is>
          <t>VALUES(</t>
        </is>
      </c>
      <c r="N25" s="15" t="inlineStr">
        <is>
          <t>'A' , 'P' , 12</t>
        </is>
      </c>
      <c r="O25" s="15" t="inlineStr">
        <is>
          <t>);</t>
        </is>
      </c>
      <c r="Q25" s="18">
        <f>EXACT(TRIM(C25),"'"&amp;G25&amp;"'")</f>
        <v/>
      </c>
      <c r="R25" s="18">
        <f>EXACT(TRIM(D25),"'"&amp;H25&amp;"'")</f>
        <v/>
      </c>
      <c r="S25" s="18">
        <f>EXACT(TRIM(E25),I25&amp;"")</f>
        <v/>
      </c>
      <c r="T25" s="18">
        <f>AND(Q25:S25)</f>
        <v/>
      </c>
      <c r="U25" s="19">
        <f>TRIM(IF(Q25,"",$Q$3&amp;" ")&amp;IF(R25,"",$R$3&amp;" ")&amp;IF(S25,"",$S$3&amp;" "))</f>
        <v/>
      </c>
      <c r="V25" s="18">
        <f>EXACT(SUBSTITUTE(A25," ",""),SUBSTITUTE(K25&amp;L25&amp;M25&amp;N25&amp;O25," ",""))</f>
        <v/>
      </c>
    </row>
    <row r="26">
      <c r="A26" s="15" t="inlineStr">
        <is>
          <t>INSERT INTO CNF_CIF_FILE_FILTERING_TBL VALUES('A' , 'P' , 13);</t>
        </is>
      </c>
      <c r="B26" s="16" t="n"/>
      <c r="C26" s="15" t="inlineStr">
        <is>
          <t xml:space="preserve">'A' </t>
        </is>
      </c>
      <c r="D26" s="15" t="inlineStr">
        <is>
          <t xml:space="preserve"> 'P' </t>
        </is>
      </c>
      <c r="E26" s="15" t="inlineStr">
        <is>
          <t xml:space="preserve"> 13</t>
        </is>
      </c>
      <c r="G26" s="17" t="inlineStr">
        <is>
          <t>A</t>
        </is>
      </c>
      <c r="H26" s="17" t="inlineStr">
        <is>
          <t>P</t>
        </is>
      </c>
      <c r="I26" s="17" t="inlineStr">
        <is>
          <t>13</t>
        </is>
      </c>
      <c r="K26" s="15" t="inlineStr">
        <is>
          <t>INSERT INTO</t>
        </is>
      </c>
      <c r="L26" s="15" t="inlineStr">
        <is>
          <t>CNF_CIF_FILE_FILTERING_TBL</t>
        </is>
      </c>
      <c r="M26" s="15" t="inlineStr">
        <is>
          <t>VALUES(</t>
        </is>
      </c>
      <c r="N26" s="15" t="inlineStr">
        <is>
          <t>'A' , 'P' , 13</t>
        </is>
      </c>
      <c r="O26" s="15" t="inlineStr">
        <is>
          <t>);</t>
        </is>
      </c>
      <c r="Q26" s="18">
        <f>EXACT(TRIM(C26),"'"&amp;G26&amp;"'")</f>
        <v/>
      </c>
      <c r="R26" s="18">
        <f>EXACT(TRIM(D26),"'"&amp;H26&amp;"'")</f>
        <v/>
      </c>
      <c r="S26" s="18">
        <f>EXACT(TRIM(E26),I26&amp;"")</f>
        <v/>
      </c>
      <c r="T26" s="18">
        <f>AND(Q26:S26)</f>
        <v/>
      </c>
      <c r="U26" s="19">
        <f>TRIM(IF(Q26,"",$Q$3&amp;" ")&amp;IF(R26,"",$R$3&amp;" ")&amp;IF(S26,"",$S$3&amp;" "))</f>
        <v/>
      </c>
      <c r="V26" s="18">
        <f>EXACT(SUBSTITUTE(A26," ",""),SUBSTITUTE(K26&amp;L26&amp;M26&amp;N26&amp;O26," ",""))</f>
        <v/>
      </c>
    </row>
    <row r="27">
      <c r="A27" s="15" t="inlineStr">
        <is>
          <t>INSERT INTO CNF_CIF_FILE_FILTERING_TBL VALUES('A' , 'P' , 14);</t>
        </is>
      </c>
      <c r="B27" s="16" t="n"/>
      <c r="C27" s="15" t="inlineStr">
        <is>
          <t xml:space="preserve">'A' </t>
        </is>
      </c>
      <c r="D27" s="15" t="inlineStr">
        <is>
          <t xml:space="preserve"> 'P' </t>
        </is>
      </c>
      <c r="E27" s="15" t="inlineStr">
        <is>
          <t xml:space="preserve"> 14</t>
        </is>
      </c>
      <c r="G27" s="17" t="inlineStr">
        <is>
          <t>A</t>
        </is>
      </c>
      <c r="H27" s="17" t="inlineStr">
        <is>
          <t>P</t>
        </is>
      </c>
      <c r="I27" s="17" t="inlineStr">
        <is>
          <t>14</t>
        </is>
      </c>
      <c r="K27" s="15" t="inlineStr">
        <is>
          <t>INSERT INTO</t>
        </is>
      </c>
      <c r="L27" s="15" t="inlineStr">
        <is>
          <t>CNF_CIF_FILE_FILTERING_TBL</t>
        </is>
      </c>
      <c r="M27" s="15" t="inlineStr">
        <is>
          <t>VALUES(</t>
        </is>
      </c>
      <c r="N27" s="15" t="inlineStr">
        <is>
          <t>'A' , 'P' , 14</t>
        </is>
      </c>
      <c r="O27" s="15" t="inlineStr">
        <is>
          <t>);</t>
        </is>
      </c>
      <c r="Q27" s="18">
        <f>EXACT(TRIM(C27),"'"&amp;G27&amp;"'")</f>
        <v/>
      </c>
      <c r="R27" s="18">
        <f>EXACT(TRIM(D27),"'"&amp;H27&amp;"'")</f>
        <v/>
      </c>
      <c r="S27" s="18">
        <f>EXACT(TRIM(E27),I27&amp;"")</f>
        <v/>
      </c>
      <c r="T27" s="18">
        <f>AND(Q27:S27)</f>
        <v/>
      </c>
      <c r="U27" s="19">
        <f>TRIM(IF(Q27,"",$Q$3&amp;" ")&amp;IF(R27,"",$R$3&amp;" ")&amp;IF(S27,"",$S$3&amp;" "))</f>
        <v/>
      </c>
      <c r="V27" s="18">
        <f>EXACT(SUBSTITUTE(A27," ",""),SUBSTITUTE(K27&amp;L27&amp;M27&amp;N27&amp;O27," ",""))</f>
        <v/>
      </c>
    </row>
    <row r="28">
      <c r="A28" s="15" t="inlineStr">
        <is>
          <t>INSERT INTO CNF_CIF_FILE_FILTERING_TBL VALUES('A' , 'P' , 15);</t>
        </is>
      </c>
      <c r="B28" s="16" t="n"/>
      <c r="C28" s="15" t="inlineStr">
        <is>
          <t xml:space="preserve">'A' </t>
        </is>
      </c>
      <c r="D28" s="15" t="inlineStr">
        <is>
          <t xml:space="preserve"> 'P' </t>
        </is>
      </c>
      <c r="E28" s="15" t="inlineStr">
        <is>
          <t xml:space="preserve"> 15</t>
        </is>
      </c>
      <c r="G28" s="17" t="inlineStr">
        <is>
          <t>A</t>
        </is>
      </c>
      <c r="H28" s="17" t="inlineStr">
        <is>
          <t>P</t>
        </is>
      </c>
      <c r="I28" s="17" t="inlineStr">
        <is>
          <t>15</t>
        </is>
      </c>
      <c r="K28" s="15" t="inlineStr">
        <is>
          <t>INSERT INTO</t>
        </is>
      </c>
      <c r="L28" s="15" t="inlineStr">
        <is>
          <t>CNF_CIF_FILE_FILTERING_TBL</t>
        </is>
      </c>
      <c r="M28" s="15" t="inlineStr">
        <is>
          <t>VALUES(</t>
        </is>
      </c>
      <c r="N28" s="15" t="inlineStr">
        <is>
          <t>'A' , 'P' , 15</t>
        </is>
      </c>
      <c r="O28" s="15" t="inlineStr">
        <is>
          <t>);</t>
        </is>
      </c>
      <c r="Q28" s="18">
        <f>EXACT(TRIM(C28),"'"&amp;G28&amp;"'")</f>
        <v/>
      </c>
      <c r="R28" s="18">
        <f>EXACT(TRIM(D28),"'"&amp;H28&amp;"'")</f>
        <v/>
      </c>
      <c r="S28" s="18">
        <f>EXACT(TRIM(E28),I28&amp;"")</f>
        <v/>
      </c>
      <c r="T28" s="18">
        <f>AND(Q28:S28)</f>
        <v/>
      </c>
      <c r="U28" s="19">
        <f>TRIM(IF(Q28,"",$Q$3&amp;" ")&amp;IF(R28,"",$R$3&amp;" ")&amp;IF(S28,"",$S$3&amp;" "))</f>
        <v/>
      </c>
      <c r="V28" s="18">
        <f>EXACT(SUBSTITUTE(A28," ",""),SUBSTITUTE(K28&amp;L28&amp;M28&amp;N28&amp;O28," ",""))</f>
        <v/>
      </c>
    </row>
    <row r="29">
      <c r="A29" s="15" t="inlineStr">
        <is>
          <t>INSERT INTO CNF_CIF_FILE_FILTERING_TBL VALUES('A' , 'P' , 16);</t>
        </is>
      </c>
      <c r="B29" s="16" t="n"/>
      <c r="C29" s="15" t="inlineStr">
        <is>
          <t xml:space="preserve">'A' </t>
        </is>
      </c>
      <c r="D29" s="15" t="inlineStr">
        <is>
          <t xml:space="preserve"> 'P' </t>
        </is>
      </c>
      <c r="E29" s="15" t="inlineStr">
        <is>
          <t xml:space="preserve"> 16</t>
        </is>
      </c>
      <c r="G29" s="17" t="inlineStr">
        <is>
          <t>A</t>
        </is>
      </c>
      <c r="H29" s="17" t="inlineStr">
        <is>
          <t>P</t>
        </is>
      </c>
      <c r="I29" s="17" t="inlineStr">
        <is>
          <t>16</t>
        </is>
      </c>
      <c r="K29" s="15" t="inlineStr">
        <is>
          <t>INSERT INTO</t>
        </is>
      </c>
      <c r="L29" s="15" t="inlineStr">
        <is>
          <t>CNF_CIF_FILE_FILTERING_TBL</t>
        </is>
      </c>
      <c r="M29" s="15" t="inlineStr">
        <is>
          <t>VALUES(</t>
        </is>
      </c>
      <c r="N29" s="15" t="inlineStr">
        <is>
          <t>'A' , 'P' , 16</t>
        </is>
      </c>
      <c r="O29" s="15" t="inlineStr">
        <is>
          <t>);</t>
        </is>
      </c>
      <c r="Q29" s="18">
        <f>EXACT(TRIM(C29),"'"&amp;G29&amp;"'")</f>
        <v/>
      </c>
      <c r="R29" s="18">
        <f>EXACT(TRIM(D29),"'"&amp;H29&amp;"'")</f>
        <v/>
      </c>
      <c r="S29" s="18">
        <f>EXACT(TRIM(E29),I29&amp;"")</f>
        <v/>
      </c>
      <c r="T29" s="18">
        <f>AND(Q29:S29)</f>
        <v/>
      </c>
      <c r="U29" s="19">
        <f>TRIM(IF(Q29,"",$Q$3&amp;" ")&amp;IF(R29,"",$R$3&amp;" ")&amp;IF(S29,"",$S$3&amp;" "))</f>
        <v/>
      </c>
      <c r="V29" s="18">
        <f>EXACT(SUBSTITUTE(A29," ",""),SUBSTITUTE(K29&amp;L29&amp;M29&amp;N29&amp;O29," ",""))</f>
        <v/>
      </c>
    </row>
    <row r="30">
      <c r="A30" s="15" t="inlineStr">
        <is>
          <t>INSERT INTO CNF_CIF_FILE_FILTERING_TBL VALUES('A' , 'Q' , 1);</t>
        </is>
      </c>
      <c r="B30" s="16" t="n"/>
      <c r="C30" s="15" t="inlineStr">
        <is>
          <t xml:space="preserve">'A' </t>
        </is>
      </c>
      <c r="D30" s="15" t="inlineStr">
        <is>
          <t xml:space="preserve"> 'Q' </t>
        </is>
      </c>
      <c r="E30" s="15" t="inlineStr">
        <is>
          <t xml:space="preserve"> 1</t>
        </is>
      </c>
      <c r="G30" s="17" t="inlineStr">
        <is>
          <t>A</t>
        </is>
      </c>
      <c r="H30" s="17" t="inlineStr">
        <is>
          <t>Q</t>
        </is>
      </c>
      <c r="I30" s="17" t="inlineStr">
        <is>
          <t>1</t>
        </is>
      </c>
      <c r="K30" s="15" t="inlineStr">
        <is>
          <t>INSERT INTO</t>
        </is>
      </c>
      <c r="L30" s="15" t="inlineStr">
        <is>
          <t>CNF_CIF_FILE_FILTERING_TBL</t>
        </is>
      </c>
      <c r="M30" s="15" t="inlineStr">
        <is>
          <t>VALUES(</t>
        </is>
      </c>
      <c r="N30" s="15" t="inlineStr">
        <is>
          <t>'A' , 'Q' , 1</t>
        </is>
      </c>
      <c r="O30" s="15" t="inlineStr">
        <is>
          <t>);</t>
        </is>
      </c>
      <c r="Q30" s="18">
        <f>EXACT(TRIM(C30),"'"&amp;G30&amp;"'")</f>
        <v/>
      </c>
      <c r="R30" s="18">
        <f>EXACT(TRIM(D30),"'"&amp;H30&amp;"'")</f>
        <v/>
      </c>
      <c r="S30" s="18">
        <f>EXACT(TRIM(E30),I30&amp;"")</f>
        <v/>
      </c>
      <c r="T30" s="18">
        <f>AND(Q30:S30)</f>
        <v/>
      </c>
      <c r="U30" s="19">
        <f>TRIM(IF(Q30,"",$Q$3&amp;" ")&amp;IF(R30,"",$R$3&amp;" ")&amp;IF(S30,"",$S$3&amp;" "))</f>
        <v/>
      </c>
      <c r="V30" s="18">
        <f>EXACT(SUBSTITUTE(A30," ",""),SUBSTITUTE(K30&amp;L30&amp;M30&amp;N30&amp;O30," ",""))</f>
        <v/>
      </c>
    </row>
    <row r="31">
      <c r="A31" s="15" t="inlineStr">
        <is>
          <t>INSERT INTO CNF_CIF_FILE_FILTERING_TBL VALUES('A' , 'Q' , 4);</t>
        </is>
      </c>
      <c r="B31" s="16" t="n"/>
      <c r="C31" s="15" t="inlineStr">
        <is>
          <t xml:space="preserve">'A' </t>
        </is>
      </c>
      <c r="D31" s="15" t="inlineStr">
        <is>
          <t xml:space="preserve"> 'Q' </t>
        </is>
      </c>
      <c r="E31" s="15" t="inlineStr">
        <is>
          <t xml:space="preserve"> 4</t>
        </is>
      </c>
      <c r="G31" s="17" t="inlineStr">
        <is>
          <t>A</t>
        </is>
      </c>
      <c r="H31" s="17" t="inlineStr">
        <is>
          <t>Q</t>
        </is>
      </c>
      <c r="I31" s="17" t="inlineStr">
        <is>
          <t>4</t>
        </is>
      </c>
      <c r="K31" s="15" t="inlineStr">
        <is>
          <t>INSERT INTO</t>
        </is>
      </c>
      <c r="L31" s="15" t="inlineStr">
        <is>
          <t>CNF_CIF_FILE_FILTERING_TBL</t>
        </is>
      </c>
      <c r="M31" s="15" t="inlineStr">
        <is>
          <t>VALUES(</t>
        </is>
      </c>
      <c r="N31" s="15" t="inlineStr">
        <is>
          <t>'A' , 'Q' , 4</t>
        </is>
      </c>
      <c r="O31" s="15" t="inlineStr">
        <is>
          <t>);</t>
        </is>
      </c>
      <c r="Q31" s="18">
        <f>EXACT(TRIM(C31),"'"&amp;G31&amp;"'")</f>
        <v/>
      </c>
      <c r="R31" s="18">
        <f>EXACT(TRIM(D31),"'"&amp;H31&amp;"'")</f>
        <v/>
      </c>
      <c r="S31" s="18">
        <f>EXACT(TRIM(E31),I31&amp;"")</f>
        <v/>
      </c>
      <c r="T31" s="18">
        <f>AND(Q31:S31)</f>
        <v/>
      </c>
      <c r="U31" s="19">
        <f>TRIM(IF(Q31,"",$Q$3&amp;" ")&amp;IF(R31,"",$R$3&amp;" ")&amp;IF(S31,"",$S$3&amp;" "))</f>
        <v/>
      </c>
      <c r="V31" s="18">
        <f>EXACT(SUBSTITUTE(A31," ",""),SUBSTITUTE(K31&amp;L31&amp;M31&amp;N31&amp;O31," ",""))</f>
        <v/>
      </c>
    </row>
    <row r="32">
      <c r="A32" s="15" t="inlineStr">
        <is>
          <t>INSERT INTO CNF_CIF_FILE_FILTERING_TBL VALUES('A' , 'Q' , 5);</t>
        </is>
      </c>
      <c r="B32" s="16" t="n"/>
      <c r="C32" s="15" t="inlineStr">
        <is>
          <t xml:space="preserve">'A' </t>
        </is>
      </c>
      <c r="D32" s="15" t="inlineStr">
        <is>
          <t xml:space="preserve"> 'Q' </t>
        </is>
      </c>
      <c r="E32" s="15" t="inlineStr">
        <is>
          <t xml:space="preserve"> 5</t>
        </is>
      </c>
      <c r="G32" s="17" t="inlineStr">
        <is>
          <t>A</t>
        </is>
      </c>
      <c r="H32" s="17" t="inlineStr">
        <is>
          <t>Q</t>
        </is>
      </c>
      <c r="I32" s="17" t="inlineStr">
        <is>
          <t>5</t>
        </is>
      </c>
      <c r="K32" s="15" t="inlineStr">
        <is>
          <t>INSERT INTO</t>
        </is>
      </c>
      <c r="L32" s="15" t="inlineStr">
        <is>
          <t>CNF_CIF_FILE_FILTERING_TBL</t>
        </is>
      </c>
      <c r="M32" s="15" t="inlineStr">
        <is>
          <t>VALUES(</t>
        </is>
      </c>
      <c r="N32" s="15" t="inlineStr">
        <is>
          <t>'A' , 'Q' , 5</t>
        </is>
      </c>
      <c r="O32" s="15" t="inlineStr">
        <is>
          <t>);</t>
        </is>
      </c>
      <c r="Q32" s="18">
        <f>EXACT(TRIM(C32),"'"&amp;G32&amp;"'")</f>
        <v/>
      </c>
      <c r="R32" s="18">
        <f>EXACT(TRIM(D32),"'"&amp;H32&amp;"'")</f>
        <v/>
      </c>
      <c r="S32" s="18">
        <f>EXACT(TRIM(E32),I32&amp;"")</f>
        <v/>
      </c>
      <c r="T32" s="18">
        <f>AND(Q32:S32)</f>
        <v/>
      </c>
      <c r="U32" s="19">
        <f>TRIM(IF(Q32,"",$Q$3&amp;" ")&amp;IF(R32,"",$R$3&amp;" ")&amp;IF(S32,"",$S$3&amp;" "))</f>
        <v/>
      </c>
      <c r="V32" s="18">
        <f>EXACT(SUBSTITUTE(A32," ",""),SUBSTITUTE(K32&amp;L32&amp;M32&amp;N32&amp;O32," ",""))</f>
        <v/>
      </c>
    </row>
    <row r="33">
      <c r="A33" s="15" t="inlineStr">
        <is>
          <t>INSERT INTO CNF_CIF_FILE_FILTERING_TBL VALUES('A' , 'Q' , 6);</t>
        </is>
      </c>
      <c r="B33" s="16" t="n"/>
      <c r="C33" s="15" t="inlineStr">
        <is>
          <t xml:space="preserve">'A' </t>
        </is>
      </c>
      <c r="D33" s="15" t="inlineStr">
        <is>
          <t xml:space="preserve"> 'Q' </t>
        </is>
      </c>
      <c r="E33" s="15" t="inlineStr">
        <is>
          <t xml:space="preserve"> 6</t>
        </is>
      </c>
      <c r="G33" s="17" t="inlineStr">
        <is>
          <t>A</t>
        </is>
      </c>
      <c r="H33" s="17" t="inlineStr">
        <is>
          <t>Q</t>
        </is>
      </c>
      <c r="I33" s="17" t="inlineStr">
        <is>
          <t>6</t>
        </is>
      </c>
      <c r="K33" s="15" t="inlineStr">
        <is>
          <t>INSERT INTO</t>
        </is>
      </c>
      <c r="L33" s="15" t="inlineStr">
        <is>
          <t>CNF_CIF_FILE_FILTERING_TBL</t>
        </is>
      </c>
      <c r="M33" s="15" t="inlineStr">
        <is>
          <t>VALUES(</t>
        </is>
      </c>
      <c r="N33" s="15" t="inlineStr">
        <is>
          <t>'A' , 'Q' , 6</t>
        </is>
      </c>
      <c r="O33" s="15" t="inlineStr">
        <is>
          <t>);</t>
        </is>
      </c>
      <c r="Q33" s="18">
        <f>EXACT(TRIM(C33),"'"&amp;G33&amp;"'")</f>
        <v/>
      </c>
      <c r="R33" s="18">
        <f>EXACT(TRIM(D33),"'"&amp;H33&amp;"'")</f>
        <v/>
      </c>
      <c r="S33" s="18">
        <f>EXACT(TRIM(E33),I33&amp;"")</f>
        <v/>
      </c>
      <c r="T33" s="18">
        <f>AND(Q33:S33)</f>
        <v/>
      </c>
      <c r="U33" s="19">
        <f>TRIM(IF(Q33,"",$Q$3&amp;" ")&amp;IF(R33,"",$R$3&amp;" ")&amp;IF(S33,"",$S$3&amp;" "))</f>
        <v/>
      </c>
      <c r="V33" s="18">
        <f>EXACT(SUBSTITUTE(A33," ",""),SUBSTITUTE(K33&amp;L33&amp;M33&amp;N33&amp;O33," ",""))</f>
        <v/>
      </c>
    </row>
    <row r="34">
      <c r="A34" s="15" t="inlineStr">
        <is>
          <t>INSERT INTO CNF_CIF_FILE_FILTERING_TBL VALUES('A' , 'Q' , 8);</t>
        </is>
      </c>
      <c r="B34" s="16" t="n"/>
      <c r="C34" s="15" t="inlineStr">
        <is>
          <t xml:space="preserve">'A' </t>
        </is>
      </c>
      <c r="D34" s="15" t="inlineStr">
        <is>
          <t xml:space="preserve"> 'Q' </t>
        </is>
      </c>
      <c r="E34" s="15" t="inlineStr">
        <is>
          <t xml:space="preserve"> 8</t>
        </is>
      </c>
      <c r="G34" s="17" t="inlineStr">
        <is>
          <t>A</t>
        </is>
      </c>
      <c r="H34" s="17" t="inlineStr">
        <is>
          <t>Q</t>
        </is>
      </c>
      <c r="I34" s="17" t="inlineStr">
        <is>
          <t>8</t>
        </is>
      </c>
      <c r="K34" s="15" t="inlineStr">
        <is>
          <t>INSERT INTO</t>
        </is>
      </c>
      <c r="L34" s="15" t="inlineStr">
        <is>
          <t>CNF_CIF_FILE_FILTERING_TBL</t>
        </is>
      </c>
      <c r="M34" s="15" t="inlineStr">
        <is>
          <t>VALUES(</t>
        </is>
      </c>
      <c r="N34" s="15" t="inlineStr">
        <is>
          <t>'A' , 'Q' , 8</t>
        </is>
      </c>
      <c r="O34" s="15" t="inlineStr">
        <is>
          <t>);</t>
        </is>
      </c>
      <c r="Q34" s="18">
        <f>EXACT(TRIM(C34),"'"&amp;G34&amp;"'")</f>
        <v/>
      </c>
      <c r="R34" s="18">
        <f>EXACT(TRIM(D34),"'"&amp;H34&amp;"'")</f>
        <v/>
      </c>
      <c r="S34" s="18">
        <f>EXACT(TRIM(E34),I34&amp;"")</f>
        <v/>
      </c>
      <c r="T34" s="18">
        <f>AND(Q34:S34)</f>
        <v/>
      </c>
      <c r="U34" s="19">
        <f>TRIM(IF(Q34,"",$Q$3&amp;" ")&amp;IF(R34,"",$R$3&amp;" ")&amp;IF(S34,"",$S$3&amp;" "))</f>
        <v/>
      </c>
      <c r="V34" s="18">
        <f>EXACT(SUBSTITUTE(A34," ",""),SUBSTITUTE(K34&amp;L34&amp;M34&amp;N34&amp;O34," ",""))</f>
        <v/>
      </c>
    </row>
    <row r="35">
      <c r="A35" s="15" t="inlineStr">
        <is>
          <t>INSERT INTO CNF_CIF_FILE_FILTERING_TBL VALUES('A' , 'Q' , 9);</t>
        </is>
      </c>
      <c r="B35" s="16" t="n"/>
      <c r="C35" s="15" t="inlineStr">
        <is>
          <t xml:space="preserve">'A' </t>
        </is>
      </c>
      <c r="D35" s="15" t="inlineStr">
        <is>
          <t xml:space="preserve"> 'Q' </t>
        </is>
      </c>
      <c r="E35" s="15" t="inlineStr">
        <is>
          <t xml:space="preserve"> 9</t>
        </is>
      </c>
      <c r="G35" s="17" t="inlineStr">
        <is>
          <t>A</t>
        </is>
      </c>
      <c r="H35" s="17" t="inlineStr">
        <is>
          <t>Q</t>
        </is>
      </c>
      <c r="I35" s="17" t="inlineStr">
        <is>
          <t>9</t>
        </is>
      </c>
      <c r="K35" s="15" t="inlineStr">
        <is>
          <t>INSERT INTO</t>
        </is>
      </c>
      <c r="L35" s="15" t="inlineStr">
        <is>
          <t>CNF_CIF_FILE_FILTERING_TBL</t>
        </is>
      </c>
      <c r="M35" s="15" t="inlineStr">
        <is>
          <t>VALUES(</t>
        </is>
      </c>
      <c r="N35" s="15" t="inlineStr">
        <is>
          <t>'A' , 'Q' , 9</t>
        </is>
      </c>
      <c r="O35" s="15" t="inlineStr">
        <is>
          <t>);</t>
        </is>
      </c>
      <c r="Q35" s="18">
        <f>EXACT(TRIM(C35),"'"&amp;G35&amp;"'")</f>
        <v/>
      </c>
      <c r="R35" s="18">
        <f>EXACT(TRIM(D35),"'"&amp;H35&amp;"'")</f>
        <v/>
      </c>
      <c r="S35" s="18">
        <f>EXACT(TRIM(E35),I35&amp;"")</f>
        <v/>
      </c>
      <c r="T35" s="18">
        <f>AND(Q35:S35)</f>
        <v/>
      </c>
      <c r="U35" s="19">
        <f>TRIM(IF(Q35,"",$Q$3&amp;" ")&amp;IF(R35,"",$R$3&amp;" ")&amp;IF(S35,"",$S$3&amp;" "))</f>
        <v/>
      </c>
      <c r="V35" s="18">
        <f>EXACT(SUBSTITUTE(A35," ",""),SUBSTITUTE(K35&amp;L35&amp;M35&amp;N35&amp;O35," ",""))</f>
        <v/>
      </c>
    </row>
    <row r="36">
      <c r="A36" s="15" t="inlineStr">
        <is>
          <t>INSERT INTO CNF_CIF_FILE_FILTERING_TBL VALUES('A' , 'Q' , 11);</t>
        </is>
      </c>
      <c r="B36" s="16" t="n"/>
      <c r="C36" s="15" t="inlineStr">
        <is>
          <t xml:space="preserve">'A' </t>
        </is>
      </c>
      <c r="D36" s="15" t="inlineStr">
        <is>
          <t xml:space="preserve"> 'Q' </t>
        </is>
      </c>
      <c r="E36" s="15" t="inlineStr">
        <is>
          <t xml:space="preserve"> 11</t>
        </is>
      </c>
      <c r="G36" s="17" t="inlineStr">
        <is>
          <t>A</t>
        </is>
      </c>
      <c r="H36" s="17" t="inlineStr">
        <is>
          <t>Q</t>
        </is>
      </c>
      <c r="I36" s="17" t="inlineStr">
        <is>
          <t>11</t>
        </is>
      </c>
      <c r="K36" s="15" t="inlineStr">
        <is>
          <t>INSERT INTO</t>
        </is>
      </c>
      <c r="L36" s="15" t="inlineStr">
        <is>
          <t>CNF_CIF_FILE_FILTERING_TBL</t>
        </is>
      </c>
      <c r="M36" s="15" t="inlineStr">
        <is>
          <t>VALUES(</t>
        </is>
      </c>
      <c r="N36" s="15" t="inlineStr">
        <is>
          <t>'A' , 'Q' , 11</t>
        </is>
      </c>
      <c r="O36" s="15" t="inlineStr">
        <is>
          <t>);</t>
        </is>
      </c>
      <c r="Q36" s="18">
        <f>EXACT(TRIM(C36),"'"&amp;G36&amp;"'")</f>
        <v/>
      </c>
      <c r="R36" s="18">
        <f>EXACT(TRIM(D36),"'"&amp;H36&amp;"'")</f>
        <v/>
      </c>
      <c r="S36" s="18">
        <f>EXACT(TRIM(E36),I36&amp;"")</f>
        <v/>
      </c>
      <c r="T36" s="18">
        <f>AND(Q36:S36)</f>
        <v/>
      </c>
      <c r="U36" s="19">
        <f>TRIM(IF(Q36,"",$Q$3&amp;" ")&amp;IF(R36,"",$R$3&amp;" ")&amp;IF(S36,"",$S$3&amp;" "))</f>
        <v/>
      </c>
      <c r="V36" s="18">
        <f>EXACT(SUBSTITUTE(A36," ",""),SUBSTITUTE(K36&amp;L36&amp;M36&amp;N36&amp;O36," ",""))</f>
        <v/>
      </c>
    </row>
    <row r="37">
      <c r="A37" s="15" t="inlineStr">
        <is>
          <t>INSERT INTO CNF_CIF_FILE_FILTERING_TBL VALUES('A' , 'Q' , 12);</t>
        </is>
      </c>
      <c r="B37" s="16" t="n"/>
      <c r="C37" s="15" t="inlineStr">
        <is>
          <t xml:space="preserve">'A' </t>
        </is>
      </c>
      <c r="D37" s="15" t="inlineStr">
        <is>
          <t xml:space="preserve"> 'Q' </t>
        </is>
      </c>
      <c r="E37" s="15" t="inlineStr">
        <is>
          <t xml:space="preserve"> 12</t>
        </is>
      </c>
      <c r="G37" s="17" t="inlineStr">
        <is>
          <t>A</t>
        </is>
      </c>
      <c r="H37" s="17" t="inlineStr">
        <is>
          <t>Q</t>
        </is>
      </c>
      <c r="I37" s="17" t="inlineStr">
        <is>
          <t>12</t>
        </is>
      </c>
      <c r="K37" s="15" t="inlineStr">
        <is>
          <t>INSERT INTO</t>
        </is>
      </c>
      <c r="L37" s="15" t="inlineStr">
        <is>
          <t>CNF_CIF_FILE_FILTERING_TBL</t>
        </is>
      </c>
      <c r="M37" s="15" t="inlineStr">
        <is>
          <t>VALUES(</t>
        </is>
      </c>
      <c r="N37" s="15" t="inlineStr">
        <is>
          <t>'A' , 'Q' , 12</t>
        </is>
      </c>
      <c r="O37" s="15" t="inlineStr">
        <is>
          <t>);</t>
        </is>
      </c>
      <c r="Q37" s="18">
        <f>EXACT(TRIM(C37),"'"&amp;G37&amp;"'")</f>
        <v/>
      </c>
      <c r="R37" s="18">
        <f>EXACT(TRIM(D37),"'"&amp;H37&amp;"'")</f>
        <v/>
      </c>
      <c r="S37" s="18">
        <f>EXACT(TRIM(E37),I37&amp;"")</f>
        <v/>
      </c>
      <c r="T37" s="18">
        <f>AND(Q37:S37)</f>
        <v/>
      </c>
      <c r="U37" s="19">
        <f>TRIM(IF(Q37,"",$Q$3&amp;" ")&amp;IF(R37,"",$R$3&amp;" ")&amp;IF(S37,"",$S$3&amp;" "))</f>
        <v/>
      </c>
      <c r="V37" s="18">
        <f>EXACT(SUBSTITUTE(A37," ",""),SUBSTITUTE(K37&amp;L37&amp;M37&amp;N37&amp;O37," ",""))</f>
        <v/>
      </c>
    </row>
    <row r="38">
      <c r="A38" s="15" t="inlineStr">
        <is>
          <t>INSERT INTO CNF_CIF_FILE_FILTERING_TBL VALUES('A' , 'Q' , 13);</t>
        </is>
      </c>
      <c r="B38" s="16" t="n"/>
      <c r="C38" s="15" t="inlineStr">
        <is>
          <t xml:space="preserve">'A' </t>
        </is>
      </c>
      <c r="D38" s="15" t="inlineStr">
        <is>
          <t xml:space="preserve"> 'Q' </t>
        </is>
      </c>
      <c r="E38" s="15" t="inlineStr">
        <is>
          <t xml:space="preserve"> 13</t>
        </is>
      </c>
      <c r="G38" s="17" t="inlineStr">
        <is>
          <t>A</t>
        </is>
      </c>
      <c r="H38" s="17" t="inlineStr">
        <is>
          <t>Q</t>
        </is>
      </c>
      <c r="I38" s="17" t="inlineStr">
        <is>
          <t>13</t>
        </is>
      </c>
      <c r="K38" s="15" t="inlineStr">
        <is>
          <t>INSERT INTO</t>
        </is>
      </c>
      <c r="L38" s="15" t="inlineStr">
        <is>
          <t>CNF_CIF_FILE_FILTERING_TBL</t>
        </is>
      </c>
      <c r="M38" s="15" t="inlineStr">
        <is>
          <t>VALUES(</t>
        </is>
      </c>
      <c r="N38" s="15" t="inlineStr">
        <is>
          <t>'A' , 'Q' , 13</t>
        </is>
      </c>
      <c r="O38" s="15" t="inlineStr">
        <is>
          <t>);</t>
        </is>
      </c>
      <c r="Q38" s="18">
        <f>EXACT(TRIM(C38),"'"&amp;G38&amp;"'")</f>
        <v/>
      </c>
      <c r="R38" s="18">
        <f>EXACT(TRIM(D38),"'"&amp;H38&amp;"'")</f>
        <v/>
      </c>
      <c r="S38" s="18">
        <f>EXACT(TRIM(E38),I38&amp;"")</f>
        <v/>
      </c>
      <c r="T38" s="18">
        <f>AND(Q38:S38)</f>
        <v/>
      </c>
      <c r="U38" s="19">
        <f>TRIM(IF(Q38,"",$Q$3&amp;" ")&amp;IF(R38,"",$R$3&amp;" ")&amp;IF(S38,"",$S$3&amp;" "))</f>
        <v/>
      </c>
      <c r="V38" s="18">
        <f>EXACT(SUBSTITUTE(A38," ",""),SUBSTITUTE(K38&amp;L38&amp;M38&amp;N38&amp;O38," ",""))</f>
        <v/>
      </c>
    </row>
    <row r="39">
      <c r="A39" s="15" t="inlineStr">
        <is>
          <t>INSERT INTO CNF_CIF_FILE_FILTERING_TBL VALUES('A' , 'Q' , 14);</t>
        </is>
      </c>
      <c r="B39" s="16" t="n"/>
      <c r="C39" s="15" t="inlineStr">
        <is>
          <t xml:space="preserve">'A' </t>
        </is>
      </c>
      <c r="D39" s="15" t="inlineStr">
        <is>
          <t xml:space="preserve"> 'Q' </t>
        </is>
      </c>
      <c r="E39" s="15" t="inlineStr">
        <is>
          <t xml:space="preserve"> 14</t>
        </is>
      </c>
      <c r="G39" s="17" t="inlineStr">
        <is>
          <t>A</t>
        </is>
      </c>
      <c r="H39" s="17" t="inlineStr">
        <is>
          <t>Q</t>
        </is>
      </c>
      <c r="I39" s="17" t="inlineStr">
        <is>
          <t>14</t>
        </is>
      </c>
      <c r="K39" s="15" t="inlineStr">
        <is>
          <t>INSERT INTO</t>
        </is>
      </c>
      <c r="L39" s="15" t="inlineStr">
        <is>
          <t>CNF_CIF_FILE_FILTERING_TBL</t>
        </is>
      </c>
      <c r="M39" s="15" t="inlineStr">
        <is>
          <t>VALUES(</t>
        </is>
      </c>
      <c r="N39" s="15" t="inlineStr">
        <is>
          <t>'A' , 'Q' , 14</t>
        </is>
      </c>
      <c r="O39" s="15" t="inlineStr">
        <is>
          <t>);</t>
        </is>
      </c>
      <c r="Q39" s="18">
        <f>EXACT(TRIM(C39),"'"&amp;G39&amp;"'")</f>
        <v/>
      </c>
      <c r="R39" s="18">
        <f>EXACT(TRIM(D39),"'"&amp;H39&amp;"'")</f>
        <v/>
      </c>
      <c r="S39" s="18">
        <f>EXACT(TRIM(E39),I39&amp;"")</f>
        <v/>
      </c>
      <c r="T39" s="18">
        <f>AND(Q39:S39)</f>
        <v/>
      </c>
      <c r="U39" s="19">
        <f>TRIM(IF(Q39,"",$Q$3&amp;" ")&amp;IF(R39,"",$R$3&amp;" ")&amp;IF(S39,"",$S$3&amp;" "))</f>
        <v/>
      </c>
      <c r="V39" s="18">
        <f>EXACT(SUBSTITUTE(A39," ",""),SUBSTITUTE(K39&amp;L39&amp;M39&amp;N39&amp;O39," ",""))</f>
        <v/>
      </c>
    </row>
    <row r="40">
      <c r="A40" s="15" t="inlineStr">
        <is>
          <t>INSERT INTO CNF_CIF_FILE_FILTERING_TBL VALUES('A' , 'Q' , 15);</t>
        </is>
      </c>
      <c r="B40" s="16" t="n"/>
      <c r="C40" s="15" t="inlineStr">
        <is>
          <t xml:space="preserve">'A' </t>
        </is>
      </c>
      <c r="D40" s="15" t="inlineStr">
        <is>
          <t xml:space="preserve"> 'Q' </t>
        </is>
      </c>
      <c r="E40" s="15" t="inlineStr">
        <is>
          <t xml:space="preserve"> 15</t>
        </is>
      </c>
      <c r="G40" s="17" t="inlineStr">
        <is>
          <t>A</t>
        </is>
      </c>
      <c r="H40" s="17" t="inlineStr">
        <is>
          <t>Q</t>
        </is>
      </c>
      <c r="I40" s="17" t="inlineStr">
        <is>
          <t>15</t>
        </is>
      </c>
      <c r="K40" s="15" t="inlineStr">
        <is>
          <t>INSERT INTO</t>
        </is>
      </c>
      <c r="L40" s="15" t="inlineStr">
        <is>
          <t>CNF_CIF_FILE_FILTERING_TBL</t>
        </is>
      </c>
      <c r="M40" s="15" t="inlineStr">
        <is>
          <t>VALUES(</t>
        </is>
      </c>
      <c r="N40" s="15" t="inlineStr">
        <is>
          <t>'A' , 'Q' , 15</t>
        </is>
      </c>
      <c r="O40" s="15" t="inlineStr">
        <is>
          <t>);</t>
        </is>
      </c>
      <c r="Q40" s="18">
        <f>EXACT(TRIM(C40),"'"&amp;G40&amp;"'")</f>
        <v/>
      </c>
      <c r="R40" s="18">
        <f>EXACT(TRIM(D40),"'"&amp;H40&amp;"'")</f>
        <v/>
      </c>
      <c r="S40" s="18">
        <f>EXACT(TRIM(E40),I40&amp;"")</f>
        <v/>
      </c>
      <c r="T40" s="18">
        <f>AND(Q40:S40)</f>
        <v/>
      </c>
      <c r="U40" s="19">
        <f>TRIM(IF(Q40,"",$Q$3&amp;" ")&amp;IF(R40,"",$R$3&amp;" ")&amp;IF(S40,"",$S$3&amp;" "))</f>
        <v/>
      </c>
      <c r="V40" s="18">
        <f>EXACT(SUBSTITUTE(A40," ",""),SUBSTITUTE(K40&amp;L40&amp;M40&amp;N40&amp;O40," ",""))</f>
        <v/>
      </c>
    </row>
    <row r="41">
      <c r="A41" s="15" t="inlineStr">
        <is>
          <t>INSERT INTO CNF_CIF_FILE_FILTERING_TBL VALUES('A' , 'Q' , 16);</t>
        </is>
      </c>
      <c r="B41" s="16" t="n"/>
      <c r="C41" s="15" t="inlineStr">
        <is>
          <t xml:space="preserve">'A' </t>
        </is>
      </c>
      <c r="D41" s="15" t="inlineStr">
        <is>
          <t xml:space="preserve"> 'Q' </t>
        </is>
      </c>
      <c r="E41" s="15" t="inlineStr">
        <is>
          <t xml:space="preserve"> 16</t>
        </is>
      </c>
      <c r="G41" s="17" t="inlineStr">
        <is>
          <t>A</t>
        </is>
      </c>
      <c r="H41" s="17" t="inlineStr">
        <is>
          <t>Q</t>
        </is>
      </c>
      <c r="I41" s="17" t="inlineStr">
        <is>
          <t>16</t>
        </is>
      </c>
      <c r="K41" s="15" t="inlineStr">
        <is>
          <t>INSERT INTO</t>
        </is>
      </c>
      <c r="L41" s="15" t="inlineStr">
        <is>
          <t>CNF_CIF_FILE_FILTERING_TBL</t>
        </is>
      </c>
      <c r="M41" s="15" t="inlineStr">
        <is>
          <t>VALUES(</t>
        </is>
      </c>
      <c r="N41" s="15" t="inlineStr">
        <is>
          <t>'A' , 'Q' , 16</t>
        </is>
      </c>
      <c r="O41" s="15" t="inlineStr">
        <is>
          <t>);</t>
        </is>
      </c>
      <c r="Q41" s="18">
        <f>EXACT(TRIM(C41),"'"&amp;G41&amp;"'")</f>
        <v/>
      </c>
      <c r="R41" s="18">
        <f>EXACT(TRIM(D41),"'"&amp;H41&amp;"'")</f>
        <v/>
      </c>
      <c r="S41" s="18">
        <f>EXACT(TRIM(E41),I41&amp;"")</f>
        <v/>
      </c>
      <c r="T41" s="18">
        <f>AND(Q41:S41)</f>
        <v/>
      </c>
      <c r="U41" s="19">
        <f>TRIM(IF(Q41,"",$Q$3&amp;" ")&amp;IF(R41,"",$R$3&amp;" ")&amp;IF(S41,"",$S$3&amp;" "))</f>
        <v/>
      </c>
      <c r="V41" s="18">
        <f>EXACT(SUBSTITUTE(A41," ",""),SUBSTITUTE(K41&amp;L41&amp;M41&amp;N41&amp;O41," ",""))</f>
        <v/>
      </c>
    </row>
    <row r="42">
      <c r="A42" s="15" t="inlineStr">
        <is>
          <t>INSERT INTO CNF_CIF_FILE_FILTERING_TBL VALUES('A' , 'R' , 1);</t>
        </is>
      </c>
      <c r="B42" s="16" t="n"/>
      <c r="C42" s="15" t="inlineStr">
        <is>
          <t xml:space="preserve">'A' </t>
        </is>
      </c>
      <c r="D42" s="15" t="inlineStr">
        <is>
          <t xml:space="preserve"> 'R' </t>
        </is>
      </c>
      <c r="E42" s="15" t="inlineStr">
        <is>
          <t xml:space="preserve"> 1</t>
        </is>
      </c>
      <c r="G42" s="17" t="inlineStr">
        <is>
          <t>A</t>
        </is>
      </c>
      <c r="H42" s="17" t="inlineStr">
        <is>
          <t>R</t>
        </is>
      </c>
      <c r="I42" s="17" t="inlineStr">
        <is>
          <t>1</t>
        </is>
      </c>
      <c r="K42" s="15" t="inlineStr">
        <is>
          <t>INSERT INTO</t>
        </is>
      </c>
      <c r="L42" s="15" t="inlineStr">
        <is>
          <t>CNF_CIF_FILE_FILTERING_TBL</t>
        </is>
      </c>
      <c r="M42" s="15" t="inlineStr">
        <is>
          <t>VALUES(</t>
        </is>
      </c>
      <c r="N42" s="15" t="inlineStr">
        <is>
          <t>'A' , 'R' , 1</t>
        </is>
      </c>
      <c r="O42" s="15" t="inlineStr">
        <is>
          <t>);</t>
        </is>
      </c>
      <c r="Q42" s="18">
        <f>EXACT(TRIM(C42),"'"&amp;G42&amp;"'")</f>
        <v/>
      </c>
      <c r="R42" s="18">
        <f>EXACT(TRIM(D42),"'"&amp;H42&amp;"'")</f>
        <v/>
      </c>
      <c r="S42" s="18">
        <f>EXACT(TRIM(E42),I42&amp;"")</f>
        <v/>
      </c>
      <c r="T42" s="18">
        <f>AND(Q42:S42)</f>
        <v/>
      </c>
      <c r="U42" s="19">
        <f>TRIM(IF(Q42,"",$Q$3&amp;" ")&amp;IF(R42,"",$R$3&amp;" ")&amp;IF(S42,"",$S$3&amp;" "))</f>
        <v/>
      </c>
      <c r="V42" s="18">
        <f>EXACT(SUBSTITUTE(A42," ",""),SUBSTITUTE(K42&amp;L42&amp;M42&amp;N42&amp;O42," ",""))</f>
        <v/>
      </c>
    </row>
    <row r="43">
      <c r="A43" s="15" t="inlineStr">
        <is>
          <t>INSERT INTO CNF_CIF_FILE_FILTERING_TBL VALUES('A' , 'R' , 4);</t>
        </is>
      </c>
      <c r="B43" s="16" t="n"/>
      <c r="C43" s="15" t="inlineStr">
        <is>
          <t xml:space="preserve">'A' </t>
        </is>
      </c>
      <c r="D43" s="15" t="inlineStr">
        <is>
          <t xml:space="preserve"> 'R' </t>
        </is>
      </c>
      <c r="E43" s="15" t="inlineStr">
        <is>
          <t xml:space="preserve"> 4</t>
        </is>
      </c>
      <c r="G43" s="17" t="inlineStr">
        <is>
          <t>A</t>
        </is>
      </c>
      <c r="H43" s="17" t="inlineStr">
        <is>
          <t>R</t>
        </is>
      </c>
      <c r="I43" s="17" t="inlineStr">
        <is>
          <t>4</t>
        </is>
      </c>
      <c r="K43" s="15" t="inlineStr">
        <is>
          <t>INSERT INTO</t>
        </is>
      </c>
      <c r="L43" s="15" t="inlineStr">
        <is>
          <t>CNF_CIF_FILE_FILTERING_TBL</t>
        </is>
      </c>
      <c r="M43" s="15" t="inlineStr">
        <is>
          <t>VALUES(</t>
        </is>
      </c>
      <c r="N43" s="15" t="inlineStr">
        <is>
          <t>'A' , 'R' , 4</t>
        </is>
      </c>
      <c r="O43" s="15" t="inlineStr">
        <is>
          <t>);</t>
        </is>
      </c>
      <c r="Q43" s="18">
        <f>EXACT(TRIM(C43),"'"&amp;G43&amp;"'")</f>
        <v/>
      </c>
      <c r="R43" s="18">
        <f>EXACT(TRIM(D43),"'"&amp;H43&amp;"'")</f>
        <v/>
      </c>
      <c r="S43" s="18">
        <f>EXACT(TRIM(E43),I43&amp;"")</f>
        <v/>
      </c>
      <c r="T43" s="18">
        <f>AND(Q43:S43)</f>
        <v/>
      </c>
      <c r="U43" s="19">
        <f>TRIM(IF(Q43,"",$Q$3&amp;" ")&amp;IF(R43,"",$R$3&amp;" ")&amp;IF(S43,"",$S$3&amp;" "))</f>
        <v/>
      </c>
      <c r="V43" s="18">
        <f>EXACT(SUBSTITUTE(A43," ",""),SUBSTITUTE(K43&amp;L43&amp;M43&amp;N43&amp;O43," ",""))</f>
        <v/>
      </c>
    </row>
    <row r="44">
      <c r="A44" s="15" t="inlineStr">
        <is>
          <t>INSERT INTO CNF_CIF_FILE_FILTERING_TBL VALUES('A' , 'R' , 5);</t>
        </is>
      </c>
      <c r="B44" s="16" t="n"/>
      <c r="C44" s="15" t="inlineStr">
        <is>
          <t xml:space="preserve">'A' </t>
        </is>
      </c>
      <c r="D44" s="15" t="inlineStr">
        <is>
          <t xml:space="preserve"> 'R' </t>
        </is>
      </c>
      <c r="E44" s="15" t="inlineStr">
        <is>
          <t xml:space="preserve"> 5</t>
        </is>
      </c>
      <c r="G44" s="17" t="inlineStr">
        <is>
          <t>A</t>
        </is>
      </c>
      <c r="H44" s="17" t="inlineStr">
        <is>
          <t>R</t>
        </is>
      </c>
      <c r="I44" s="17" t="inlineStr">
        <is>
          <t>5</t>
        </is>
      </c>
      <c r="K44" s="15" t="inlineStr">
        <is>
          <t>INSERT INTO</t>
        </is>
      </c>
      <c r="L44" s="15" t="inlineStr">
        <is>
          <t>CNF_CIF_FILE_FILTERING_TBL</t>
        </is>
      </c>
      <c r="M44" s="15" t="inlineStr">
        <is>
          <t>VALUES(</t>
        </is>
      </c>
      <c r="N44" s="15" t="inlineStr">
        <is>
          <t>'A' , 'R' , 5</t>
        </is>
      </c>
      <c r="O44" s="15" t="inlineStr">
        <is>
          <t>);</t>
        </is>
      </c>
      <c r="Q44" s="18">
        <f>EXACT(TRIM(C44),"'"&amp;G44&amp;"'")</f>
        <v/>
      </c>
      <c r="R44" s="18">
        <f>EXACT(TRIM(D44),"'"&amp;H44&amp;"'")</f>
        <v/>
      </c>
      <c r="S44" s="18">
        <f>EXACT(TRIM(E44),I44&amp;"")</f>
        <v/>
      </c>
      <c r="T44" s="18">
        <f>AND(Q44:S44)</f>
        <v/>
      </c>
      <c r="U44" s="19">
        <f>TRIM(IF(Q44,"",$Q$3&amp;" ")&amp;IF(R44,"",$R$3&amp;" ")&amp;IF(S44,"",$S$3&amp;" "))</f>
        <v/>
      </c>
      <c r="V44" s="18">
        <f>EXACT(SUBSTITUTE(A44," ",""),SUBSTITUTE(K44&amp;L44&amp;M44&amp;N44&amp;O44," ",""))</f>
        <v/>
      </c>
    </row>
    <row r="45">
      <c r="A45" s="15" t="inlineStr">
        <is>
          <t>INSERT INTO CNF_CIF_FILE_FILTERING_TBL VALUES('A' , 'R' , 6);</t>
        </is>
      </c>
      <c r="B45" s="16" t="n"/>
      <c r="C45" s="15" t="inlineStr">
        <is>
          <t xml:space="preserve">'A' </t>
        </is>
      </c>
      <c r="D45" s="15" t="inlineStr">
        <is>
          <t xml:space="preserve"> 'R' </t>
        </is>
      </c>
      <c r="E45" s="15" t="inlineStr">
        <is>
          <t xml:space="preserve"> 6</t>
        </is>
      </c>
      <c r="G45" s="17" t="inlineStr">
        <is>
          <t>A</t>
        </is>
      </c>
      <c r="H45" s="17" t="inlineStr">
        <is>
          <t>R</t>
        </is>
      </c>
      <c r="I45" s="17" t="inlineStr">
        <is>
          <t>6</t>
        </is>
      </c>
      <c r="K45" s="15" t="inlineStr">
        <is>
          <t>INSERT INTO</t>
        </is>
      </c>
      <c r="L45" s="15" t="inlineStr">
        <is>
          <t>CNF_CIF_FILE_FILTERING_TBL</t>
        </is>
      </c>
      <c r="M45" s="15" t="inlineStr">
        <is>
          <t>VALUES(</t>
        </is>
      </c>
      <c r="N45" s="15" t="inlineStr">
        <is>
          <t>'A' , 'R' , 6</t>
        </is>
      </c>
      <c r="O45" s="15" t="inlineStr">
        <is>
          <t>);</t>
        </is>
      </c>
      <c r="Q45" s="18">
        <f>EXACT(TRIM(C45),"'"&amp;G45&amp;"'")</f>
        <v/>
      </c>
      <c r="R45" s="18">
        <f>EXACT(TRIM(D45),"'"&amp;H45&amp;"'")</f>
        <v/>
      </c>
      <c r="S45" s="18">
        <f>EXACT(TRIM(E45),I45&amp;"")</f>
        <v/>
      </c>
      <c r="T45" s="18">
        <f>AND(Q45:S45)</f>
        <v/>
      </c>
      <c r="U45" s="19">
        <f>TRIM(IF(Q45,"",$Q$3&amp;" ")&amp;IF(R45,"",$R$3&amp;" ")&amp;IF(S45,"",$S$3&amp;" "))</f>
        <v/>
      </c>
      <c r="V45" s="18">
        <f>EXACT(SUBSTITUTE(A45," ",""),SUBSTITUTE(K45&amp;L45&amp;M45&amp;N45&amp;O45," ",""))</f>
        <v/>
      </c>
    </row>
    <row r="46">
      <c r="A46" s="15" t="inlineStr">
        <is>
          <t>INSERT INTO CNF_CIF_FILE_FILTERING_TBL VALUES('A' , 'R' , 8);</t>
        </is>
      </c>
      <c r="B46" s="16" t="n"/>
      <c r="C46" s="15" t="inlineStr">
        <is>
          <t xml:space="preserve">'A' </t>
        </is>
      </c>
      <c r="D46" s="15" t="inlineStr">
        <is>
          <t xml:space="preserve"> 'R' </t>
        </is>
      </c>
      <c r="E46" s="15" t="inlineStr">
        <is>
          <t xml:space="preserve"> 8</t>
        </is>
      </c>
      <c r="G46" s="17" t="inlineStr">
        <is>
          <t>A</t>
        </is>
      </c>
      <c r="H46" s="17" t="inlineStr">
        <is>
          <t>R</t>
        </is>
      </c>
      <c r="I46" s="17" t="inlineStr">
        <is>
          <t>8</t>
        </is>
      </c>
      <c r="K46" s="15" t="inlineStr">
        <is>
          <t>INSERT INTO</t>
        </is>
      </c>
      <c r="L46" s="15" t="inlineStr">
        <is>
          <t>CNF_CIF_FILE_FILTERING_TBL</t>
        </is>
      </c>
      <c r="M46" s="15" t="inlineStr">
        <is>
          <t>VALUES(</t>
        </is>
      </c>
      <c r="N46" s="15" t="inlineStr">
        <is>
          <t>'A' , 'R' , 8</t>
        </is>
      </c>
      <c r="O46" s="15" t="inlineStr">
        <is>
          <t>);</t>
        </is>
      </c>
      <c r="Q46" s="18">
        <f>EXACT(TRIM(C46),"'"&amp;G46&amp;"'")</f>
        <v/>
      </c>
      <c r="R46" s="18">
        <f>EXACT(TRIM(D46),"'"&amp;H46&amp;"'")</f>
        <v/>
      </c>
      <c r="S46" s="18">
        <f>EXACT(TRIM(E46),I46&amp;"")</f>
        <v/>
      </c>
      <c r="T46" s="18">
        <f>AND(Q46:S46)</f>
        <v/>
      </c>
      <c r="U46" s="19">
        <f>TRIM(IF(Q46,"",$Q$3&amp;" ")&amp;IF(R46,"",$R$3&amp;" ")&amp;IF(S46,"",$S$3&amp;" "))</f>
        <v/>
      </c>
      <c r="V46" s="18">
        <f>EXACT(SUBSTITUTE(A46," ",""),SUBSTITUTE(K46&amp;L46&amp;M46&amp;N46&amp;O46," ",""))</f>
        <v/>
      </c>
    </row>
    <row r="47">
      <c r="A47" s="15" t="inlineStr">
        <is>
          <t>INSERT INTO CNF_CIF_FILE_FILTERING_TBL VALUES('A' , 'R' , 9);</t>
        </is>
      </c>
      <c r="B47" s="16" t="n"/>
      <c r="C47" s="15" t="inlineStr">
        <is>
          <t xml:space="preserve">'A' </t>
        </is>
      </c>
      <c r="D47" s="15" t="inlineStr">
        <is>
          <t xml:space="preserve"> 'R' </t>
        </is>
      </c>
      <c r="E47" s="15" t="inlineStr">
        <is>
          <t xml:space="preserve"> 9</t>
        </is>
      </c>
      <c r="G47" s="17" t="inlineStr">
        <is>
          <t>A</t>
        </is>
      </c>
      <c r="H47" s="17" t="inlineStr">
        <is>
          <t>R</t>
        </is>
      </c>
      <c r="I47" s="17" t="inlineStr">
        <is>
          <t>9</t>
        </is>
      </c>
      <c r="K47" s="15" t="inlineStr">
        <is>
          <t>INSERT INTO</t>
        </is>
      </c>
      <c r="L47" s="15" t="inlineStr">
        <is>
          <t>CNF_CIF_FILE_FILTERING_TBL</t>
        </is>
      </c>
      <c r="M47" s="15" t="inlineStr">
        <is>
          <t>VALUES(</t>
        </is>
      </c>
      <c r="N47" s="15" t="inlineStr">
        <is>
          <t>'A' , 'R' , 9</t>
        </is>
      </c>
      <c r="O47" s="15" t="inlineStr">
        <is>
          <t>);</t>
        </is>
      </c>
      <c r="Q47" s="18">
        <f>EXACT(TRIM(C47),"'"&amp;G47&amp;"'")</f>
        <v/>
      </c>
      <c r="R47" s="18">
        <f>EXACT(TRIM(D47),"'"&amp;H47&amp;"'")</f>
        <v/>
      </c>
      <c r="S47" s="18">
        <f>EXACT(TRIM(E47),I47&amp;"")</f>
        <v/>
      </c>
      <c r="T47" s="18">
        <f>AND(Q47:S47)</f>
        <v/>
      </c>
      <c r="U47" s="19">
        <f>TRIM(IF(Q47,"",$Q$3&amp;" ")&amp;IF(R47,"",$R$3&amp;" ")&amp;IF(S47,"",$S$3&amp;" "))</f>
        <v/>
      </c>
      <c r="V47" s="18">
        <f>EXACT(SUBSTITUTE(A47," ",""),SUBSTITUTE(K47&amp;L47&amp;M47&amp;N47&amp;O47," ",""))</f>
        <v/>
      </c>
    </row>
    <row r="48">
      <c r="A48" s="15" t="inlineStr">
        <is>
          <t>INSERT INTO CNF_CIF_FILE_FILTERING_TBL VALUES('A' , 'R' , 11);</t>
        </is>
      </c>
      <c r="B48" s="16" t="n"/>
      <c r="C48" s="15" t="inlineStr">
        <is>
          <t xml:space="preserve">'A' </t>
        </is>
      </c>
      <c r="D48" s="15" t="inlineStr">
        <is>
          <t xml:space="preserve"> 'R' </t>
        </is>
      </c>
      <c r="E48" s="15" t="inlineStr">
        <is>
          <t xml:space="preserve"> 11</t>
        </is>
      </c>
      <c r="G48" s="17" t="inlineStr">
        <is>
          <t>A</t>
        </is>
      </c>
      <c r="H48" s="17" t="inlineStr">
        <is>
          <t>R</t>
        </is>
      </c>
      <c r="I48" s="17" t="inlineStr">
        <is>
          <t>11</t>
        </is>
      </c>
      <c r="K48" s="15" t="inlineStr">
        <is>
          <t>INSERT INTO</t>
        </is>
      </c>
      <c r="L48" s="15" t="inlineStr">
        <is>
          <t>CNF_CIF_FILE_FILTERING_TBL</t>
        </is>
      </c>
      <c r="M48" s="15" t="inlineStr">
        <is>
          <t>VALUES(</t>
        </is>
      </c>
      <c r="N48" s="15" t="inlineStr">
        <is>
          <t>'A' , 'R' , 11</t>
        </is>
      </c>
      <c r="O48" s="15" t="inlineStr">
        <is>
          <t>);</t>
        </is>
      </c>
      <c r="Q48" s="18">
        <f>EXACT(TRIM(C48),"'"&amp;G48&amp;"'")</f>
        <v/>
      </c>
      <c r="R48" s="18">
        <f>EXACT(TRIM(D48),"'"&amp;H48&amp;"'")</f>
        <v/>
      </c>
      <c r="S48" s="18">
        <f>EXACT(TRIM(E48),I48&amp;"")</f>
        <v/>
      </c>
      <c r="T48" s="18">
        <f>AND(Q48:S48)</f>
        <v/>
      </c>
      <c r="U48" s="19">
        <f>TRIM(IF(Q48,"",$Q$3&amp;" ")&amp;IF(R48,"",$R$3&amp;" ")&amp;IF(S48,"",$S$3&amp;" "))</f>
        <v/>
      </c>
      <c r="V48" s="18">
        <f>EXACT(SUBSTITUTE(A48," ",""),SUBSTITUTE(K48&amp;L48&amp;M48&amp;N48&amp;O48," ",""))</f>
        <v/>
      </c>
    </row>
    <row r="49">
      <c r="A49" s="15" t="inlineStr">
        <is>
          <t>INSERT INTO CNF_CIF_FILE_FILTERING_TBL VALUES('A' , 'R' , 12);</t>
        </is>
      </c>
      <c r="B49" s="16" t="n"/>
      <c r="C49" s="15" t="inlineStr">
        <is>
          <t xml:space="preserve">'A' </t>
        </is>
      </c>
      <c r="D49" s="15" t="inlineStr">
        <is>
          <t xml:space="preserve"> 'R' </t>
        </is>
      </c>
      <c r="E49" s="15" t="inlineStr">
        <is>
          <t xml:space="preserve"> 12</t>
        </is>
      </c>
      <c r="G49" s="17" t="inlineStr">
        <is>
          <t>A</t>
        </is>
      </c>
      <c r="H49" s="17" t="inlineStr">
        <is>
          <t>R</t>
        </is>
      </c>
      <c r="I49" s="17" t="inlineStr">
        <is>
          <t>12</t>
        </is>
      </c>
      <c r="K49" s="15" t="inlineStr">
        <is>
          <t>INSERT INTO</t>
        </is>
      </c>
      <c r="L49" s="15" t="inlineStr">
        <is>
          <t>CNF_CIF_FILE_FILTERING_TBL</t>
        </is>
      </c>
      <c r="M49" s="15" t="inlineStr">
        <is>
          <t>VALUES(</t>
        </is>
      </c>
      <c r="N49" s="15" t="inlineStr">
        <is>
          <t>'A' , 'R' , 12</t>
        </is>
      </c>
      <c r="O49" s="15" t="inlineStr">
        <is>
          <t>);</t>
        </is>
      </c>
      <c r="Q49" s="18">
        <f>EXACT(TRIM(C49),"'"&amp;G49&amp;"'")</f>
        <v/>
      </c>
      <c r="R49" s="18">
        <f>EXACT(TRIM(D49),"'"&amp;H49&amp;"'")</f>
        <v/>
      </c>
      <c r="S49" s="18">
        <f>EXACT(TRIM(E49),I49&amp;"")</f>
        <v/>
      </c>
      <c r="T49" s="18">
        <f>AND(Q49:S49)</f>
        <v/>
      </c>
      <c r="U49" s="19">
        <f>TRIM(IF(Q49,"",$Q$3&amp;" ")&amp;IF(R49,"",$R$3&amp;" ")&amp;IF(S49,"",$S$3&amp;" "))</f>
        <v/>
      </c>
      <c r="V49" s="18">
        <f>EXACT(SUBSTITUTE(A49," ",""),SUBSTITUTE(K49&amp;L49&amp;M49&amp;N49&amp;O49," ",""))</f>
        <v/>
      </c>
    </row>
    <row r="50">
      <c r="A50" s="15" t="inlineStr">
        <is>
          <t>INSERT INTO CNF_CIF_FILE_FILTERING_TBL VALUES('A' , 'R' , 13);</t>
        </is>
      </c>
      <c r="B50" s="16" t="n"/>
      <c r="C50" s="15" t="inlineStr">
        <is>
          <t xml:space="preserve">'A' </t>
        </is>
      </c>
      <c r="D50" s="15" t="inlineStr">
        <is>
          <t xml:space="preserve"> 'R' </t>
        </is>
      </c>
      <c r="E50" s="15" t="inlineStr">
        <is>
          <t xml:space="preserve"> 13</t>
        </is>
      </c>
      <c r="G50" s="17" t="inlineStr">
        <is>
          <t>A</t>
        </is>
      </c>
      <c r="H50" s="17" t="inlineStr">
        <is>
          <t>R</t>
        </is>
      </c>
      <c r="I50" s="17" t="inlineStr">
        <is>
          <t>13</t>
        </is>
      </c>
      <c r="K50" s="15" t="inlineStr">
        <is>
          <t>INSERT INTO</t>
        </is>
      </c>
      <c r="L50" s="15" t="inlineStr">
        <is>
          <t>CNF_CIF_FILE_FILTERING_TBL</t>
        </is>
      </c>
      <c r="M50" s="15" t="inlineStr">
        <is>
          <t>VALUES(</t>
        </is>
      </c>
      <c r="N50" s="15" t="inlineStr">
        <is>
          <t>'A' , 'R' , 13</t>
        </is>
      </c>
      <c r="O50" s="15" t="inlineStr">
        <is>
          <t>);</t>
        </is>
      </c>
      <c r="Q50" s="18">
        <f>EXACT(TRIM(C50),"'"&amp;G50&amp;"'")</f>
        <v/>
      </c>
      <c r="R50" s="18">
        <f>EXACT(TRIM(D50),"'"&amp;H50&amp;"'")</f>
        <v/>
      </c>
      <c r="S50" s="18">
        <f>EXACT(TRIM(E50),I50&amp;"")</f>
        <v/>
      </c>
      <c r="T50" s="18">
        <f>AND(Q50:S50)</f>
        <v/>
      </c>
      <c r="U50" s="19">
        <f>TRIM(IF(Q50,"",$Q$3&amp;" ")&amp;IF(R50,"",$R$3&amp;" ")&amp;IF(S50,"",$S$3&amp;" "))</f>
        <v/>
      </c>
      <c r="V50" s="18">
        <f>EXACT(SUBSTITUTE(A50," ",""),SUBSTITUTE(K50&amp;L50&amp;M50&amp;N50&amp;O50," ",""))</f>
        <v/>
      </c>
    </row>
    <row r="51">
      <c r="A51" s="15" t="inlineStr">
        <is>
          <t>INSERT INTO CNF_CIF_FILE_FILTERING_TBL VALUES('A' , 'R' , 14);</t>
        </is>
      </c>
      <c r="B51" s="16" t="n"/>
      <c r="C51" s="15" t="inlineStr">
        <is>
          <t xml:space="preserve">'A' </t>
        </is>
      </c>
      <c r="D51" s="15" t="inlineStr">
        <is>
          <t xml:space="preserve"> 'R' </t>
        </is>
      </c>
      <c r="E51" s="15" t="inlineStr">
        <is>
          <t xml:space="preserve"> 14</t>
        </is>
      </c>
      <c r="G51" s="17" t="inlineStr">
        <is>
          <t>A</t>
        </is>
      </c>
      <c r="H51" s="17" t="inlineStr">
        <is>
          <t>R</t>
        </is>
      </c>
      <c r="I51" s="17" t="inlineStr">
        <is>
          <t>14</t>
        </is>
      </c>
      <c r="K51" s="15" t="inlineStr">
        <is>
          <t>INSERT INTO</t>
        </is>
      </c>
      <c r="L51" s="15" t="inlineStr">
        <is>
          <t>CNF_CIF_FILE_FILTERING_TBL</t>
        </is>
      </c>
      <c r="M51" s="15" t="inlineStr">
        <is>
          <t>VALUES(</t>
        </is>
      </c>
      <c r="N51" s="15" t="inlineStr">
        <is>
          <t>'A' , 'R' , 14</t>
        </is>
      </c>
      <c r="O51" s="15" t="inlineStr">
        <is>
          <t>);</t>
        </is>
      </c>
      <c r="Q51" s="18">
        <f>EXACT(TRIM(C51),"'"&amp;G51&amp;"'")</f>
        <v/>
      </c>
      <c r="R51" s="18">
        <f>EXACT(TRIM(D51),"'"&amp;H51&amp;"'")</f>
        <v/>
      </c>
      <c r="S51" s="18">
        <f>EXACT(TRIM(E51),I51&amp;"")</f>
        <v/>
      </c>
      <c r="T51" s="18">
        <f>AND(Q51:S51)</f>
        <v/>
      </c>
      <c r="U51" s="19">
        <f>TRIM(IF(Q51,"",$Q$3&amp;" ")&amp;IF(R51,"",$R$3&amp;" ")&amp;IF(S51,"",$S$3&amp;" "))</f>
        <v/>
      </c>
      <c r="V51" s="18">
        <f>EXACT(SUBSTITUTE(A51," ",""),SUBSTITUTE(K51&amp;L51&amp;M51&amp;N51&amp;O51," ",""))</f>
        <v/>
      </c>
    </row>
    <row r="52">
      <c r="A52" s="15" t="inlineStr">
        <is>
          <t>INSERT INTO CNF_CIF_FILE_FILTERING_TBL VALUES('A' , 'R' , 15);</t>
        </is>
      </c>
      <c r="B52" s="16" t="n"/>
      <c r="C52" s="15" t="inlineStr">
        <is>
          <t xml:space="preserve">'A' </t>
        </is>
      </c>
      <c r="D52" s="15" t="inlineStr">
        <is>
          <t xml:space="preserve"> 'R' </t>
        </is>
      </c>
      <c r="E52" s="15" t="inlineStr">
        <is>
          <t xml:space="preserve"> 15</t>
        </is>
      </c>
      <c r="G52" s="17" t="inlineStr">
        <is>
          <t>A</t>
        </is>
      </c>
      <c r="H52" s="17" t="inlineStr">
        <is>
          <t>R</t>
        </is>
      </c>
      <c r="I52" s="17" t="inlineStr">
        <is>
          <t>15</t>
        </is>
      </c>
      <c r="K52" s="15" t="inlineStr">
        <is>
          <t>INSERT INTO</t>
        </is>
      </c>
      <c r="L52" s="15" t="inlineStr">
        <is>
          <t>CNF_CIF_FILE_FILTERING_TBL</t>
        </is>
      </c>
      <c r="M52" s="15" t="inlineStr">
        <is>
          <t>VALUES(</t>
        </is>
      </c>
      <c r="N52" s="15" t="inlineStr">
        <is>
          <t>'A' , 'R' , 15</t>
        </is>
      </c>
      <c r="O52" s="15" t="inlineStr">
        <is>
          <t>);</t>
        </is>
      </c>
      <c r="Q52" s="18">
        <f>EXACT(TRIM(C52),"'"&amp;G52&amp;"'")</f>
        <v/>
      </c>
      <c r="R52" s="18">
        <f>EXACT(TRIM(D52),"'"&amp;H52&amp;"'")</f>
        <v/>
      </c>
      <c r="S52" s="18">
        <f>EXACT(TRIM(E52),I52&amp;"")</f>
        <v/>
      </c>
      <c r="T52" s="18">
        <f>AND(Q52:S52)</f>
        <v/>
      </c>
      <c r="U52" s="19">
        <f>TRIM(IF(Q52,"",$Q$3&amp;" ")&amp;IF(R52,"",$R$3&amp;" ")&amp;IF(S52,"",$S$3&amp;" "))</f>
        <v/>
      </c>
      <c r="V52" s="18">
        <f>EXACT(SUBSTITUTE(A52," ",""),SUBSTITUTE(K52&amp;L52&amp;M52&amp;N52&amp;O52," ",""))</f>
        <v/>
      </c>
    </row>
    <row r="53">
      <c r="A53" s="15" t="inlineStr">
        <is>
          <t>INSERT INTO CNF_CIF_FILE_FILTERING_TBL VALUES('A' , 'R' , 16);</t>
        </is>
      </c>
      <c r="B53" s="16" t="n"/>
      <c r="C53" s="15" t="inlineStr">
        <is>
          <t xml:space="preserve">'A' </t>
        </is>
      </c>
      <c r="D53" s="15" t="inlineStr">
        <is>
          <t xml:space="preserve"> 'R' </t>
        </is>
      </c>
      <c r="E53" s="15" t="inlineStr">
        <is>
          <t xml:space="preserve"> 16</t>
        </is>
      </c>
      <c r="G53" s="17" t="inlineStr">
        <is>
          <t>A</t>
        </is>
      </c>
      <c r="H53" s="17" t="inlineStr">
        <is>
          <t>R</t>
        </is>
      </c>
      <c r="I53" s="17" t="inlineStr">
        <is>
          <t>16</t>
        </is>
      </c>
      <c r="K53" s="15" t="inlineStr">
        <is>
          <t>INSERT INTO</t>
        </is>
      </c>
      <c r="L53" s="15" t="inlineStr">
        <is>
          <t>CNF_CIF_FILE_FILTERING_TBL</t>
        </is>
      </c>
      <c r="M53" s="15" t="inlineStr">
        <is>
          <t>VALUES(</t>
        </is>
      </c>
      <c r="N53" s="15" t="inlineStr">
        <is>
          <t>'A' , 'R' , 16</t>
        </is>
      </c>
      <c r="O53" s="15" t="inlineStr">
        <is>
          <t>);</t>
        </is>
      </c>
      <c r="Q53" s="18">
        <f>EXACT(TRIM(C53),"'"&amp;G53&amp;"'")</f>
        <v/>
      </c>
      <c r="R53" s="18">
        <f>EXACT(TRIM(D53),"'"&amp;H53&amp;"'")</f>
        <v/>
      </c>
      <c r="S53" s="18">
        <f>EXACT(TRIM(E53),I53&amp;"")</f>
        <v/>
      </c>
      <c r="T53" s="18">
        <f>AND(Q53:S53)</f>
        <v/>
      </c>
      <c r="U53" s="19">
        <f>TRIM(IF(Q53,"",$Q$3&amp;" ")&amp;IF(R53,"",$R$3&amp;" ")&amp;IF(S53,"",$S$3&amp;" "))</f>
        <v/>
      </c>
      <c r="V53" s="18">
        <f>EXACT(SUBSTITUTE(A53," ",""),SUBSTITUTE(K53&amp;L53&amp;M53&amp;N53&amp;O53," ",""))</f>
        <v/>
      </c>
    </row>
    <row r="54">
      <c r="A54" s="15" t="inlineStr">
        <is>
          <t>INSERT INTO CNF_CIF_FILE_FILTERING_TBL VALUES('A' , 'S' , 1);</t>
        </is>
      </c>
      <c r="B54" s="16" t="n"/>
      <c r="C54" s="15" t="inlineStr">
        <is>
          <t xml:space="preserve">'A' </t>
        </is>
      </c>
      <c r="D54" s="15" t="inlineStr">
        <is>
          <t xml:space="preserve"> 'S' </t>
        </is>
      </c>
      <c r="E54" s="15" t="inlineStr">
        <is>
          <t xml:space="preserve"> 1</t>
        </is>
      </c>
      <c r="G54" s="17" t="inlineStr">
        <is>
          <t>A</t>
        </is>
      </c>
      <c r="H54" s="17" t="inlineStr">
        <is>
          <t>S</t>
        </is>
      </c>
      <c r="I54" s="17" t="inlineStr">
        <is>
          <t>1</t>
        </is>
      </c>
      <c r="K54" s="15" t="inlineStr">
        <is>
          <t>INSERT INTO</t>
        </is>
      </c>
      <c r="L54" s="15" t="inlineStr">
        <is>
          <t>CNF_CIF_FILE_FILTERING_TBL</t>
        </is>
      </c>
      <c r="M54" s="15" t="inlineStr">
        <is>
          <t>VALUES(</t>
        </is>
      </c>
      <c r="N54" s="15" t="inlineStr">
        <is>
          <t>'A' , 'S' , 1</t>
        </is>
      </c>
      <c r="O54" s="15" t="inlineStr">
        <is>
          <t>);</t>
        </is>
      </c>
      <c r="Q54" s="18">
        <f>EXACT(TRIM(C54),"'"&amp;G54&amp;"'")</f>
        <v/>
      </c>
      <c r="R54" s="18">
        <f>EXACT(TRIM(D54),"'"&amp;H54&amp;"'")</f>
        <v/>
      </c>
      <c r="S54" s="18">
        <f>EXACT(TRIM(E54),I54&amp;"")</f>
        <v/>
      </c>
      <c r="T54" s="18">
        <f>AND(Q54:S54)</f>
        <v/>
      </c>
      <c r="U54" s="19">
        <f>TRIM(IF(Q54,"",$Q$3&amp;" ")&amp;IF(R54,"",$R$3&amp;" ")&amp;IF(S54,"",$S$3&amp;" "))</f>
        <v/>
      </c>
      <c r="V54" s="18">
        <f>EXACT(SUBSTITUTE(A54," ",""),SUBSTITUTE(K54&amp;L54&amp;M54&amp;N54&amp;O54," ",""))</f>
        <v/>
      </c>
    </row>
    <row r="55">
      <c r="A55" s="15" t="inlineStr">
        <is>
          <t>INSERT INTO CNF_CIF_FILE_FILTERING_TBL VALUES('A' , 'S' , 4);</t>
        </is>
      </c>
      <c r="B55" s="16" t="n"/>
      <c r="C55" s="15" t="inlineStr">
        <is>
          <t xml:space="preserve">'A' </t>
        </is>
      </c>
      <c r="D55" s="15" t="inlineStr">
        <is>
          <t xml:space="preserve"> 'S' </t>
        </is>
      </c>
      <c r="E55" s="15" t="inlineStr">
        <is>
          <t xml:space="preserve"> 4</t>
        </is>
      </c>
      <c r="G55" s="17" t="inlineStr">
        <is>
          <t>A</t>
        </is>
      </c>
      <c r="H55" s="17" t="inlineStr">
        <is>
          <t>S</t>
        </is>
      </c>
      <c r="I55" s="17" t="inlineStr">
        <is>
          <t>4</t>
        </is>
      </c>
      <c r="K55" s="15" t="inlineStr">
        <is>
          <t>INSERT INTO</t>
        </is>
      </c>
      <c r="L55" s="15" t="inlineStr">
        <is>
          <t>CNF_CIF_FILE_FILTERING_TBL</t>
        </is>
      </c>
      <c r="M55" s="15" t="inlineStr">
        <is>
          <t>VALUES(</t>
        </is>
      </c>
      <c r="N55" s="15" t="inlineStr">
        <is>
          <t>'A' , 'S' , 4</t>
        </is>
      </c>
      <c r="O55" s="15" t="inlineStr">
        <is>
          <t>);</t>
        </is>
      </c>
      <c r="Q55" s="18">
        <f>EXACT(TRIM(C55),"'"&amp;G55&amp;"'")</f>
        <v/>
      </c>
      <c r="R55" s="18">
        <f>EXACT(TRIM(D55),"'"&amp;H55&amp;"'")</f>
        <v/>
      </c>
      <c r="S55" s="18">
        <f>EXACT(TRIM(E55),I55&amp;"")</f>
        <v/>
      </c>
      <c r="T55" s="18">
        <f>AND(Q55:S55)</f>
        <v/>
      </c>
      <c r="U55" s="19">
        <f>TRIM(IF(Q55,"",$Q$3&amp;" ")&amp;IF(R55,"",$R$3&amp;" ")&amp;IF(S55,"",$S$3&amp;" "))</f>
        <v/>
      </c>
      <c r="V55" s="18">
        <f>EXACT(SUBSTITUTE(A55," ",""),SUBSTITUTE(K55&amp;L55&amp;M55&amp;N55&amp;O55," ",""))</f>
        <v/>
      </c>
    </row>
    <row r="56">
      <c r="A56" s="15" t="inlineStr">
        <is>
          <t>INSERT INTO CNF_CIF_FILE_FILTERING_TBL VALUES('A' , 'S' , 5);</t>
        </is>
      </c>
      <c r="B56" s="16" t="n"/>
      <c r="C56" s="15" t="inlineStr">
        <is>
          <t xml:space="preserve">'A' </t>
        </is>
      </c>
      <c r="D56" s="15" t="inlineStr">
        <is>
          <t xml:space="preserve"> 'S' </t>
        </is>
      </c>
      <c r="E56" s="15" t="inlineStr">
        <is>
          <t xml:space="preserve"> 5</t>
        </is>
      </c>
      <c r="G56" s="17" t="inlineStr">
        <is>
          <t>A</t>
        </is>
      </c>
      <c r="H56" s="17" t="inlineStr">
        <is>
          <t>S</t>
        </is>
      </c>
      <c r="I56" s="17" t="inlineStr">
        <is>
          <t>5</t>
        </is>
      </c>
      <c r="K56" s="15" t="inlineStr">
        <is>
          <t>INSERT INTO</t>
        </is>
      </c>
      <c r="L56" s="15" t="inlineStr">
        <is>
          <t>CNF_CIF_FILE_FILTERING_TBL</t>
        </is>
      </c>
      <c r="M56" s="15" t="inlineStr">
        <is>
          <t>VALUES(</t>
        </is>
      </c>
      <c r="N56" s="15" t="inlineStr">
        <is>
          <t>'A' , 'S' , 5</t>
        </is>
      </c>
      <c r="O56" s="15" t="inlineStr">
        <is>
          <t>);</t>
        </is>
      </c>
      <c r="Q56" s="18">
        <f>EXACT(TRIM(C56),"'"&amp;G56&amp;"'")</f>
        <v/>
      </c>
      <c r="R56" s="18">
        <f>EXACT(TRIM(D56),"'"&amp;H56&amp;"'")</f>
        <v/>
      </c>
      <c r="S56" s="18">
        <f>EXACT(TRIM(E56),I56&amp;"")</f>
        <v/>
      </c>
      <c r="T56" s="18">
        <f>AND(Q56:S56)</f>
        <v/>
      </c>
      <c r="U56" s="19">
        <f>TRIM(IF(Q56,"",$Q$3&amp;" ")&amp;IF(R56,"",$R$3&amp;" ")&amp;IF(S56,"",$S$3&amp;" "))</f>
        <v/>
      </c>
      <c r="V56" s="18">
        <f>EXACT(SUBSTITUTE(A56," ",""),SUBSTITUTE(K56&amp;L56&amp;M56&amp;N56&amp;O56," ",""))</f>
        <v/>
      </c>
    </row>
    <row r="57">
      <c r="A57" s="15" t="inlineStr">
        <is>
          <t>INSERT INTO CNF_CIF_FILE_FILTERING_TBL VALUES('A' , 'S' , 6);</t>
        </is>
      </c>
      <c r="B57" s="16" t="n"/>
      <c r="C57" s="15" t="inlineStr">
        <is>
          <t xml:space="preserve">'A' </t>
        </is>
      </c>
      <c r="D57" s="15" t="inlineStr">
        <is>
          <t xml:space="preserve"> 'S' </t>
        </is>
      </c>
      <c r="E57" s="15" t="inlineStr">
        <is>
          <t xml:space="preserve"> 6</t>
        </is>
      </c>
      <c r="G57" s="17" t="inlineStr">
        <is>
          <t>A</t>
        </is>
      </c>
      <c r="H57" s="17" t="inlineStr">
        <is>
          <t>S</t>
        </is>
      </c>
      <c r="I57" s="17" t="inlineStr">
        <is>
          <t>6</t>
        </is>
      </c>
      <c r="K57" s="15" t="inlineStr">
        <is>
          <t>INSERT INTO</t>
        </is>
      </c>
      <c r="L57" s="15" t="inlineStr">
        <is>
          <t>CNF_CIF_FILE_FILTERING_TBL</t>
        </is>
      </c>
      <c r="M57" s="15" t="inlineStr">
        <is>
          <t>VALUES(</t>
        </is>
      </c>
      <c r="N57" s="15" t="inlineStr">
        <is>
          <t>'A' , 'S' , 6</t>
        </is>
      </c>
      <c r="O57" s="15" t="inlineStr">
        <is>
          <t>);</t>
        </is>
      </c>
      <c r="Q57" s="18">
        <f>EXACT(TRIM(C57),"'"&amp;G57&amp;"'")</f>
        <v/>
      </c>
      <c r="R57" s="18">
        <f>EXACT(TRIM(D57),"'"&amp;H57&amp;"'")</f>
        <v/>
      </c>
      <c r="S57" s="18">
        <f>EXACT(TRIM(E57),I57&amp;"")</f>
        <v/>
      </c>
      <c r="T57" s="18">
        <f>AND(Q57:S57)</f>
        <v/>
      </c>
      <c r="U57" s="19">
        <f>TRIM(IF(Q57,"",$Q$3&amp;" ")&amp;IF(R57,"",$R$3&amp;" ")&amp;IF(S57,"",$S$3&amp;" "))</f>
        <v/>
      </c>
      <c r="V57" s="18">
        <f>EXACT(SUBSTITUTE(A57," ",""),SUBSTITUTE(K57&amp;L57&amp;M57&amp;N57&amp;O57," ",""))</f>
        <v/>
      </c>
    </row>
    <row r="58">
      <c r="A58" s="15" t="inlineStr">
        <is>
          <t>INSERT INTO CNF_CIF_FILE_FILTERING_TBL VALUES('A' , 'S' , 8);</t>
        </is>
      </c>
      <c r="B58" s="16" t="n"/>
      <c r="C58" s="15" t="inlineStr">
        <is>
          <t xml:space="preserve">'A' </t>
        </is>
      </c>
      <c r="D58" s="15" t="inlineStr">
        <is>
          <t xml:space="preserve"> 'S' </t>
        </is>
      </c>
      <c r="E58" s="15" t="inlineStr">
        <is>
          <t xml:space="preserve"> 8</t>
        </is>
      </c>
      <c r="G58" s="17" t="inlineStr">
        <is>
          <t>A</t>
        </is>
      </c>
      <c r="H58" s="17" t="inlineStr">
        <is>
          <t>S</t>
        </is>
      </c>
      <c r="I58" s="17" t="inlineStr">
        <is>
          <t>8</t>
        </is>
      </c>
      <c r="K58" s="15" t="inlineStr">
        <is>
          <t>INSERT INTO</t>
        </is>
      </c>
      <c r="L58" s="15" t="inlineStr">
        <is>
          <t>CNF_CIF_FILE_FILTERING_TBL</t>
        </is>
      </c>
      <c r="M58" s="15" t="inlineStr">
        <is>
          <t>VALUES(</t>
        </is>
      </c>
      <c r="N58" s="15" t="inlineStr">
        <is>
          <t>'A' , 'S' , 8</t>
        </is>
      </c>
      <c r="O58" s="15" t="inlineStr">
        <is>
          <t>);</t>
        </is>
      </c>
      <c r="Q58" s="18">
        <f>EXACT(TRIM(C58),"'"&amp;G58&amp;"'")</f>
        <v/>
      </c>
      <c r="R58" s="18">
        <f>EXACT(TRIM(D58),"'"&amp;H58&amp;"'")</f>
        <v/>
      </c>
      <c r="S58" s="18">
        <f>EXACT(TRIM(E58),I58&amp;"")</f>
        <v/>
      </c>
      <c r="T58" s="18">
        <f>AND(Q58:S58)</f>
        <v/>
      </c>
      <c r="U58" s="19">
        <f>TRIM(IF(Q58,"",$Q$3&amp;" ")&amp;IF(R58,"",$R$3&amp;" ")&amp;IF(S58,"",$S$3&amp;" "))</f>
        <v/>
      </c>
      <c r="V58" s="18">
        <f>EXACT(SUBSTITUTE(A58," ",""),SUBSTITUTE(K58&amp;L58&amp;M58&amp;N58&amp;O58," ",""))</f>
        <v/>
      </c>
    </row>
    <row r="59">
      <c r="A59" s="15" t="inlineStr">
        <is>
          <t>INSERT INTO CNF_CIF_FILE_FILTERING_TBL VALUES('A' , 'S' , 9);</t>
        </is>
      </c>
      <c r="B59" s="16" t="n"/>
      <c r="C59" s="15" t="inlineStr">
        <is>
          <t xml:space="preserve">'A' </t>
        </is>
      </c>
      <c r="D59" s="15" t="inlineStr">
        <is>
          <t xml:space="preserve"> 'S' </t>
        </is>
      </c>
      <c r="E59" s="15" t="inlineStr">
        <is>
          <t xml:space="preserve"> 9</t>
        </is>
      </c>
      <c r="G59" s="17" t="inlineStr">
        <is>
          <t>A</t>
        </is>
      </c>
      <c r="H59" s="17" t="inlineStr">
        <is>
          <t>S</t>
        </is>
      </c>
      <c r="I59" s="17" t="inlineStr">
        <is>
          <t>9</t>
        </is>
      </c>
      <c r="K59" s="15" t="inlineStr">
        <is>
          <t>INSERT INTO</t>
        </is>
      </c>
      <c r="L59" s="15" t="inlineStr">
        <is>
          <t>CNF_CIF_FILE_FILTERING_TBL</t>
        </is>
      </c>
      <c r="M59" s="15" t="inlineStr">
        <is>
          <t>VALUES(</t>
        </is>
      </c>
      <c r="N59" s="15" t="inlineStr">
        <is>
          <t>'A' , 'S' , 9</t>
        </is>
      </c>
      <c r="O59" s="15" t="inlineStr">
        <is>
          <t>);</t>
        </is>
      </c>
      <c r="Q59" s="18">
        <f>EXACT(TRIM(C59),"'"&amp;G59&amp;"'")</f>
        <v/>
      </c>
      <c r="R59" s="18">
        <f>EXACT(TRIM(D59),"'"&amp;H59&amp;"'")</f>
        <v/>
      </c>
      <c r="S59" s="18">
        <f>EXACT(TRIM(E59),I59&amp;"")</f>
        <v/>
      </c>
      <c r="T59" s="18">
        <f>AND(Q59:S59)</f>
        <v/>
      </c>
      <c r="U59" s="19">
        <f>TRIM(IF(Q59,"",$Q$3&amp;" ")&amp;IF(R59,"",$R$3&amp;" ")&amp;IF(S59,"",$S$3&amp;" "))</f>
        <v/>
      </c>
      <c r="V59" s="18">
        <f>EXACT(SUBSTITUTE(A59," ",""),SUBSTITUTE(K59&amp;L59&amp;M59&amp;N59&amp;O59," ",""))</f>
        <v/>
      </c>
    </row>
    <row r="60">
      <c r="A60" s="15" t="inlineStr">
        <is>
          <t>INSERT INTO CNF_CIF_FILE_FILTERING_TBL VALUES('A' , 'S' , 11);</t>
        </is>
      </c>
      <c r="B60" s="16" t="n"/>
      <c r="C60" s="15" t="inlineStr">
        <is>
          <t xml:space="preserve">'A' </t>
        </is>
      </c>
      <c r="D60" s="15" t="inlineStr">
        <is>
          <t xml:space="preserve"> 'S' </t>
        </is>
      </c>
      <c r="E60" s="15" t="inlineStr">
        <is>
          <t xml:space="preserve"> 11</t>
        </is>
      </c>
      <c r="G60" s="17" t="inlineStr">
        <is>
          <t>A</t>
        </is>
      </c>
      <c r="H60" s="17" t="inlineStr">
        <is>
          <t>S</t>
        </is>
      </c>
      <c r="I60" s="17" t="inlineStr">
        <is>
          <t>11</t>
        </is>
      </c>
      <c r="K60" s="15" t="inlineStr">
        <is>
          <t>INSERT INTO</t>
        </is>
      </c>
      <c r="L60" s="15" t="inlineStr">
        <is>
          <t>CNF_CIF_FILE_FILTERING_TBL</t>
        </is>
      </c>
      <c r="M60" s="15" t="inlineStr">
        <is>
          <t>VALUES(</t>
        </is>
      </c>
      <c r="N60" s="15" t="inlineStr">
        <is>
          <t>'A' , 'S' , 11</t>
        </is>
      </c>
      <c r="O60" s="15" t="inlineStr">
        <is>
          <t>);</t>
        </is>
      </c>
      <c r="Q60" s="18">
        <f>EXACT(TRIM(C60),"'"&amp;G60&amp;"'")</f>
        <v/>
      </c>
      <c r="R60" s="18">
        <f>EXACT(TRIM(D60),"'"&amp;H60&amp;"'")</f>
        <v/>
      </c>
      <c r="S60" s="18">
        <f>EXACT(TRIM(E60),I60&amp;"")</f>
        <v/>
      </c>
      <c r="T60" s="18">
        <f>AND(Q60:S60)</f>
        <v/>
      </c>
      <c r="U60" s="19">
        <f>TRIM(IF(Q60,"",$Q$3&amp;" ")&amp;IF(R60,"",$R$3&amp;" ")&amp;IF(S60,"",$S$3&amp;" "))</f>
        <v/>
      </c>
      <c r="V60" s="18">
        <f>EXACT(SUBSTITUTE(A60," ",""),SUBSTITUTE(K60&amp;L60&amp;M60&amp;N60&amp;O60," ",""))</f>
        <v/>
      </c>
    </row>
    <row r="61">
      <c r="A61" s="15" t="inlineStr">
        <is>
          <t>INSERT INTO CNF_CIF_FILE_FILTERING_TBL VALUES('A' , 'S' , 12);</t>
        </is>
      </c>
      <c r="B61" s="16" t="n"/>
      <c r="C61" s="15" t="inlineStr">
        <is>
          <t xml:space="preserve">'A' </t>
        </is>
      </c>
      <c r="D61" s="15" t="inlineStr">
        <is>
          <t xml:space="preserve"> 'S' </t>
        </is>
      </c>
      <c r="E61" s="15" t="inlineStr">
        <is>
          <t xml:space="preserve"> 12</t>
        </is>
      </c>
      <c r="G61" s="17" t="inlineStr">
        <is>
          <t>A</t>
        </is>
      </c>
      <c r="H61" s="17" t="inlineStr">
        <is>
          <t>S</t>
        </is>
      </c>
      <c r="I61" s="17" t="inlineStr">
        <is>
          <t>12</t>
        </is>
      </c>
      <c r="K61" s="15" t="inlineStr">
        <is>
          <t>INSERT INTO</t>
        </is>
      </c>
      <c r="L61" s="15" t="inlineStr">
        <is>
          <t>CNF_CIF_FILE_FILTERING_TBL</t>
        </is>
      </c>
      <c r="M61" s="15" t="inlineStr">
        <is>
          <t>VALUES(</t>
        </is>
      </c>
      <c r="N61" s="15" t="inlineStr">
        <is>
          <t>'A' , 'S' , 12</t>
        </is>
      </c>
      <c r="O61" s="15" t="inlineStr">
        <is>
          <t>);</t>
        </is>
      </c>
      <c r="Q61" s="18">
        <f>EXACT(TRIM(C61),"'"&amp;G61&amp;"'")</f>
        <v/>
      </c>
      <c r="R61" s="18">
        <f>EXACT(TRIM(D61),"'"&amp;H61&amp;"'")</f>
        <v/>
      </c>
      <c r="S61" s="18">
        <f>EXACT(TRIM(E61),I61&amp;"")</f>
        <v/>
      </c>
      <c r="T61" s="18">
        <f>AND(Q61:S61)</f>
        <v/>
      </c>
      <c r="U61" s="19">
        <f>TRIM(IF(Q61,"",$Q$3&amp;" ")&amp;IF(R61,"",$R$3&amp;" ")&amp;IF(S61,"",$S$3&amp;" "))</f>
        <v/>
      </c>
      <c r="V61" s="18">
        <f>EXACT(SUBSTITUTE(A61," ",""),SUBSTITUTE(K61&amp;L61&amp;M61&amp;N61&amp;O61," ",""))</f>
        <v/>
      </c>
    </row>
    <row r="62">
      <c r="A62" s="15" t="inlineStr">
        <is>
          <t>INSERT INTO CNF_CIF_FILE_FILTERING_TBL VALUES('A' , 'S' , 13);</t>
        </is>
      </c>
      <c r="B62" s="16" t="n"/>
      <c r="C62" s="15" t="inlineStr">
        <is>
          <t xml:space="preserve">'A' </t>
        </is>
      </c>
      <c r="D62" s="15" t="inlineStr">
        <is>
          <t xml:space="preserve"> 'S' </t>
        </is>
      </c>
      <c r="E62" s="15" t="inlineStr">
        <is>
          <t xml:space="preserve"> 13</t>
        </is>
      </c>
      <c r="G62" s="17" t="inlineStr">
        <is>
          <t>A</t>
        </is>
      </c>
      <c r="H62" s="17" t="inlineStr">
        <is>
          <t>S</t>
        </is>
      </c>
      <c r="I62" s="17" t="inlineStr">
        <is>
          <t>13</t>
        </is>
      </c>
      <c r="K62" s="15" t="inlineStr">
        <is>
          <t>INSERT INTO</t>
        </is>
      </c>
      <c r="L62" s="15" t="inlineStr">
        <is>
          <t>CNF_CIF_FILE_FILTERING_TBL</t>
        </is>
      </c>
      <c r="M62" s="15" t="inlineStr">
        <is>
          <t>VALUES(</t>
        </is>
      </c>
      <c r="N62" s="15" t="inlineStr">
        <is>
          <t>'A' , 'S' , 13</t>
        </is>
      </c>
      <c r="O62" s="15" t="inlineStr">
        <is>
          <t>);</t>
        </is>
      </c>
      <c r="Q62" s="18">
        <f>EXACT(TRIM(C62),"'"&amp;G62&amp;"'")</f>
        <v/>
      </c>
      <c r="R62" s="18">
        <f>EXACT(TRIM(D62),"'"&amp;H62&amp;"'")</f>
        <v/>
      </c>
      <c r="S62" s="18">
        <f>EXACT(TRIM(E62),I62&amp;"")</f>
        <v/>
      </c>
      <c r="T62" s="18">
        <f>AND(Q62:S62)</f>
        <v/>
      </c>
      <c r="U62" s="19">
        <f>TRIM(IF(Q62,"",$Q$3&amp;" ")&amp;IF(R62,"",$R$3&amp;" ")&amp;IF(S62,"",$S$3&amp;" "))</f>
        <v/>
      </c>
      <c r="V62" s="18">
        <f>EXACT(SUBSTITUTE(A62," ",""),SUBSTITUTE(K62&amp;L62&amp;M62&amp;N62&amp;O62," ",""))</f>
        <v/>
      </c>
    </row>
    <row r="63">
      <c r="A63" s="15" t="inlineStr">
        <is>
          <t>INSERT INTO CNF_CIF_FILE_FILTERING_TBL VALUES('A' , 'S' , 14);</t>
        </is>
      </c>
      <c r="B63" s="16" t="n"/>
      <c r="C63" s="15" t="inlineStr">
        <is>
          <t xml:space="preserve">'A' </t>
        </is>
      </c>
      <c r="D63" s="15" t="inlineStr">
        <is>
          <t xml:space="preserve"> 'S' </t>
        </is>
      </c>
      <c r="E63" s="15" t="inlineStr">
        <is>
          <t xml:space="preserve"> 14</t>
        </is>
      </c>
      <c r="G63" s="17" t="inlineStr">
        <is>
          <t>A</t>
        </is>
      </c>
      <c r="H63" s="17" t="inlineStr">
        <is>
          <t>S</t>
        </is>
      </c>
      <c r="I63" s="17" t="inlineStr">
        <is>
          <t>14</t>
        </is>
      </c>
      <c r="K63" s="15" t="inlineStr">
        <is>
          <t>INSERT INTO</t>
        </is>
      </c>
      <c r="L63" s="15" t="inlineStr">
        <is>
          <t>CNF_CIF_FILE_FILTERING_TBL</t>
        </is>
      </c>
      <c r="M63" s="15" t="inlineStr">
        <is>
          <t>VALUES(</t>
        </is>
      </c>
      <c r="N63" s="15" t="inlineStr">
        <is>
          <t>'A' , 'S' , 14</t>
        </is>
      </c>
      <c r="O63" s="15" t="inlineStr">
        <is>
          <t>);</t>
        </is>
      </c>
      <c r="Q63" s="18">
        <f>EXACT(TRIM(C63),"'"&amp;G63&amp;"'")</f>
        <v/>
      </c>
      <c r="R63" s="18">
        <f>EXACT(TRIM(D63),"'"&amp;H63&amp;"'")</f>
        <v/>
      </c>
      <c r="S63" s="18">
        <f>EXACT(TRIM(E63),I63&amp;"")</f>
        <v/>
      </c>
      <c r="T63" s="18">
        <f>AND(Q63:S63)</f>
        <v/>
      </c>
      <c r="U63" s="19">
        <f>TRIM(IF(Q63,"",$Q$3&amp;" ")&amp;IF(R63,"",$R$3&amp;" ")&amp;IF(S63,"",$S$3&amp;" "))</f>
        <v/>
      </c>
      <c r="V63" s="18">
        <f>EXACT(SUBSTITUTE(A63," ",""),SUBSTITUTE(K63&amp;L63&amp;M63&amp;N63&amp;O63," ",""))</f>
        <v/>
      </c>
    </row>
    <row r="64">
      <c r="A64" s="15" t="inlineStr">
        <is>
          <t>INSERT INTO CNF_CIF_FILE_FILTERING_TBL VALUES('A' , 'S' , 15);</t>
        </is>
      </c>
      <c r="B64" s="16" t="n"/>
      <c r="C64" s="15" t="inlineStr">
        <is>
          <t xml:space="preserve">'A' </t>
        </is>
      </c>
      <c r="D64" s="15" t="inlineStr">
        <is>
          <t xml:space="preserve"> 'S' </t>
        </is>
      </c>
      <c r="E64" s="15" t="inlineStr">
        <is>
          <t xml:space="preserve"> 15</t>
        </is>
      </c>
      <c r="G64" s="17" t="inlineStr">
        <is>
          <t>A</t>
        </is>
      </c>
      <c r="H64" s="17" t="inlineStr">
        <is>
          <t>S</t>
        </is>
      </c>
      <c r="I64" s="17" t="inlineStr">
        <is>
          <t>15</t>
        </is>
      </c>
      <c r="K64" s="15" t="inlineStr">
        <is>
          <t>INSERT INTO</t>
        </is>
      </c>
      <c r="L64" s="15" t="inlineStr">
        <is>
          <t>CNF_CIF_FILE_FILTERING_TBL</t>
        </is>
      </c>
      <c r="M64" s="15" t="inlineStr">
        <is>
          <t>VALUES(</t>
        </is>
      </c>
      <c r="N64" s="15" t="inlineStr">
        <is>
          <t>'A' , 'S' , 15</t>
        </is>
      </c>
      <c r="O64" s="15" t="inlineStr">
        <is>
          <t>);</t>
        </is>
      </c>
      <c r="Q64" s="18">
        <f>EXACT(TRIM(C64),"'"&amp;G64&amp;"'")</f>
        <v/>
      </c>
      <c r="R64" s="18">
        <f>EXACT(TRIM(D64),"'"&amp;H64&amp;"'")</f>
        <v/>
      </c>
      <c r="S64" s="18">
        <f>EXACT(TRIM(E64),I64&amp;"")</f>
        <v/>
      </c>
      <c r="T64" s="18">
        <f>AND(Q64:S64)</f>
        <v/>
      </c>
      <c r="U64" s="19">
        <f>TRIM(IF(Q64,"",$Q$3&amp;" ")&amp;IF(R64,"",$R$3&amp;" ")&amp;IF(S64,"",$S$3&amp;" "))</f>
        <v/>
      </c>
      <c r="V64" s="18">
        <f>EXACT(SUBSTITUTE(A64," ",""),SUBSTITUTE(K64&amp;L64&amp;M64&amp;N64&amp;O64," ",""))</f>
        <v/>
      </c>
    </row>
    <row r="65">
      <c r="A65" s="15" t="inlineStr">
        <is>
          <t>INSERT INTO CNF_CIF_FILE_FILTERING_TBL VALUES('A' , 'S' , 16);</t>
        </is>
      </c>
      <c r="B65" s="16" t="n"/>
      <c r="C65" s="15" t="inlineStr">
        <is>
          <t xml:space="preserve">'A' </t>
        </is>
      </c>
      <c r="D65" s="15" t="inlineStr">
        <is>
          <t xml:space="preserve"> 'S' </t>
        </is>
      </c>
      <c r="E65" s="15" t="inlineStr">
        <is>
          <t xml:space="preserve"> 16</t>
        </is>
      </c>
      <c r="G65" s="17" t="inlineStr">
        <is>
          <t>A</t>
        </is>
      </c>
      <c r="H65" s="17" t="inlineStr">
        <is>
          <t>S</t>
        </is>
      </c>
      <c r="I65" s="17" t="inlineStr">
        <is>
          <t>16</t>
        </is>
      </c>
      <c r="K65" s="15" t="inlineStr">
        <is>
          <t>INSERT INTO</t>
        </is>
      </c>
      <c r="L65" s="15" t="inlineStr">
        <is>
          <t>CNF_CIF_FILE_FILTERING_TBL</t>
        </is>
      </c>
      <c r="M65" s="15" t="inlineStr">
        <is>
          <t>VALUES(</t>
        </is>
      </c>
      <c r="N65" s="15" t="inlineStr">
        <is>
          <t>'A' , 'S' , 16</t>
        </is>
      </c>
      <c r="O65" s="15" t="inlineStr">
        <is>
          <t>);</t>
        </is>
      </c>
      <c r="Q65" s="18">
        <f>EXACT(TRIM(C65),"'"&amp;G65&amp;"'")</f>
        <v/>
      </c>
      <c r="R65" s="18">
        <f>EXACT(TRIM(D65),"'"&amp;H65&amp;"'")</f>
        <v/>
      </c>
      <c r="S65" s="18">
        <f>EXACT(TRIM(E65),I65&amp;"")</f>
        <v/>
      </c>
      <c r="T65" s="18">
        <f>AND(Q65:S65)</f>
        <v/>
      </c>
      <c r="U65" s="19">
        <f>TRIM(IF(Q65,"",$Q$3&amp;" ")&amp;IF(R65,"",$R$3&amp;" ")&amp;IF(S65,"",$S$3&amp;" "))</f>
        <v/>
      </c>
      <c r="V65" s="18">
        <f>EXACT(SUBSTITUTE(A65," ",""),SUBSTITUTE(K65&amp;L65&amp;M65&amp;N65&amp;O65," ",""))</f>
        <v/>
      </c>
    </row>
    <row r="66">
      <c r="A66" s="15" t="inlineStr">
        <is>
          <t>INSERT INTO CNF_CIF_FILE_FILTERING_TBL VALUES('A' , 'T' , 1);</t>
        </is>
      </c>
      <c r="B66" s="16" t="n"/>
      <c r="C66" s="15" t="inlineStr">
        <is>
          <t xml:space="preserve">'A' </t>
        </is>
      </c>
      <c r="D66" s="15" t="inlineStr">
        <is>
          <t xml:space="preserve"> 'T' </t>
        </is>
      </c>
      <c r="E66" s="15" t="inlineStr">
        <is>
          <t xml:space="preserve"> 1</t>
        </is>
      </c>
      <c r="G66" s="17" t="inlineStr">
        <is>
          <t>A</t>
        </is>
      </c>
      <c r="H66" s="17" t="inlineStr">
        <is>
          <t>T</t>
        </is>
      </c>
      <c r="I66" s="17" t="inlineStr">
        <is>
          <t>1</t>
        </is>
      </c>
      <c r="K66" s="15" t="inlineStr">
        <is>
          <t>INSERT INTO</t>
        </is>
      </c>
      <c r="L66" s="15" t="inlineStr">
        <is>
          <t>CNF_CIF_FILE_FILTERING_TBL</t>
        </is>
      </c>
      <c r="M66" s="15" t="inlineStr">
        <is>
          <t>VALUES(</t>
        </is>
      </c>
      <c r="N66" s="15" t="inlineStr">
        <is>
          <t>'A' , 'T' , 1</t>
        </is>
      </c>
      <c r="O66" s="15" t="inlineStr">
        <is>
          <t>);</t>
        </is>
      </c>
      <c r="Q66" s="18">
        <f>EXACT(TRIM(C66),"'"&amp;G66&amp;"'")</f>
        <v/>
      </c>
      <c r="R66" s="18">
        <f>EXACT(TRIM(D66),"'"&amp;H66&amp;"'")</f>
        <v/>
      </c>
      <c r="S66" s="18">
        <f>EXACT(TRIM(E66),I66&amp;"")</f>
        <v/>
      </c>
      <c r="T66" s="18">
        <f>AND(Q66:S66)</f>
        <v/>
      </c>
      <c r="U66" s="19">
        <f>TRIM(IF(Q66,"",$Q$3&amp;" ")&amp;IF(R66,"",$R$3&amp;" ")&amp;IF(S66,"",$S$3&amp;" "))</f>
        <v/>
      </c>
      <c r="V66" s="18">
        <f>EXACT(SUBSTITUTE(A66," ",""),SUBSTITUTE(K66&amp;L66&amp;M66&amp;N66&amp;O66," ",""))</f>
        <v/>
      </c>
    </row>
    <row r="67">
      <c r="A67" s="15" t="inlineStr">
        <is>
          <t>INSERT INTO CNF_CIF_FILE_FILTERING_TBL VALUES('A' , 'T' , 4);</t>
        </is>
      </c>
      <c r="B67" s="16" t="n"/>
      <c r="C67" s="15" t="inlineStr">
        <is>
          <t xml:space="preserve">'A' </t>
        </is>
      </c>
      <c r="D67" s="15" t="inlineStr">
        <is>
          <t xml:space="preserve"> 'T' </t>
        </is>
      </c>
      <c r="E67" s="15" t="inlineStr">
        <is>
          <t xml:space="preserve"> 4</t>
        </is>
      </c>
      <c r="G67" s="17" t="inlineStr">
        <is>
          <t>A</t>
        </is>
      </c>
      <c r="H67" s="17" t="inlineStr">
        <is>
          <t>T</t>
        </is>
      </c>
      <c r="I67" s="17" t="inlineStr">
        <is>
          <t>4</t>
        </is>
      </c>
      <c r="K67" s="15" t="inlineStr">
        <is>
          <t>INSERT INTO</t>
        </is>
      </c>
      <c r="L67" s="15" t="inlineStr">
        <is>
          <t>CNF_CIF_FILE_FILTERING_TBL</t>
        </is>
      </c>
      <c r="M67" s="15" t="inlineStr">
        <is>
          <t>VALUES(</t>
        </is>
      </c>
      <c r="N67" s="15" t="inlineStr">
        <is>
          <t>'A' , 'T' , 4</t>
        </is>
      </c>
      <c r="O67" s="15" t="inlineStr">
        <is>
          <t>);</t>
        </is>
      </c>
      <c r="Q67" s="18">
        <f>EXACT(TRIM(C67),"'"&amp;G67&amp;"'")</f>
        <v/>
      </c>
      <c r="R67" s="18">
        <f>EXACT(TRIM(D67),"'"&amp;H67&amp;"'")</f>
        <v/>
      </c>
      <c r="S67" s="18">
        <f>EXACT(TRIM(E67),I67&amp;"")</f>
        <v/>
      </c>
      <c r="T67" s="18">
        <f>AND(Q67:S67)</f>
        <v/>
      </c>
      <c r="U67" s="19">
        <f>TRIM(IF(Q67,"",$Q$3&amp;" ")&amp;IF(R67,"",$R$3&amp;" ")&amp;IF(S67,"",$S$3&amp;" "))</f>
        <v/>
      </c>
      <c r="V67" s="18">
        <f>EXACT(SUBSTITUTE(A67," ",""),SUBSTITUTE(K67&amp;L67&amp;M67&amp;N67&amp;O67," ",""))</f>
        <v/>
      </c>
    </row>
    <row r="68">
      <c r="A68" s="15" t="inlineStr">
        <is>
          <t>INSERT INTO CNF_CIF_FILE_FILTERING_TBL VALUES('A' , 'T' , 5);</t>
        </is>
      </c>
      <c r="B68" s="16" t="n"/>
      <c r="C68" s="15" t="inlineStr">
        <is>
          <t xml:space="preserve">'A' </t>
        </is>
      </c>
      <c r="D68" s="15" t="inlineStr">
        <is>
          <t xml:space="preserve"> 'T' </t>
        </is>
      </c>
      <c r="E68" s="15" t="inlineStr">
        <is>
          <t xml:space="preserve"> 5</t>
        </is>
      </c>
      <c r="G68" s="17" t="inlineStr">
        <is>
          <t>A</t>
        </is>
      </c>
      <c r="H68" s="17" t="inlineStr">
        <is>
          <t>T</t>
        </is>
      </c>
      <c r="I68" s="17" t="inlineStr">
        <is>
          <t>5</t>
        </is>
      </c>
      <c r="K68" s="15" t="inlineStr">
        <is>
          <t>INSERT INTO</t>
        </is>
      </c>
      <c r="L68" s="15" t="inlineStr">
        <is>
          <t>CNF_CIF_FILE_FILTERING_TBL</t>
        </is>
      </c>
      <c r="M68" s="15" t="inlineStr">
        <is>
          <t>VALUES(</t>
        </is>
      </c>
      <c r="N68" s="15" t="inlineStr">
        <is>
          <t>'A' , 'T' , 5</t>
        </is>
      </c>
      <c r="O68" s="15" t="inlineStr">
        <is>
          <t>);</t>
        </is>
      </c>
      <c r="Q68" s="18">
        <f>EXACT(TRIM(C68),"'"&amp;G68&amp;"'")</f>
        <v/>
      </c>
      <c r="R68" s="18">
        <f>EXACT(TRIM(D68),"'"&amp;H68&amp;"'")</f>
        <v/>
      </c>
      <c r="S68" s="18">
        <f>EXACT(TRIM(E68),I68&amp;"")</f>
        <v/>
      </c>
      <c r="T68" s="18">
        <f>AND(Q68:S68)</f>
        <v/>
      </c>
      <c r="U68" s="19">
        <f>TRIM(IF(Q68,"",$Q$3&amp;" ")&amp;IF(R68,"",$R$3&amp;" ")&amp;IF(S68,"",$S$3&amp;" "))</f>
        <v/>
      </c>
      <c r="V68" s="18">
        <f>EXACT(SUBSTITUTE(A68," ",""),SUBSTITUTE(K68&amp;L68&amp;M68&amp;N68&amp;O68," ",""))</f>
        <v/>
      </c>
    </row>
    <row r="69">
      <c r="A69" s="15" t="inlineStr">
        <is>
          <t>INSERT INTO CNF_CIF_FILE_FILTERING_TBL VALUES('A' , 'T' , 6);</t>
        </is>
      </c>
      <c r="B69" s="16" t="n"/>
      <c r="C69" s="15" t="inlineStr">
        <is>
          <t xml:space="preserve">'A' </t>
        </is>
      </c>
      <c r="D69" s="15" t="inlineStr">
        <is>
          <t xml:space="preserve"> 'T' </t>
        </is>
      </c>
      <c r="E69" s="15" t="inlineStr">
        <is>
          <t xml:space="preserve"> 6</t>
        </is>
      </c>
      <c r="G69" s="17" t="inlineStr">
        <is>
          <t>A</t>
        </is>
      </c>
      <c r="H69" s="17" t="inlineStr">
        <is>
          <t>T</t>
        </is>
      </c>
      <c r="I69" s="17" t="inlineStr">
        <is>
          <t>6</t>
        </is>
      </c>
      <c r="K69" s="15" t="inlineStr">
        <is>
          <t>INSERT INTO</t>
        </is>
      </c>
      <c r="L69" s="15" t="inlineStr">
        <is>
          <t>CNF_CIF_FILE_FILTERING_TBL</t>
        </is>
      </c>
      <c r="M69" s="15" t="inlineStr">
        <is>
          <t>VALUES(</t>
        </is>
      </c>
      <c r="N69" s="15" t="inlineStr">
        <is>
          <t>'A' , 'T' , 6</t>
        </is>
      </c>
      <c r="O69" s="15" t="inlineStr">
        <is>
          <t>);</t>
        </is>
      </c>
      <c r="Q69" s="18">
        <f>EXACT(TRIM(C69),"'"&amp;G69&amp;"'")</f>
        <v/>
      </c>
      <c r="R69" s="18">
        <f>EXACT(TRIM(D69),"'"&amp;H69&amp;"'")</f>
        <v/>
      </c>
      <c r="S69" s="18">
        <f>EXACT(TRIM(E69),I69&amp;"")</f>
        <v/>
      </c>
      <c r="T69" s="18">
        <f>AND(Q69:S69)</f>
        <v/>
      </c>
      <c r="U69" s="19">
        <f>TRIM(IF(Q69,"",$Q$3&amp;" ")&amp;IF(R69,"",$R$3&amp;" ")&amp;IF(S69,"",$S$3&amp;" "))</f>
        <v/>
      </c>
      <c r="V69" s="18">
        <f>EXACT(SUBSTITUTE(A69," ",""),SUBSTITUTE(K69&amp;L69&amp;M69&amp;N69&amp;O69," ",""))</f>
        <v/>
      </c>
    </row>
    <row r="70">
      <c r="A70" s="15" t="inlineStr">
        <is>
          <t>INSERT INTO CNF_CIF_FILE_FILTERING_TBL VALUES('A' , 'T' , 8);</t>
        </is>
      </c>
      <c r="B70" s="16" t="n"/>
      <c r="C70" s="15" t="inlineStr">
        <is>
          <t xml:space="preserve">'A' </t>
        </is>
      </c>
      <c r="D70" s="15" t="inlineStr">
        <is>
          <t xml:space="preserve"> 'T' </t>
        </is>
      </c>
      <c r="E70" s="15" t="inlineStr">
        <is>
          <t xml:space="preserve"> 8</t>
        </is>
      </c>
      <c r="G70" s="17" t="inlineStr">
        <is>
          <t>A</t>
        </is>
      </c>
      <c r="H70" s="17" t="inlineStr">
        <is>
          <t>T</t>
        </is>
      </c>
      <c r="I70" s="17" t="inlineStr">
        <is>
          <t>8</t>
        </is>
      </c>
      <c r="K70" s="15" t="inlineStr">
        <is>
          <t>INSERT INTO</t>
        </is>
      </c>
      <c r="L70" s="15" t="inlineStr">
        <is>
          <t>CNF_CIF_FILE_FILTERING_TBL</t>
        </is>
      </c>
      <c r="M70" s="15" t="inlineStr">
        <is>
          <t>VALUES(</t>
        </is>
      </c>
      <c r="N70" s="15" t="inlineStr">
        <is>
          <t>'A' , 'T' , 8</t>
        </is>
      </c>
      <c r="O70" s="15" t="inlineStr">
        <is>
          <t>);</t>
        </is>
      </c>
      <c r="Q70" s="18">
        <f>EXACT(TRIM(C70),"'"&amp;G70&amp;"'")</f>
        <v/>
      </c>
      <c r="R70" s="18">
        <f>EXACT(TRIM(D70),"'"&amp;H70&amp;"'")</f>
        <v/>
      </c>
      <c r="S70" s="18">
        <f>EXACT(TRIM(E70),I70&amp;"")</f>
        <v/>
      </c>
      <c r="T70" s="18">
        <f>AND(Q70:S70)</f>
        <v/>
      </c>
      <c r="U70" s="19">
        <f>TRIM(IF(Q70,"",$Q$3&amp;" ")&amp;IF(R70,"",$R$3&amp;" ")&amp;IF(S70,"",$S$3&amp;" "))</f>
        <v/>
      </c>
      <c r="V70" s="18">
        <f>EXACT(SUBSTITUTE(A70," ",""),SUBSTITUTE(K70&amp;L70&amp;M70&amp;N70&amp;O70," ",""))</f>
        <v/>
      </c>
    </row>
    <row r="71">
      <c r="A71" s="15" t="inlineStr">
        <is>
          <t>INSERT INTO CNF_CIF_FILE_FILTERING_TBL VALUES('A' , 'T' , 9);</t>
        </is>
      </c>
      <c r="B71" s="16" t="n"/>
      <c r="C71" s="15" t="inlineStr">
        <is>
          <t xml:space="preserve">'A' </t>
        </is>
      </c>
      <c r="D71" s="15" t="inlineStr">
        <is>
          <t xml:space="preserve"> 'T' </t>
        </is>
      </c>
      <c r="E71" s="15" t="inlineStr">
        <is>
          <t xml:space="preserve"> 9</t>
        </is>
      </c>
      <c r="G71" s="17" t="inlineStr">
        <is>
          <t>A</t>
        </is>
      </c>
      <c r="H71" s="17" t="inlineStr">
        <is>
          <t>T</t>
        </is>
      </c>
      <c r="I71" s="17" t="inlineStr">
        <is>
          <t>9</t>
        </is>
      </c>
      <c r="K71" s="15" t="inlineStr">
        <is>
          <t>INSERT INTO</t>
        </is>
      </c>
      <c r="L71" s="15" t="inlineStr">
        <is>
          <t>CNF_CIF_FILE_FILTERING_TBL</t>
        </is>
      </c>
      <c r="M71" s="15" t="inlineStr">
        <is>
          <t>VALUES(</t>
        </is>
      </c>
      <c r="N71" s="15" t="inlineStr">
        <is>
          <t>'A' , 'T' , 9</t>
        </is>
      </c>
      <c r="O71" s="15" t="inlineStr">
        <is>
          <t>);</t>
        </is>
      </c>
      <c r="Q71" s="18">
        <f>EXACT(TRIM(C71),"'"&amp;G71&amp;"'")</f>
        <v/>
      </c>
      <c r="R71" s="18">
        <f>EXACT(TRIM(D71),"'"&amp;H71&amp;"'")</f>
        <v/>
      </c>
      <c r="S71" s="18">
        <f>EXACT(TRIM(E71),I71&amp;"")</f>
        <v/>
      </c>
      <c r="T71" s="18">
        <f>AND(Q71:S71)</f>
        <v/>
      </c>
      <c r="U71" s="19">
        <f>TRIM(IF(Q71,"",$Q$3&amp;" ")&amp;IF(R71,"",$R$3&amp;" ")&amp;IF(S71,"",$S$3&amp;" "))</f>
        <v/>
      </c>
      <c r="V71" s="18">
        <f>EXACT(SUBSTITUTE(A71," ",""),SUBSTITUTE(K71&amp;L71&amp;M71&amp;N71&amp;O71," ",""))</f>
        <v/>
      </c>
    </row>
    <row r="72">
      <c r="A72" s="15" t="inlineStr">
        <is>
          <t>INSERT INTO CNF_CIF_FILE_FILTERING_TBL VALUES('A' , 'T' , 11);</t>
        </is>
      </c>
      <c r="B72" s="16" t="n"/>
      <c r="C72" s="15" t="inlineStr">
        <is>
          <t xml:space="preserve">'A' </t>
        </is>
      </c>
      <c r="D72" s="15" t="inlineStr">
        <is>
          <t xml:space="preserve"> 'T' </t>
        </is>
      </c>
      <c r="E72" s="15" t="inlineStr">
        <is>
          <t xml:space="preserve"> 11</t>
        </is>
      </c>
      <c r="G72" s="17" t="inlineStr">
        <is>
          <t>A</t>
        </is>
      </c>
      <c r="H72" s="17" t="inlineStr">
        <is>
          <t>T</t>
        </is>
      </c>
      <c r="I72" s="17" t="inlineStr">
        <is>
          <t>11</t>
        </is>
      </c>
      <c r="K72" s="15" t="inlineStr">
        <is>
          <t>INSERT INTO</t>
        </is>
      </c>
      <c r="L72" s="15" t="inlineStr">
        <is>
          <t>CNF_CIF_FILE_FILTERING_TBL</t>
        </is>
      </c>
      <c r="M72" s="15" t="inlineStr">
        <is>
          <t>VALUES(</t>
        </is>
      </c>
      <c r="N72" s="15" t="inlineStr">
        <is>
          <t>'A' , 'T' , 11</t>
        </is>
      </c>
      <c r="O72" s="15" t="inlineStr">
        <is>
          <t>);</t>
        </is>
      </c>
      <c r="Q72" s="18">
        <f>EXACT(TRIM(C72),"'"&amp;G72&amp;"'")</f>
        <v/>
      </c>
      <c r="R72" s="18">
        <f>EXACT(TRIM(D72),"'"&amp;H72&amp;"'")</f>
        <v/>
      </c>
      <c r="S72" s="18">
        <f>EXACT(TRIM(E72),I72&amp;"")</f>
        <v/>
      </c>
      <c r="T72" s="18">
        <f>AND(Q72:S72)</f>
        <v/>
      </c>
      <c r="U72" s="19">
        <f>TRIM(IF(Q72,"",$Q$3&amp;" ")&amp;IF(R72,"",$R$3&amp;" ")&amp;IF(S72,"",$S$3&amp;" "))</f>
        <v/>
      </c>
      <c r="V72" s="18">
        <f>EXACT(SUBSTITUTE(A72," ",""),SUBSTITUTE(K72&amp;L72&amp;M72&amp;N72&amp;O72," ",""))</f>
        <v/>
      </c>
    </row>
    <row r="73">
      <c r="A73" s="15" t="inlineStr">
        <is>
          <t>INSERT INTO CNF_CIF_FILE_FILTERING_TBL VALUES('A' , 'T' , 12);</t>
        </is>
      </c>
      <c r="B73" s="16" t="n"/>
      <c r="C73" s="15" t="inlineStr">
        <is>
          <t xml:space="preserve">'A' </t>
        </is>
      </c>
      <c r="D73" s="15" t="inlineStr">
        <is>
          <t xml:space="preserve"> 'T' </t>
        </is>
      </c>
      <c r="E73" s="15" t="inlineStr">
        <is>
          <t xml:space="preserve"> 12</t>
        </is>
      </c>
      <c r="G73" s="17" t="inlineStr">
        <is>
          <t>A</t>
        </is>
      </c>
      <c r="H73" s="17" t="inlineStr">
        <is>
          <t>T</t>
        </is>
      </c>
      <c r="I73" s="17" t="inlineStr">
        <is>
          <t>12</t>
        </is>
      </c>
      <c r="K73" s="15" t="inlineStr">
        <is>
          <t>INSERT INTO</t>
        </is>
      </c>
      <c r="L73" s="15" t="inlineStr">
        <is>
          <t>CNF_CIF_FILE_FILTERING_TBL</t>
        </is>
      </c>
      <c r="M73" s="15" t="inlineStr">
        <is>
          <t>VALUES(</t>
        </is>
      </c>
      <c r="N73" s="15" t="inlineStr">
        <is>
          <t>'A' , 'T' , 12</t>
        </is>
      </c>
      <c r="O73" s="15" t="inlineStr">
        <is>
          <t>);</t>
        </is>
      </c>
      <c r="Q73" s="18">
        <f>EXACT(TRIM(C73),"'"&amp;G73&amp;"'")</f>
        <v/>
      </c>
      <c r="R73" s="18">
        <f>EXACT(TRIM(D73),"'"&amp;H73&amp;"'")</f>
        <v/>
      </c>
      <c r="S73" s="18">
        <f>EXACT(TRIM(E73),I73&amp;"")</f>
        <v/>
      </c>
      <c r="T73" s="18">
        <f>AND(Q73:S73)</f>
        <v/>
      </c>
      <c r="U73" s="19">
        <f>TRIM(IF(Q73,"",$Q$3&amp;" ")&amp;IF(R73,"",$R$3&amp;" ")&amp;IF(S73,"",$S$3&amp;" "))</f>
        <v/>
      </c>
      <c r="V73" s="18">
        <f>EXACT(SUBSTITUTE(A73," ",""),SUBSTITUTE(K73&amp;L73&amp;M73&amp;N73&amp;O73," ",""))</f>
        <v/>
      </c>
    </row>
    <row r="74">
      <c r="A74" s="15" t="inlineStr">
        <is>
          <t>INSERT INTO CNF_CIF_FILE_FILTERING_TBL VALUES('A' , 'T' , 13);</t>
        </is>
      </c>
      <c r="B74" s="16" t="n"/>
      <c r="C74" s="15" t="inlineStr">
        <is>
          <t xml:space="preserve">'A' </t>
        </is>
      </c>
      <c r="D74" s="15" t="inlineStr">
        <is>
          <t xml:space="preserve"> 'T' </t>
        </is>
      </c>
      <c r="E74" s="15" t="inlineStr">
        <is>
          <t xml:space="preserve"> 13</t>
        </is>
      </c>
      <c r="G74" s="17" t="inlineStr">
        <is>
          <t>A</t>
        </is>
      </c>
      <c r="H74" s="17" t="inlineStr">
        <is>
          <t>T</t>
        </is>
      </c>
      <c r="I74" s="17" t="inlineStr">
        <is>
          <t>13</t>
        </is>
      </c>
      <c r="K74" s="15" t="inlineStr">
        <is>
          <t>INSERT INTO</t>
        </is>
      </c>
      <c r="L74" s="15" t="inlineStr">
        <is>
          <t>CNF_CIF_FILE_FILTERING_TBL</t>
        </is>
      </c>
      <c r="M74" s="15" t="inlineStr">
        <is>
          <t>VALUES(</t>
        </is>
      </c>
      <c r="N74" s="15" t="inlineStr">
        <is>
          <t>'A' , 'T' , 13</t>
        </is>
      </c>
      <c r="O74" s="15" t="inlineStr">
        <is>
          <t>);</t>
        </is>
      </c>
      <c r="Q74" s="18">
        <f>EXACT(TRIM(C74),"'"&amp;G74&amp;"'")</f>
        <v/>
      </c>
      <c r="R74" s="18">
        <f>EXACT(TRIM(D74),"'"&amp;H74&amp;"'")</f>
        <v/>
      </c>
      <c r="S74" s="18">
        <f>EXACT(TRIM(E74),I74&amp;"")</f>
        <v/>
      </c>
      <c r="T74" s="18">
        <f>AND(Q74:S74)</f>
        <v/>
      </c>
      <c r="U74" s="19">
        <f>TRIM(IF(Q74,"",$Q$3&amp;" ")&amp;IF(R74,"",$R$3&amp;" ")&amp;IF(S74,"",$S$3&amp;" "))</f>
        <v/>
      </c>
      <c r="V74" s="18">
        <f>EXACT(SUBSTITUTE(A74," ",""),SUBSTITUTE(K74&amp;L74&amp;M74&amp;N74&amp;O74," ",""))</f>
        <v/>
      </c>
    </row>
    <row r="75">
      <c r="A75" s="15" t="inlineStr">
        <is>
          <t>INSERT INTO CNF_CIF_FILE_FILTERING_TBL VALUES('A' , 'T' , 14);</t>
        </is>
      </c>
      <c r="B75" s="16" t="n"/>
      <c r="C75" s="15" t="inlineStr">
        <is>
          <t xml:space="preserve">'A' </t>
        </is>
      </c>
      <c r="D75" s="15" t="inlineStr">
        <is>
          <t xml:space="preserve"> 'T' </t>
        </is>
      </c>
      <c r="E75" s="15" t="inlineStr">
        <is>
          <t xml:space="preserve"> 14</t>
        </is>
      </c>
      <c r="G75" s="17" t="inlineStr">
        <is>
          <t>A</t>
        </is>
      </c>
      <c r="H75" s="17" t="inlineStr">
        <is>
          <t>T</t>
        </is>
      </c>
      <c r="I75" s="17" t="inlineStr">
        <is>
          <t>14</t>
        </is>
      </c>
      <c r="K75" s="15" t="inlineStr">
        <is>
          <t>INSERT INTO</t>
        </is>
      </c>
      <c r="L75" s="15" t="inlineStr">
        <is>
          <t>CNF_CIF_FILE_FILTERING_TBL</t>
        </is>
      </c>
      <c r="M75" s="15" t="inlineStr">
        <is>
          <t>VALUES(</t>
        </is>
      </c>
      <c r="N75" s="15" t="inlineStr">
        <is>
          <t>'A' , 'T' , 14</t>
        </is>
      </c>
      <c r="O75" s="15" t="inlineStr">
        <is>
          <t>);</t>
        </is>
      </c>
      <c r="Q75" s="18">
        <f>EXACT(TRIM(C75),"'"&amp;G75&amp;"'")</f>
        <v/>
      </c>
      <c r="R75" s="18">
        <f>EXACT(TRIM(D75),"'"&amp;H75&amp;"'")</f>
        <v/>
      </c>
      <c r="S75" s="18">
        <f>EXACT(TRIM(E75),I75&amp;"")</f>
        <v/>
      </c>
      <c r="T75" s="18">
        <f>AND(Q75:S75)</f>
        <v/>
      </c>
      <c r="U75" s="19">
        <f>TRIM(IF(Q75,"",$Q$3&amp;" ")&amp;IF(R75,"",$R$3&amp;" ")&amp;IF(S75,"",$S$3&amp;" "))</f>
        <v/>
      </c>
      <c r="V75" s="18">
        <f>EXACT(SUBSTITUTE(A75," ",""),SUBSTITUTE(K75&amp;L75&amp;M75&amp;N75&amp;O75," ",""))</f>
        <v/>
      </c>
    </row>
    <row r="76">
      <c r="A76" s="15" t="inlineStr">
        <is>
          <t>INSERT INTO CNF_CIF_FILE_FILTERING_TBL VALUES('A' , 'T' , 15);</t>
        </is>
      </c>
      <c r="B76" s="16" t="n"/>
      <c r="C76" s="15" t="inlineStr">
        <is>
          <t xml:space="preserve">'A' </t>
        </is>
      </c>
      <c r="D76" s="15" t="inlineStr">
        <is>
          <t xml:space="preserve"> 'T' </t>
        </is>
      </c>
      <c r="E76" s="15" t="inlineStr">
        <is>
          <t xml:space="preserve"> 15</t>
        </is>
      </c>
      <c r="G76" s="17" t="inlineStr">
        <is>
          <t>A</t>
        </is>
      </c>
      <c r="H76" s="17" t="inlineStr">
        <is>
          <t>T</t>
        </is>
      </c>
      <c r="I76" s="17" t="inlineStr">
        <is>
          <t>15</t>
        </is>
      </c>
      <c r="K76" s="15" t="inlineStr">
        <is>
          <t>INSERT INTO</t>
        </is>
      </c>
      <c r="L76" s="15" t="inlineStr">
        <is>
          <t>CNF_CIF_FILE_FILTERING_TBL</t>
        </is>
      </c>
      <c r="M76" s="15" t="inlineStr">
        <is>
          <t>VALUES(</t>
        </is>
      </c>
      <c r="N76" s="15" t="inlineStr">
        <is>
          <t>'A' , 'T' , 15</t>
        </is>
      </c>
      <c r="O76" s="15" t="inlineStr">
        <is>
          <t>);</t>
        </is>
      </c>
      <c r="Q76" s="18">
        <f>EXACT(TRIM(C76),"'"&amp;G76&amp;"'")</f>
        <v/>
      </c>
      <c r="R76" s="18">
        <f>EXACT(TRIM(D76),"'"&amp;H76&amp;"'")</f>
        <v/>
      </c>
      <c r="S76" s="18">
        <f>EXACT(TRIM(E76),I76&amp;"")</f>
        <v/>
      </c>
      <c r="T76" s="18">
        <f>AND(Q76:S76)</f>
        <v/>
      </c>
      <c r="U76" s="19">
        <f>TRIM(IF(Q76,"",$Q$3&amp;" ")&amp;IF(R76,"",$R$3&amp;" ")&amp;IF(S76,"",$S$3&amp;" "))</f>
        <v/>
      </c>
      <c r="V76" s="18">
        <f>EXACT(SUBSTITUTE(A76," ",""),SUBSTITUTE(K76&amp;L76&amp;M76&amp;N76&amp;O76," ",""))</f>
        <v/>
      </c>
    </row>
    <row r="77">
      <c r="A77" s="15" t="inlineStr">
        <is>
          <t>INSERT INTO CNF_CIF_FILE_FILTERING_TBL VALUES('A' , 'T' , 16);</t>
        </is>
      </c>
      <c r="B77" s="16" t="n"/>
      <c r="C77" s="15" t="inlineStr">
        <is>
          <t xml:space="preserve">'A' </t>
        </is>
      </c>
      <c r="D77" s="15" t="inlineStr">
        <is>
          <t xml:space="preserve"> 'T' </t>
        </is>
      </c>
      <c r="E77" s="15" t="inlineStr">
        <is>
          <t xml:space="preserve"> 16</t>
        </is>
      </c>
      <c r="G77" s="17" t="inlineStr">
        <is>
          <t>A</t>
        </is>
      </c>
      <c r="H77" s="17" t="inlineStr">
        <is>
          <t>T</t>
        </is>
      </c>
      <c r="I77" s="17" t="inlineStr">
        <is>
          <t>16</t>
        </is>
      </c>
      <c r="K77" s="15" t="inlineStr">
        <is>
          <t>INSERT INTO</t>
        </is>
      </c>
      <c r="L77" s="15" t="inlineStr">
        <is>
          <t>CNF_CIF_FILE_FILTERING_TBL</t>
        </is>
      </c>
      <c r="M77" s="15" t="inlineStr">
        <is>
          <t>VALUES(</t>
        </is>
      </c>
      <c r="N77" s="15" t="inlineStr">
        <is>
          <t>'A' , 'T' , 16</t>
        </is>
      </c>
      <c r="O77" s="15" t="inlineStr">
        <is>
          <t>);</t>
        </is>
      </c>
      <c r="Q77" s="18">
        <f>EXACT(TRIM(C77),"'"&amp;G77&amp;"'")</f>
        <v/>
      </c>
      <c r="R77" s="18">
        <f>EXACT(TRIM(D77),"'"&amp;H77&amp;"'")</f>
        <v/>
      </c>
      <c r="S77" s="18">
        <f>EXACT(TRIM(E77),I77&amp;"")</f>
        <v/>
      </c>
      <c r="T77" s="18">
        <f>AND(Q77:S77)</f>
        <v/>
      </c>
      <c r="U77" s="19">
        <f>TRIM(IF(Q77,"",$Q$3&amp;" ")&amp;IF(R77,"",$R$3&amp;" ")&amp;IF(S77,"",$S$3&amp;" "))</f>
        <v/>
      </c>
      <c r="V77" s="18">
        <f>EXACT(SUBSTITUTE(A77," ",""),SUBSTITUTE(K77&amp;L77&amp;M77&amp;N77&amp;O77," ",""))</f>
        <v/>
      </c>
    </row>
  </sheetData>
  <autoFilter ref="A3:Y77"/>
  <mergeCells count="9">
    <mergeCell ref="C2:E2"/>
    <mergeCell ref="G2:I2"/>
    <mergeCell ref="G1:O1"/>
    <mergeCell ref="Q2:U2"/>
    <mergeCell ref="X2:Y2"/>
    <mergeCell ref="X1:Y1"/>
    <mergeCell ref="K2:O2"/>
    <mergeCell ref="A1:E1"/>
    <mergeCell ref="Q1:V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4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  <col width="15" customWidth="1" min="8" max="8"/>
    <col width="15" customWidth="1" min="9" max="9"/>
    <col width="15" customWidth="1" min="10" max="10"/>
    <col width="15" customWidth="1" min="11" max="11"/>
    <col width="2" customWidth="1" min="12" max="12"/>
    <col width="11" customWidth="1" min="13" max="13"/>
    <col width="11" customWidth="1" min="14" max="14"/>
    <col width="11" customWidth="1" min="15" max="15"/>
    <col width="62" customWidth="1" min="16" max="16"/>
    <col width="11" customWidth="1" min="17" max="17"/>
    <col width="2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24" customWidth="1" min="24" max="24"/>
    <col width="11" customWidth="1" min="25" max="25"/>
    <col width="2" customWidth="1" min="26" max="26"/>
    <col width="8" customWidth="1" min="27" max="27"/>
    <col width="30" customWidth="1" min="28" max="28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3" t="n"/>
      <c r="H1" s="4" t="inlineStr">
        <is>
          <t>②③ マスタ定義書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5" t="inlineStr">
        <is>
          <t>突合</t>
        </is>
      </c>
      <c r="T1" s="2" t="n"/>
      <c r="U1" s="2" t="n"/>
      <c r="V1" s="2" t="n"/>
      <c r="W1" s="2" t="n"/>
      <c r="X1" s="2" t="n"/>
      <c r="Y1" s="3" t="n"/>
      <c r="AA1" s="6" t="inlineStr">
        <is>
          <t>確認結果（記入欄）</t>
        </is>
      </c>
      <c r="AB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3" t="n"/>
      <c r="H2" s="4" t="inlineStr">
        <is>
          <t>横浜銀行様用出荷設定</t>
        </is>
      </c>
      <c r="I2" s="2" t="n"/>
      <c r="J2" s="2" t="n"/>
      <c r="K2" s="3" t="n"/>
      <c r="M2" s="8" t="inlineStr">
        <is>
          <t>SQL</t>
        </is>
      </c>
      <c r="N2" s="2" t="n"/>
      <c r="O2" s="2" t="n"/>
      <c r="P2" s="2" t="n"/>
      <c r="Q2" s="3" t="n"/>
      <c r="S2" s="5" t="inlineStr">
        <is>
          <t>①②の突合（項目ごと）</t>
        </is>
      </c>
      <c r="T2" s="2" t="n"/>
      <c r="U2" s="2" t="n"/>
      <c r="V2" s="2" t="n"/>
      <c r="W2" s="2" t="n"/>
      <c r="X2" s="3" t="n"/>
      <c r="Y2" s="5" t="inlineStr">
        <is>
          <t>①③の突合</t>
        </is>
      </c>
      <c r="AA2" s="6" t="inlineStr">
        <is>
          <t>確認結果</t>
        </is>
      </c>
      <c r="AB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H3" s="11" t="inlineStr">
        <is>
          <t>SIM_DEF_ID</t>
        </is>
      </c>
      <c r="I3" s="11" t="inlineStr">
        <is>
          <t>WATCH_LIST_FILE</t>
        </is>
      </c>
      <c r="J3" s="11" t="inlineStr">
        <is>
          <t>COMBI_FILE_BATCH</t>
        </is>
      </c>
      <c r="K3" s="11" t="inlineStr">
        <is>
          <t>CIF_LOT</t>
        </is>
      </c>
      <c r="M3" s="12" t="inlineStr">
        <is>
          <t>固定</t>
        </is>
      </c>
      <c r="N3" s="12" t="inlineStr">
        <is>
          <t>固定</t>
        </is>
      </c>
      <c r="O3" s="12" t="inlineStr">
        <is>
          <t>固定</t>
        </is>
      </c>
      <c r="P3" s="12" t="inlineStr">
        <is>
          <t>数式</t>
        </is>
      </c>
      <c r="Q3" s="12" t="inlineStr">
        <is>
          <t>固定</t>
        </is>
      </c>
      <c r="S3" s="13" t="inlineStr">
        <is>
          <t>SIM_DEF_ID</t>
        </is>
      </c>
      <c r="T3" s="13" t="inlineStr">
        <is>
          <t>WATCH_LIST_FILE</t>
        </is>
      </c>
      <c r="U3" s="13" t="inlineStr">
        <is>
          <t>COMBI_FILE_BATCH</t>
        </is>
      </c>
      <c r="V3" s="13" t="inlineStr">
        <is>
          <t>CIF_LOT</t>
        </is>
      </c>
      <c r="W3" s="13" t="inlineStr">
        <is>
          <t>全項目一致</t>
        </is>
      </c>
      <c r="X3" s="13" t="inlineStr">
        <is>
          <t>相違した項目</t>
        </is>
      </c>
      <c r="Y3" s="13" t="inlineStr">
        <is>
          <t>SQL文一致</t>
        </is>
      </c>
      <c r="AA3" s="14" t="inlineStr">
        <is>
          <t>判定</t>
        </is>
      </c>
      <c r="AB3" s="14" t="inlineStr">
        <is>
          <t>備考</t>
        </is>
      </c>
    </row>
    <row r="4">
      <c r="A4" s="15" t="inlineStr">
        <is>
          <t>INSERT INTO MST_SIM_DEF_TBL VALUES(16 , 'C:\sim_filter\list\watchList\exec\BC_integratedList.txt' , 'C:\sim_filter\parm\aml01\combi_BC_aml01_batch.csv' , 70000);</t>
        </is>
      </c>
      <c r="B4" s="16" t="n"/>
      <c r="C4" s="15" t="inlineStr">
        <is>
          <t xml:space="preserve">16 </t>
        </is>
      </c>
      <c r="D4" s="15" t="inlineStr">
        <is>
          <t xml:space="preserve"> 'C:\sim_filter\list\watchList\exec\BC_integratedList.txt' </t>
        </is>
      </c>
      <c r="E4" s="15" t="inlineStr">
        <is>
          <t xml:space="preserve"> 'C:\sim_filter\parm\aml01\combi_BC_aml01_batch.csv' </t>
        </is>
      </c>
      <c r="F4" s="15" t="inlineStr">
        <is>
          <t xml:space="preserve"> 70000</t>
        </is>
      </c>
      <c r="H4" s="17" t="inlineStr">
        <is>
          <t>16</t>
        </is>
      </c>
      <c r="I4" s="17" t="inlineStr">
        <is>
          <t>C:\sim_filter\list\watchList\exec\BC_integratedList.txt</t>
        </is>
      </c>
      <c r="J4" s="17" t="inlineStr">
        <is>
          <t>C:\sim_filter\parm\aml01\combi_BC_aml01_batch.csv</t>
        </is>
      </c>
      <c r="K4" s="17" t="inlineStr">
        <is>
          <t>70000</t>
        </is>
      </c>
      <c r="M4" s="15" t="inlineStr">
        <is>
          <t>INSERT INTO</t>
        </is>
      </c>
      <c r="N4" s="15" t="inlineStr">
        <is>
          <t>MST_SIM_DEF_TBL</t>
        </is>
      </c>
      <c r="O4" s="15" t="inlineStr">
        <is>
          <t>VALUES(</t>
        </is>
      </c>
      <c r="P4" s="15" t="inlineStr">
        <is>
          <t>16 , 'C:\sim_filter\list\watchList\exec\BC_integratedList.txt' , 'C:\sim_filter\parm\aml01\combi_BC_aml01_batch.csv' , 70000</t>
        </is>
      </c>
      <c r="Q4" s="15" t="inlineStr">
        <is>
          <t>);</t>
        </is>
      </c>
      <c r="S4" s="18">
        <f>EXACT(TRIM(C4),H4&amp;"")</f>
        <v/>
      </c>
      <c r="T4" s="18">
        <f>EXACT(TRIM(D4),"'"&amp;I4&amp;"'")</f>
        <v/>
      </c>
      <c r="U4" s="18">
        <f>EXACT(TRIM(E4),"'"&amp;J4&amp;"'")</f>
        <v/>
      </c>
      <c r="V4" s="18">
        <f>EXACT(TRIM(F4),K4&amp;"")</f>
        <v/>
      </c>
      <c r="W4" s="18">
        <f>AND(S4:V4)</f>
        <v/>
      </c>
      <c r="X4" s="19">
        <f>TRIM(IF(S4,"",$S$3&amp;" ")&amp;IF(T4,"",$T$3&amp;" ")&amp;IF(U4,"",$U$3&amp;" ")&amp;IF(V4,"",$V$3&amp;" "))</f>
        <v/>
      </c>
      <c r="Y4" s="18">
        <f>EXACT(SUBSTITUTE(A4," ",""),SUBSTITUTE(M4&amp;N4&amp;O4&amp;P4&amp;Q4," ",""))</f>
        <v/>
      </c>
    </row>
  </sheetData>
  <autoFilter ref="A3:AB4"/>
  <mergeCells count="9">
    <mergeCell ref="S2:X2"/>
    <mergeCell ref="M2:Q2"/>
    <mergeCell ref="AA2:AB2"/>
    <mergeCell ref="A1:F1"/>
    <mergeCell ref="H2:K2"/>
    <mergeCell ref="AA1:AB1"/>
    <mergeCell ref="C2:F2"/>
    <mergeCell ref="H1:Q1"/>
    <mergeCell ref="S1:Y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2" customWidth="1" min="29" max="29"/>
    <col width="11" customWidth="1" min="30" max="30"/>
    <col width="11" customWidth="1" min="31" max="31"/>
    <col width="11" customWidth="1" min="32" max="32"/>
    <col width="62" customWidth="1" min="33" max="33"/>
    <col width="11" customWidth="1" min="34" max="34"/>
    <col width="2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24" customWidth="1" min="49" max="49"/>
    <col width="11" customWidth="1" min="50" max="50"/>
    <col width="2" customWidth="1" min="51" max="51"/>
    <col width="8" customWidth="1" min="52" max="52"/>
    <col width="30" customWidth="1" min="53" max="53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4" t="inlineStr">
        <is>
          <t>②③ マスタ定義書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3" t="n"/>
      <c r="AJ1" s="5" t="inlineStr">
        <is>
          <t>突合</t>
        </is>
      </c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6" t="inlineStr">
        <is>
          <t>確認結果（記入欄）</t>
        </is>
      </c>
      <c r="BA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/>
      <c r="Q2" s="4" t="inlineStr">
        <is>
          <t>横浜銀行様用出荷設定</t>
        </is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D2" s="8" t="inlineStr">
        <is>
          <t>SQL</t>
        </is>
      </c>
      <c r="AE2" s="2" t="n"/>
      <c r="AF2" s="2" t="n"/>
      <c r="AG2" s="2" t="n"/>
      <c r="AH2" s="3" t="n"/>
      <c r="AJ2" s="5" t="inlineStr">
        <is>
          <t>①②の突合（項目ごと）</t>
        </is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3" t="n"/>
      <c r="AX2" s="5" t="inlineStr">
        <is>
          <t>①③の突合</t>
        </is>
      </c>
      <c r="AZ2" s="6" t="inlineStr">
        <is>
          <t>確認結果</t>
        </is>
      </c>
      <c r="BA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I3" s="10" t="inlineStr">
        <is>
          <t>区切7</t>
        </is>
      </c>
      <c r="J3" s="10" t="inlineStr">
        <is>
          <t>区切8</t>
        </is>
      </c>
      <c r="K3" s="10" t="inlineStr">
        <is>
          <t>区切9</t>
        </is>
      </c>
      <c r="L3" s="10" t="inlineStr">
        <is>
          <t>区切10</t>
        </is>
      </c>
      <c r="M3" s="10" t="inlineStr">
        <is>
          <t>区切11</t>
        </is>
      </c>
      <c r="N3" s="10" t="inlineStr">
        <is>
          <t>区切12</t>
        </is>
      </c>
      <c r="O3" s="10" t="inlineStr">
        <is>
          <t>区切13</t>
        </is>
      </c>
      <c r="Q3" s="11" t="inlineStr">
        <is>
          <t>PRF_ID</t>
        </is>
      </c>
      <c r="R3" s="11" t="inlineStr">
        <is>
          <t>LST_ID</t>
        </is>
      </c>
      <c r="S3" s="11" t="inlineStr">
        <is>
          <t>DOWNLOAD_AUTH</t>
        </is>
      </c>
      <c r="T3" s="11" t="inlineStr">
        <is>
          <t>CSV_OUTPUT_AUTH</t>
        </is>
      </c>
      <c r="U3" s="11" t="inlineStr">
        <is>
          <t>SEARCH_AUTH</t>
        </is>
      </c>
      <c r="V3" s="11" t="inlineStr">
        <is>
          <t>TMP_SAVE_AUTH</t>
        </is>
      </c>
      <c r="W3" s="11" t="inlineStr">
        <is>
          <t>CREATE_AUTH</t>
        </is>
      </c>
      <c r="X3" s="11" t="inlineStr">
        <is>
          <t>UPDATE_AUTH</t>
        </is>
      </c>
      <c r="Y3" s="11" t="inlineStr">
        <is>
          <t>DELETE_AUTH</t>
        </is>
      </c>
      <c r="Z3" s="11" t="inlineStr">
        <is>
          <t>LIST_UPLOAD_AUTH</t>
        </is>
      </c>
      <c r="AA3" s="11" t="inlineStr">
        <is>
          <t>ERR_INFO_AUTH</t>
        </is>
      </c>
      <c r="AB3" s="11" t="inlineStr">
        <is>
          <t>LAST_UPDATE_DATE</t>
        </is>
      </c>
      <c r="AD3" s="12" t="inlineStr">
        <is>
          <t>固定</t>
        </is>
      </c>
      <c r="AE3" s="12" t="inlineStr">
        <is>
          <t>固定</t>
        </is>
      </c>
      <c r="AF3" s="12" t="inlineStr">
        <is>
          <t>固定</t>
        </is>
      </c>
      <c r="AG3" s="12" t="inlineStr">
        <is>
          <t>数式</t>
        </is>
      </c>
      <c r="AH3" s="12" t="inlineStr">
        <is>
          <t>固定</t>
        </is>
      </c>
      <c r="AJ3" s="13" t="inlineStr">
        <is>
          <t>PRF_ID</t>
        </is>
      </c>
      <c r="AK3" s="13" t="inlineStr">
        <is>
          <t>LST_ID</t>
        </is>
      </c>
      <c r="AL3" s="13" t="inlineStr">
        <is>
          <t>DOWNLOAD_AUTH</t>
        </is>
      </c>
      <c r="AM3" s="13" t="inlineStr">
        <is>
          <t>CSV_OUTPUT_AUTH</t>
        </is>
      </c>
      <c r="AN3" s="13" t="inlineStr">
        <is>
          <t>SEARCH_AUTH</t>
        </is>
      </c>
      <c r="AO3" s="13" t="inlineStr">
        <is>
          <t>TMP_SAVE_AUTH</t>
        </is>
      </c>
      <c r="AP3" s="13" t="inlineStr">
        <is>
          <t>CREATE_AUTH</t>
        </is>
      </c>
      <c r="AQ3" s="13" t="inlineStr">
        <is>
          <t>UPDATE_AUTH</t>
        </is>
      </c>
      <c r="AR3" s="13" t="inlineStr">
        <is>
          <t>DELETE_AUTH</t>
        </is>
      </c>
      <c r="AS3" s="13" t="inlineStr">
        <is>
          <t>LIST_UPLOAD_AUTH</t>
        </is>
      </c>
      <c r="AT3" s="13" t="inlineStr">
        <is>
          <t>ERR_INFO_AUTH</t>
        </is>
      </c>
      <c r="AU3" s="13" t="inlineStr">
        <is>
          <t>LAST_UPDATE_DATE</t>
        </is>
      </c>
      <c r="AV3" s="13" t="inlineStr">
        <is>
          <t>全項目一致</t>
        </is>
      </c>
      <c r="AW3" s="13" t="inlineStr">
        <is>
          <t>相違した項目</t>
        </is>
      </c>
      <c r="AX3" s="13" t="inlineStr">
        <is>
          <t>SQL文一致</t>
        </is>
      </c>
      <c r="AZ3" s="14" t="inlineStr">
        <is>
          <t>判定</t>
        </is>
      </c>
      <c r="BA3" s="14" t="inlineStr">
        <is>
          <t>備考</t>
        </is>
      </c>
    </row>
    <row r="4">
      <c r="A4" s="15" t="inlineStr">
        <is>
          <t>INSERT INTO MST_LIST_AUTH_TBL VALUES(9,1, 'Y','Y','Y','Y','Y','Y','Y','Y','Y', to_timestamp('2022/01/01 0:00:00' , 'yyyy/MM/dd hh24:mi:ss'));</t>
        </is>
      </c>
      <c r="B4" s="16" t="n"/>
      <c r="C4" s="15" t="inlineStr">
        <is>
          <t>9</t>
        </is>
      </c>
      <c r="D4" s="15" t="inlineStr">
        <is>
          <t>1</t>
        </is>
      </c>
      <c r="E4" s="15" t="inlineStr">
        <is>
          <t xml:space="preserve"> 'Y'</t>
        </is>
      </c>
      <c r="F4" s="15" t="inlineStr">
        <is>
          <t>'Y'</t>
        </is>
      </c>
      <c r="G4" s="15" t="inlineStr">
        <is>
          <t>'Y'</t>
        </is>
      </c>
      <c r="H4" s="15" t="inlineStr">
        <is>
          <t>'Y'</t>
        </is>
      </c>
      <c r="I4" s="15" t="inlineStr">
        <is>
          <t>'Y'</t>
        </is>
      </c>
      <c r="J4" s="15" t="inlineStr">
        <is>
          <t>'Y'</t>
        </is>
      </c>
      <c r="K4" s="15" t="inlineStr">
        <is>
          <t>'Y'</t>
        </is>
      </c>
      <c r="L4" s="15" t="inlineStr">
        <is>
          <t>'Y'</t>
        </is>
      </c>
      <c r="M4" s="15" t="inlineStr">
        <is>
          <t>'Y'</t>
        </is>
      </c>
      <c r="N4" s="15" t="inlineStr">
        <is>
          <t xml:space="preserve"> to_timestamp('2022/01/01 0:00:00' </t>
        </is>
      </c>
      <c r="O4" s="15" t="inlineStr">
        <is>
          <t xml:space="preserve"> 'yyyy/MM/dd hh24:mi:ss')</t>
        </is>
      </c>
      <c r="Q4" s="17" t="inlineStr">
        <is>
          <t>9</t>
        </is>
      </c>
      <c r="R4" s="17" t="inlineStr">
        <is>
          <t>1</t>
        </is>
      </c>
      <c r="S4" s="17" t="inlineStr">
        <is>
          <t>Y</t>
        </is>
      </c>
      <c r="T4" s="17" t="inlineStr">
        <is>
          <t>Y</t>
        </is>
      </c>
      <c r="U4" s="17" t="inlineStr">
        <is>
          <t>Y</t>
        </is>
      </c>
      <c r="V4" s="17" t="inlineStr">
        <is>
          <t>Y</t>
        </is>
      </c>
      <c r="W4" s="17" t="inlineStr">
        <is>
          <t>Y</t>
        </is>
      </c>
      <c r="X4" s="17" t="inlineStr">
        <is>
          <t>Y</t>
        </is>
      </c>
      <c r="Y4" s="17" t="inlineStr">
        <is>
          <t>Y</t>
        </is>
      </c>
      <c r="Z4" s="17" t="inlineStr">
        <is>
          <t>Y</t>
        </is>
      </c>
      <c r="AA4" s="17" t="inlineStr">
        <is>
          <t>Y</t>
        </is>
      </c>
      <c r="AB4" s="17" t="inlineStr">
        <is>
          <t>2022/01/01 0:00:00</t>
        </is>
      </c>
      <c r="AD4" s="15" t="inlineStr">
        <is>
          <t>INSERT INTO</t>
        </is>
      </c>
      <c r="AE4" s="15" t="inlineStr">
        <is>
          <t>MST_LIST_AUTH_TBL</t>
        </is>
      </c>
      <c r="AF4" s="15" t="inlineStr">
        <is>
          <t>VALUES(</t>
        </is>
      </c>
      <c r="AG4" s="15" t="inlineStr">
        <is>
          <t>9,1, 'Y','Y','Y','Y','Y','Y','Y','Y','Y', to_timestamp('2022/01/01 0:00:00' , 'yyyy/MM/dd hh24:mi:ss')</t>
        </is>
      </c>
      <c r="AH4" s="15" t="inlineStr">
        <is>
          <t>);</t>
        </is>
      </c>
      <c r="AJ4" s="18">
        <f>EXACT(TRIM(C4),Q4&amp;"")</f>
        <v/>
      </c>
      <c r="AK4" s="18">
        <f>EXACT(TRIM(D4),R4&amp;"")</f>
        <v/>
      </c>
      <c r="AL4" s="18">
        <f>EXACT(TRIM(E4),"'"&amp;S4&amp;"'")</f>
        <v/>
      </c>
      <c r="AM4" s="18">
        <f>EXACT(TRIM(F4),"'"&amp;T4&amp;"'")</f>
        <v/>
      </c>
      <c r="AN4" s="18">
        <f>EXACT(TRIM(G4),"'"&amp;U4&amp;"'")</f>
        <v/>
      </c>
      <c r="AO4" s="18">
        <f>EXACT(TRIM(H4),"'"&amp;V4&amp;"'")</f>
        <v/>
      </c>
      <c r="AP4" s="18">
        <f>EXACT(TRIM(I4),"'"&amp;W4&amp;"'")</f>
        <v/>
      </c>
      <c r="AQ4" s="18">
        <f>EXACT(TRIM(J4),"'"&amp;X4&amp;"'")</f>
        <v/>
      </c>
      <c r="AR4" s="18">
        <f>EXACT(TRIM(K4),"'"&amp;Y4&amp;"'")</f>
        <v/>
      </c>
      <c r="AS4" s="18">
        <f>EXACT(TRIM(L4),"'"&amp;Z4&amp;"'")</f>
        <v/>
      </c>
      <c r="AT4" s="18">
        <f>EXACT(TRIM(M4),"'"&amp;AA4&amp;"'")</f>
        <v/>
      </c>
      <c r="AU4" s="18">
        <f>EXACT(TRIM(N4),"to_timestamp('"&amp;AB4&amp;"'")</f>
        <v/>
      </c>
      <c r="AV4" s="18">
        <f>AND(AJ4:AU4)</f>
        <v/>
      </c>
      <c r="AW4" s="19">
        <f>TRIM(IF(AJ4,"",$AJ$3&amp;" ")&amp;IF(AK4,"",$AK$3&amp;" ")&amp;IF(AL4,"",$AL$3&amp;" ")&amp;IF(AM4,"",$AM$3&amp;" ")&amp;IF(AN4,"",$AN$3&amp;" ")&amp;IF(AO4,"",$AO$3&amp;" ")&amp;IF(AP4,"",$AP$3&amp;" ")&amp;IF(AQ4,"",$AQ$3&amp;" ")&amp;IF(AR4,"",$AR$3&amp;" ")&amp;IF(AS4,"",$AS$3&amp;" ")&amp;IF(AT4,"",$AT$3&amp;" ")&amp;IF(AU4,"",$AU$3&amp;" "))</f>
        <v/>
      </c>
      <c r="AX4" s="18">
        <f>EXACT(SUBSTITUTE(A4," ",""),SUBSTITUTE(AD4&amp;AE4&amp;AF4&amp;AG4&amp;AH4," ",""))</f>
        <v/>
      </c>
    </row>
    <row r="5">
      <c r="A5" s="15" t="inlineStr">
        <is>
          <t>INSERT INTO MST_LIST_AUTH_TBL VALUES(9,4, 'Y','Y','Y','Y','Y','Y','Y','Y','Y', to_timestamp('2022/01/01 0:00:00' , 'yyyy/MM/dd hh24:mi:ss'));</t>
        </is>
      </c>
      <c r="B5" s="16" t="n"/>
      <c r="C5" s="15" t="inlineStr">
        <is>
          <t>9</t>
        </is>
      </c>
      <c r="D5" s="15" t="inlineStr">
        <is>
          <t>4</t>
        </is>
      </c>
      <c r="E5" s="15" t="inlineStr">
        <is>
          <t xml:space="preserve"> 'Y'</t>
        </is>
      </c>
      <c r="F5" s="15" t="inlineStr">
        <is>
          <t>'Y'</t>
        </is>
      </c>
      <c r="G5" s="15" t="inlineStr">
        <is>
          <t>'Y'</t>
        </is>
      </c>
      <c r="H5" s="15" t="inlineStr">
        <is>
          <t>'Y'</t>
        </is>
      </c>
      <c r="I5" s="15" t="inlineStr">
        <is>
          <t>'Y'</t>
        </is>
      </c>
      <c r="J5" s="15" t="inlineStr">
        <is>
          <t>'Y'</t>
        </is>
      </c>
      <c r="K5" s="15" t="inlineStr">
        <is>
          <t>'Y'</t>
        </is>
      </c>
      <c r="L5" s="15" t="inlineStr">
        <is>
          <t>'Y'</t>
        </is>
      </c>
      <c r="M5" s="15" t="inlineStr">
        <is>
          <t>'Y'</t>
        </is>
      </c>
      <c r="N5" s="15" t="inlineStr">
        <is>
          <t xml:space="preserve"> to_timestamp('2022/01/01 0:00:00' </t>
        </is>
      </c>
      <c r="O5" s="15" t="inlineStr">
        <is>
          <t xml:space="preserve"> 'yyyy/MM/dd hh24:mi:ss')</t>
        </is>
      </c>
      <c r="Q5" s="17" t="inlineStr">
        <is>
          <t>9</t>
        </is>
      </c>
      <c r="R5" s="17" t="inlineStr">
        <is>
          <t>4</t>
        </is>
      </c>
      <c r="S5" s="17" t="inlineStr">
        <is>
          <t>Y</t>
        </is>
      </c>
      <c r="T5" s="17" t="inlineStr">
        <is>
          <t>Y</t>
        </is>
      </c>
      <c r="U5" s="17" t="inlineStr">
        <is>
          <t>Y</t>
        </is>
      </c>
      <c r="V5" s="17" t="inlineStr">
        <is>
          <t>Y</t>
        </is>
      </c>
      <c r="W5" s="17" t="inlineStr">
        <is>
          <t>Y</t>
        </is>
      </c>
      <c r="X5" s="17" t="inlineStr">
        <is>
          <t>Y</t>
        </is>
      </c>
      <c r="Y5" s="17" t="inlineStr">
        <is>
          <t>Y</t>
        </is>
      </c>
      <c r="Z5" s="17" t="inlineStr">
        <is>
          <t>Y</t>
        </is>
      </c>
      <c r="AA5" s="17" t="inlineStr">
        <is>
          <t>Y</t>
        </is>
      </c>
      <c r="AB5" s="17" t="inlineStr">
        <is>
          <t>2022/01/01 0:00:00</t>
        </is>
      </c>
      <c r="AD5" s="15" t="inlineStr">
        <is>
          <t>INSERT INTO</t>
        </is>
      </c>
      <c r="AE5" s="15" t="inlineStr">
        <is>
          <t>MST_LIST_AUTH_TBL</t>
        </is>
      </c>
      <c r="AF5" s="15" t="inlineStr">
        <is>
          <t>VALUES(</t>
        </is>
      </c>
      <c r="AG5" s="15" t="inlineStr">
        <is>
          <t>9,4, 'Y','Y','Y','Y','Y','Y','Y','Y','Y', to_timestamp('2022/01/01 0:00:00' , 'yyyy/MM/dd hh24:mi:ss')</t>
        </is>
      </c>
      <c r="AH5" s="15" t="inlineStr">
        <is>
          <t>);</t>
        </is>
      </c>
      <c r="AJ5" s="18">
        <f>EXACT(TRIM(C5),Q5&amp;"")</f>
        <v/>
      </c>
      <c r="AK5" s="18">
        <f>EXACT(TRIM(D5),R5&amp;"")</f>
        <v/>
      </c>
      <c r="AL5" s="18">
        <f>EXACT(TRIM(E5),"'"&amp;S5&amp;"'")</f>
        <v/>
      </c>
      <c r="AM5" s="18">
        <f>EXACT(TRIM(F5),"'"&amp;T5&amp;"'")</f>
        <v/>
      </c>
      <c r="AN5" s="18">
        <f>EXACT(TRIM(G5),"'"&amp;U5&amp;"'")</f>
        <v/>
      </c>
      <c r="AO5" s="18">
        <f>EXACT(TRIM(H5),"'"&amp;V5&amp;"'")</f>
        <v/>
      </c>
      <c r="AP5" s="18">
        <f>EXACT(TRIM(I5),"'"&amp;W5&amp;"'")</f>
        <v/>
      </c>
      <c r="AQ5" s="18">
        <f>EXACT(TRIM(J5),"'"&amp;X5&amp;"'")</f>
        <v/>
      </c>
      <c r="AR5" s="18">
        <f>EXACT(TRIM(K5),"'"&amp;Y5&amp;"'")</f>
        <v/>
      </c>
      <c r="AS5" s="18">
        <f>EXACT(TRIM(L5),"'"&amp;Z5&amp;"'")</f>
        <v/>
      </c>
      <c r="AT5" s="18">
        <f>EXACT(TRIM(M5),"'"&amp;AA5&amp;"'")</f>
        <v/>
      </c>
      <c r="AU5" s="18">
        <f>EXACT(TRIM(N5),"to_timestamp('"&amp;AB5&amp;"'")</f>
        <v/>
      </c>
      <c r="AV5" s="18">
        <f>AND(AJ5:AU5)</f>
        <v/>
      </c>
      <c r="AW5" s="19">
        <f>TRIM(IF(AJ5,"",$AJ$3&amp;" ")&amp;IF(AK5,"",$AK$3&amp;" ")&amp;IF(AL5,"",$AL$3&amp;" ")&amp;IF(AM5,"",$AM$3&amp;" ")&amp;IF(AN5,"",$AN$3&amp;" ")&amp;IF(AO5,"",$AO$3&amp;" ")&amp;IF(AP5,"",$AP$3&amp;" ")&amp;IF(AQ5,"",$AQ$3&amp;" ")&amp;IF(AR5,"",$AR$3&amp;" ")&amp;IF(AS5,"",$AS$3&amp;" ")&amp;IF(AT5,"",$AT$3&amp;" ")&amp;IF(AU5,"",$AU$3&amp;" "))</f>
        <v/>
      </c>
      <c r="AX5" s="18">
        <f>EXACT(SUBSTITUTE(A5," ",""),SUBSTITUTE(AD5&amp;AE5&amp;AF5&amp;AG5&amp;AH5," ",""))</f>
        <v/>
      </c>
    </row>
    <row r="6">
      <c r="A6" s="15" t="inlineStr">
        <is>
          <t>INSERT INTO MST_LIST_AUTH_TBL VALUES(9,5, 'Y','Y','Y','Y','Y','Y','Y','Y','Y', to_timestamp('2022/01/01 0:00:00' , 'yyyy/MM/dd hh24:mi:ss'));</t>
        </is>
      </c>
      <c r="B6" s="16" t="n"/>
      <c r="C6" s="15" t="inlineStr">
        <is>
          <t>9</t>
        </is>
      </c>
      <c r="D6" s="15" t="inlineStr">
        <is>
          <t>5</t>
        </is>
      </c>
      <c r="E6" s="15" t="inlineStr">
        <is>
          <t xml:space="preserve"> 'Y'</t>
        </is>
      </c>
      <c r="F6" s="15" t="inlineStr">
        <is>
          <t>'Y'</t>
        </is>
      </c>
      <c r="G6" s="15" t="inlineStr">
        <is>
          <t>'Y'</t>
        </is>
      </c>
      <c r="H6" s="15" t="inlineStr">
        <is>
          <t>'Y'</t>
        </is>
      </c>
      <c r="I6" s="15" t="inlineStr">
        <is>
          <t>'Y'</t>
        </is>
      </c>
      <c r="J6" s="15" t="inlineStr">
        <is>
          <t>'Y'</t>
        </is>
      </c>
      <c r="K6" s="15" t="inlineStr">
        <is>
          <t>'Y'</t>
        </is>
      </c>
      <c r="L6" s="15" t="inlineStr">
        <is>
          <t>'Y'</t>
        </is>
      </c>
      <c r="M6" s="15" t="inlineStr">
        <is>
          <t>'Y'</t>
        </is>
      </c>
      <c r="N6" s="15" t="inlineStr">
        <is>
          <t xml:space="preserve"> to_timestamp('2022/01/01 0:00:00' </t>
        </is>
      </c>
      <c r="O6" s="15" t="inlineStr">
        <is>
          <t xml:space="preserve"> 'yyyy/MM/dd hh24:mi:ss')</t>
        </is>
      </c>
      <c r="Q6" s="17" t="inlineStr">
        <is>
          <t>9</t>
        </is>
      </c>
      <c r="R6" s="17" t="inlineStr">
        <is>
          <t>5</t>
        </is>
      </c>
      <c r="S6" s="17" t="inlineStr">
        <is>
          <t>Y</t>
        </is>
      </c>
      <c r="T6" s="17" t="inlineStr">
        <is>
          <t>Y</t>
        </is>
      </c>
      <c r="U6" s="17" t="inlineStr">
        <is>
          <t>Y</t>
        </is>
      </c>
      <c r="V6" s="17" t="inlineStr">
        <is>
          <t>Y</t>
        </is>
      </c>
      <c r="W6" s="17" t="inlineStr">
        <is>
          <t>Y</t>
        </is>
      </c>
      <c r="X6" s="17" t="inlineStr">
        <is>
          <t>Y</t>
        </is>
      </c>
      <c r="Y6" s="17" t="inlineStr">
        <is>
          <t>Y</t>
        </is>
      </c>
      <c r="Z6" s="17" t="inlineStr">
        <is>
          <t>Y</t>
        </is>
      </c>
      <c r="AA6" s="17" t="inlineStr">
        <is>
          <t>Y</t>
        </is>
      </c>
      <c r="AB6" s="17" t="inlineStr">
        <is>
          <t>2022/01/01 0:00:00</t>
        </is>
      </c>
      <c r="AD6" s="15" t="inlineStr">
        <is>
          <t>INSERT INTO</t>
        </is>
      </c>
      <c r="AE6" s="15" t="inlineStr">
        <is>
          <t>MST_LIST_AUTH_TBL</t>
        </is>
      </c>
      <c r="AF6" s="15" t="inlineStr">
        <is>
          <t>VALUES(</t>
        </is>
      </c>
      <c r="AG6" s="15" t="inlineStr">
        <is>
          <t>9,5, 'Y','Y','Y','Y','Y','Y','Y','Y','Y', to_timestamp('2022/01/01 0:00:00' , 'yyyy/MM/dd hh24:mi:ss')</t>
        </is>
      </c>
      <c r="AH6" s="15" t="inlineStr">
        <is>
          <t>);</t>
        </is>
      </c>
      <c r="AJ6" s="18">
        <f>EXACT(TRIM(C6),Q6&amp;"")</f>
        <v/>
      </c>
      <c r="AK6" s="18">
        <f>EXACT(TRIM(D6),R6&amp;"")</f>
        <v/>
      </c>
      <c r="AL6" s="18">
        <f>EXACT(TRIM(E6),"'"&amp;S6&amp;"'")</f>
        <v/>
      </c>
      <c r="AM6" s="18">
        <f>EXACT(TRIM(F6),"'"&amp;T6&amp;"'")</f>
        <v/>
      </c>
      <c r="AN6" s="18">
        <f>EXACT(TRIM(G6),"'"&amp;U6&amp;"'")</f>
        <v/>
      </c>
      <c r="AO6" s="18">
        <f>EXACT(TRIM(H6),"'"&amp;V6&amp;"'")</f>
        <v/>
      </c>
      <c r="AP6" s="18">
        <f>EXACT(TRIM(I6),"'"&amp;W6&amp;"'")</f>
        <v/>
      </c>
      <c r="AQ6" s="18">
        <f>EXACT(TRIM(J6),"'"&amp;X6&amp;"'")</f>
        <v/>
      </c>
      <c r="AR6" s="18">
        <f>EXACT(TRIM(K6),"'"&amp;Y6&amp;"'")</f>
        <v/>
      </c>
      <c r="AS6" s="18">
        <f>EXACT(TRIM(L6),"'"&amp;Z6&amp;"'")</f>
        <v/>
      </c>
      <c r="AT6" s="18">
        <f>EXACT(TRIM(M6),"'"&amp;AA6&amp;"'")</f>
        <v/>
      </c>
      <c r="AU6" s="18">
        <f>EXACT(TRIM(N6),"to_timestamp('"&amp;AB6&amp;"'")</f>
        <v/>
      </c>
      <c r="AV6" s="18">
        <f>AND(AJ6:AU6)</f>
        <v/>
      </c>
      <c r="AW6" s="19">
        <f>TRIM(IF(AJ6,"",$AJ$3&amp;" ")&amp;IF(AK6,"",$AK$3&amp;" ")&amp;IF(AL6,"",$AL$3&amp;" ")&amp;IF(AM6,"",$AM$3&amp;" ")&amp;IF(AN6,"",$AN$3&amp;" ")&amp;IF(AO6,"",$AO$3&amp;" ")&amp;IF(AP6,"",$AP$3&amp;" ")&amp;IF(AQ6,"",$AQ$3&amp;" ")&amp;IF(AR6,"",$AR$3&amp;" ")&amp;IF(AS6,"",$AS$3&amp;" ")&amp;IF(AT6,"",$AT$3&amp;" ")&amp;IF(AU6,"",$AU$3&amp;" "))</f>
        <v/>
      </c>
      <c r="AX6" s="18">
        <f>EXACT(SUBSTITUTE(A6," ",""),SUBSTITUTE(AD6&amp;AE6&amp;AF6&amp;AG6&amp;AH6," ",""))</f>
        <v/>
      </c>
    </row>
    <row r="7">
      <c r="A7" s="15" t="inlineStr">
        <is>
          <t>INSERT INTO MST_LIST_AUTH_TBL VALUES(9,6, 'Y','Y','Y','Y','Y','Y','Y','N','Y', to_timestamp('2022/01/01 0:00:00' , 'yyyy/MM/dd hh24:mi:ss'));</t>
        </is>
      </c>
      <c r="B7" s="16" t="n"/>
      <c r="C7" s="15" t="inlineStr">
        <is>
          <t>9</t>
        </is>
      </c>
      <c r="D7" s="15" t="inlineStr">
        <is>
          <t>6</t>
        </is>
      </c>
      <c r="E7" s="15" t="inlineStr">
        <is>
          <t xml:space="preserve"> 'Y'</t>
        </is>
      </c>
      <c r="F7" s="15" t="inlineStr">
        <is>
          <t>'Y'</t>
        </is>
      </c>
      <c r="G7" s="15" t="inlineStr">
        <is>
          <t>'Y'</t>
        </is>
      </c>
      <c r="H7" s="15" t="inlineStr">
        <is>
          <t>'Y'</t>
        </is>
      </c>
      <c r="I7" s="15" t="inlineStr">
        <is>
          <t>'Y'</t>
        </is>
      </c>
      <c r="J7" s="15" t="inlineStr">
        <is>
          <t>'Y'</t>
        </is>
      </c>
      <c r="K7" s="15" t="inlineStr">
        <is>
          <t>'Y'</t>
        </is>
      </c>
      <c r="L7" s="15" t="inlineStr">
        <is>
          <t>'N'</t>
        </is>
      </c>
      <c r="M7" s="15" t="inlineStr">
        <is>
          <t>'Y'</t>
        </is>
      </c>
      <c r="N7" s="15" t="inlineStr">
        <is>
          <t xml:space="preserve"> to_timestamp('2022/01/01 0:00:00' </t>
        </is>
      </c>
      <c r="O7" s="15" t="inlineStr">
        <is>
          <t xml:space="preserve"> 'yyyy/MM/dd hh24:mi:ss')</t>
        </is>
      </c>
      <c r="Q7" s="17" t="inlineStr">
        <is>
          <t>9</t>
        </is>
      </c>
      <c r="R7" s="17" t="inlineStr">
        <is>
          <t>6</t>
        </is>
      </c>
      <c r="S7" s="17" t="inlineStr">
        <is>
          <t>Y</t>
        </is>
      </c>
      <c r="T7" s="17" t="inlineStr">
        <is>
          <t>Y</t>
        </is>
      </c>
      <c r="U7" s="17" t="inlineStr">
        <is>
          <t>Y</t>
        </is>
      </c>
      <c r="V7" s="17" t="inlineStr">
        <is>
          <t>Y</t>
        </is>
      </c>
      <c r="W7" s="17" t="inlineStr">
        <is>
          <t>Y</t>
        </is>
      </c>
      <c r="X7" s="17" t="inlineStr">
        <is>
          <t>Y</t>
        </is>
      </c>
      <c r="Y7" s="17" t="inlineStr">
        <is>
          <t>Y</t>
        </is>
      </c>
      <c r="Z7" s="17" t="inlineStr">
        <is>
          <t>N</t>
        </is>
      </c>
      <c r="AA7" s="17" t="inlineStr">
        <is>
          <t>Y</t>
        </is>
      </c>
      <c r="AB7" s="17" t="inlineStr">
        <is>
          <t>2022/01/01 0:00:00</t>
        </is>
      </c>
      <c r="AD7" s="15" t="inlineStr">
        <is>
          <t>INSERT INTO</t>
        </is>
      </c>
      <c r="AE7" s="15" t="inlineStr">
        <is>
          <t>MST_LIST_AUTH_TBL</t>
        </is>
      </c>
      <c r="AF7" s="15" t="inlineStr">
        <is>
          <t>VALUES(</t>
        </is>
      </c>
      <c r="AG7" s="15" t="inlineStr">
        <is>
          <t>9,6, 'Y','Y','Y','Y','Y','Y','Y','N','Y', to_timestamp('2022/01/01 0:00:00' , 'yyyy/MM/dd hh24:mi:ss')</t>
        </is>
      </c>
      <c r="AH7" s="15" t="inlineStr">
        <is>
          <t>);</t>
        </is>
      </c>
      <c r="AJ7" s="18">
        <f>EXACT(TRIM(C7),Q7&amp;"")</f>
        <v/>
      </c>
      <c r="AK7" s="18">
        <f>EXACT(TRIM(D7),R7&amp;"")</f>
        <v/>
      </c>
      <c r="AL7" s="18">
        <f>EXACT(TRIM(E7),"'"&amp;S7&amp;"'")</f>
        <v/>
      </c>
      <c r="AM7" s="18">
        <f>EXACT(TRIM(F7),"'"&amp;T7&amp;"'")</f>
        <v/>
      </c>
      <c r="AN7" s="18">
        <f>EXACT(TRIM(G7),"'"&amp;U7&amp;"'")</f>
        <v/>
      </c>
      <c r="AO7" s="18">
        <f>EXACT(TRIM(H7),"'"&amp;V7&amp;"'")</f>
        <v/>
      </c>
      <c r="AP7" s="18">
        <f>EXACT(TRIM(I7),"'"&amp;W7&amp;"'")</f>
        <v/>
      </c>
      <c r="AQ7" s="18">
        <f>EXACT(TRIM(J7),"'"&amp;X7&amp;"'")</f>
        <v/>
      </c>
      <c r="AR7" s="18">
        <f>EXACT(TRIM(K7),"'"&amp;Y7&amp;"'")</f>
        <v/>
      </c>
      <c r="AS7" s="18">
        <f>EXACT(TRIM(L7),"'"&amp;Z7&amp;"'")</f>
        <v/>
      </c>
      <c r="AT7" s="18">
        <f>EXACT(TRIM(M7),"'"&amp;AA7&amp;"'")</f>
        <v/>
      </c>
      <c r="AU7" s="18">
        <f>EXACT(TRIM(N7),"to_timestamp('"&amp;AB7&amp;"'")</f>
        <v/>
      </c>
      <c r="AV7" s="18">
        <f>AND(AJ7:AU7)</f>
        <v/>
      </c>
      <c r="AW7" s="19">
        <f>TRIM(IF(AJ7,"",$AJ$3&amp;" ")&amp;IF(AK7,"",$AK$3&amp;" ")&amp;IF(AL7,"",$AL$3&amp;" ")&amp;IF(AM7,"",$AM$3&amp;" ")&amp;IF(AN7,"",$AN$3&amp;" ")&amp;IF(AO7,"",$AO$3&amp;" ")&amp;IF(AP7,"",$AP$3&amp;" ")&amp;IF(AQ7,"",$AQ$3&amp;" ")&amp;IF(AR7,"",$AR$3&amp;" ")&amp;IF(AS7,"",$AS$3&amp;" ")&amp;IF(AT7,"",$AT$3&amp;" ")&amp;IF(AU7,"",$AU$3&amp;" "))</f>
        <v/>
      </c>
      <c r="AX7" s="18">
        <f>EXACT(SUBSTITUTE(A7," ",""),SUBSTITUTE(AD7&amp;AE7&amp;AF7&amp;AG7&amp;AH7," ",""))</f>
        <v/>
      </c>
    </row>
    <row r="8">
      <c r="A8" s="15" t="inlineStr">
        <is>
          <t>INSERT INTO MST_LIST_AUTH_TBL VALUES(9,7, 'Y','Y','Y','Y','Y','Y','Y','Y','Y', to_timestamp('2022/01/01 0:00:00' , 'yyyy/MM/dd hh24:mi:ss'));</t>
        </is>
      </c>
      <c r="B8" s="16" t="n"/>
      <c r="C8" s="15" t="inlineStr">
        <is>
          <t>9</t>
        </is>
      </c>
      <c r="D8" s="15" t="inlineStr">
        <is>
          <t>7</t>
        </is>
      </c>
      <c r="E8" s="15" t="inlineStr">
        <is>
          <t xml:space="preserve"> 'Y'</t>
        </is>
      </c>
      <c r="F8" s="15" t="inlineStr">
        <is>
          <t>'Y'</t>
        </is>
      </c>
      <c r="G8" s="15" t="inlineStr">
        <is>
          <t>'Y'</t>
        </is>
      </c>
      <c r="H8" s="15" t="inlineStr">
        <is>
          <t>'Y'</t>
        </is>
      </c>
      <c r="I8" s="15" t="inlineStr">
        <is>
          <t>'Y'</t>
        </is>
      </c>
      <c r="J8" s="15" t="inlineStr">
        <is>
          <t>'Y'</t>
        </is>
      </c>
      <c r="K8" s="15" t="inlineStr">
        <is>
          <t>'Y'</t>
        </is>
      </c>
      <c r="L8" s="15" t="inlineStr">
        <is>
          <t>'Y'</t>
        </is>
      </c>
      <c r="M8" s="15" t="inlineStr">
        <is>
          <t>'Y'</t>
        </is>
      </c>
      <c r="N8" s="15" t="inlineStr">
        <is>
          <t xml:space="preserve"> to_timestamp('2022/01/01 0:00:00' </t>
        </is>
      </c>
      <c r="O8" s="15" t="inlineStr">
        <is>
          <t xml:space="preserve"> 'yyyy/MM/dd hh24:mi:ss')</t>
        </is>
      </c>
      <c r="Q8" s="17" t="inlineStr">
        <is>
          <t>9</t>
        </is>
      </c>
      <c r="R8" s="17" t="inlineStr">
        <is>
          <t>7</t>
        </is>
      </c>
      <c r="S8" s="17" t="inlineStr">
        <is>
          <t>Y</t>
        </is>
      </c>
      <c r="T8" s="17" t="inlineStr">
        <is>
          <t>Y</t>
        </is>
      </c>
      <c r="U8" s="17" t="inlineStr">
        <is>
          <t>Y</t>
        </is>
      </c>
      <c r="V8" s="17" t="inlineStr">
        <is>
          <t>Y</t>
        </is>
      </c>
      <c r="W8" s="17" t="inlineStr">
        <is>
          <t>Y</t>
        </is>
      </c>
      <c r="X8" s="17" t="inlineStr">
        <is>
          <t>Y</t>
        </is>
      </c>
      <c r="Y8" s="17" t="inlineStr">
        <is>
          <t>Y</t>
        </is>
      </c>
      <c r="Z8" s="17" t="inlineStr">
        <is>
          <t>Y</t>
        </is>
      </c>
      <c r="AA8" s="17" t="inlineStr">
        <is>
          <t>Y</t>
        </is>
      </c>
      <c r="AB8" s="17" t="inlineStr">
        <is>
          <t>2022/01/01 0:00:00</t>
        </is>
      </c>
      <c r="AD8" s="15" t="inlineStr">
        <is>
          <t>INSERT INTO</t>
        </is>
      </c>
      <c r="AE8" s="15" t="inlineStr">
        <is>
          <t>MST_LIST_AUTH_TBL</t>
        </is>
      </c>
      <c r="AF8" s="15" t="inlineStr">
        <is>
          <t>VALUES(</t>
        </is>
      </c>
      <c r="AG8" s="15" t="inlineStr">
        <is>
          <t>9,7, 'Y','Y','Y','Y','Y','Y','Y','Y','Y', to_timestamp('2022/01/01 0:00:00' , 'yyyy/MM/dd hh24:mi:ss')</t>
        </is>
      </c>
      <c r="AH8" s="15" t="inlineStr">
        <is>
          <t>);</t>
        </is>
      </c>
      <c r="AJ8" s="18">
        <f>EXACT(TRIM(C8),Q8&amp;"")</f>
        <v/>
      </c>
      <c r="AK8" s="18">
        <f>EXACT(TRIM(D8),R8&amp;"")</f>
        <v/>
      </c>
      <c r="AL8" s="18">
        <f>EXACT(TRIM(E8),"'"&amp;S8&amp;"'")</f>
        <v/>
      </c>
      <c r="AM8" s="18">
        <f>EXACT(TRIM(F8),"'"&amp;T8&amp;"'")</f>
        <v/>
      </c>
      <c r="AN8" s="18">
        <f>EXACT(TRIM(G8),"'"&amp;U8&amp;"'")</f>
        <v/>
      </c>
      <c r="AO8" s="18">
        <f>EXACT(TRIM(H8),"'"&amp;V8&amp;"'")</f>
        <v/>
      </c>
      <c r="AP8" s="18">
        <f>EXACT(TRIM(I8),"'"&amp;W8&amp;"'")</f>
        <v/>
      </c>
      <c r="AQ8" s="18">
        <f>EXACT(TRIM(J8),"'"&amp;X8&amp;"'")</f>
        <v/>
      </c>
      <c r="AR8" s="18">
        <f>EXACT(TRIM(K8),"'"&amp;Y8&amp;"'")</f>
        <v/>
      </c>
      <c r="AS8" s="18">
        <f>EXACT(TRIM(L8),"'"&amp;Z8&amp;"'")</f>
        <v/>
      </c>
      <c r="AT8" s="18">
        <f>EXACT(TRIM(M8),"'"&amp;AA8&amp;"'")</f>
        <v/>
      </c>
      <c r="AU8" s="18">
        <f>EXACT(TRIM(N8),"to_timestamp('"&amp;AB8&amp;"'")</f>
        <v/>
      </c>
      <c r="AV8" s="18">
        <f>AND(AJ8:AU8)</f>
        <v/>
      </c>
      <c r="AW8" s="19">
        <f>TRIM(IF(AJ8,"",$AJ$3&amp;" ")&amp;IF(AK8,"",$AK$3&amp;" ")&amp;IF(AL8,"",$AL$3&amp;" ")&amp;IF(AM8,"",$AM$3&amp;" ")&amp;IF(AN8,"",$AN$3&amp;" ")&amp;IF(AO8,"",$AO$3&amp;" ")&amp;IF(AP8,"",$AP$3&amp;" ")&amp;IF(AQ8,"",$AQ$3&amp;" ")&amp;IF(AR8,"",$AR$3&amp;" ")&amp;IF(AS8,"",$AS$3&amp;" ")&amp;IF(AT8,"",$AT$3&amp;" ")&amp;IF(AU8,"",$AU$3&amp;" "))</f>
        <v/>
      </c>
      <c r="AX8" s="18">
        <f>EXACT(SUBSTITUTE(A8," ",""),SUBSTITUTE(AD8&amp;AE8&amp;AF8&amp;AG8&amp;AH8," ",""))</f>
        <v/>
      </c>
    </row>
    <row r="9">
      <c r="A9" s="15" t="inlineStr">
        <is>
          <t>INSERT INTO MST_LIST_AUTH_TBL VALUES(9,8, 'Y','Y','Y','Y','Y','Y','Y','Y','Y', to_timestamp('2022/01/01 0:00:00' , 'yyyy/MM/dd hh24:mi:ss'));</t>
        </is>
      </c>
      <c r="B9" s="16" t="n"/>
      <c r="C9" s="15" t="inlineStr">
        <is>
          <t>9</t>
        </is>
      </c>
      <c r="D9" s="15" t="inlineStr">
        <is>
          <t>8</t>
        </is>
      </c>
      <c r="E9" s="15" t="inlineStr">
        <is>
          <t xml:space="preserve"> 'Y'</t>
        </is>
      </c>
      <c r="F9" s="15" t="inlineStr">
        <is>
          <t>'Y'</t>
        </is>
      </c>
      <c r="G9" s="15" t="inlineStr">
        <is>
          <t>'Y'</t>
        </is>
      </c>
      <c r="H9" s="15" t="inlineStr">
        <is>
          <t>'Y'</t>
        </is>
      </c>
      <c r="I9" s="15" t="inlineStr">
        <is>
          <t>'Y'</t>
        </is>
      </c>
      <c r="J9" s="15" t="inlineStr">
        <is>
          <t>'Y'</t>
        </is>
      </c>
      <c r="K9" s="15" t="inlineStr">
        <is>
          <t>'Y'</t>
        </is>
      </c>
      <c r="L9" s="15" t="inlineStr">
        <is>
          <t>'Y'</t>
        </is>
      </c>
      <c r="M9" s="15" t="inlineStr">
        <is>
          <t>'Y'</t>
        </is>
      </c>
      <c r="N9" s="15" t="inlineStr">
        <is>
          <t xml:space="preserve"> to_timestamp('2022/01/01 0:00:00' </t>
        </is>
      </c>
      <c r="O9" s="15" t="inlineStr">
        <is>
          <t xml:space="preserve"> 'yyyy/MM/dd hh24:mi:ss')</t>
        </is>
      </c>
      <c r="Q9" s="17" t="inlineStr">
        <is>
          <t>9</t>
        </is>
      </c>
      <c r="R9" s="17" t="inlineStr">
        <is>
          <t>8</t>
        </is>
      </c>
      <c r="S9" s="17" t="inlineStr">
        <is>
          <t>Y</t>
        </is>
      </c>
      <c r="T9" s="17" t="inlineStr">
        <is>
          <t>Y</t>
        </is>
      </c>
      <c r="U9" s="17" t="inlineStr">
        <is>
          <t>Y</t>
        </is>
      </c>
      <c r="V9" s="17" t="inlineStr">
        <is>
          <t>Y</t>
        </is>
      </c>
      <c r="W9" s="17" t="inlineStr">
        <is>
          <t>Y</t>
        </is>
      </c>
      <c r="X9" s="17" t="inlineStr">
        <is>
          <t>Y</t>
        </is>
      </c>
      <c r="Y9" s="17" t="inlineStr">
        <is>
          <t>Y</t>
        </is>
      </c>
      <c r="Z9" s="17" t="inlineStr">
        <is>
          <t>Y</t>
        </is>
      </c>
      <c r="AA9" s="17" t="inlineStr">
        <is>
          <t>Y</t>
        </is>
      </c>
      <c r="AB9" s="17" t="inlineStr">
        <is>
          <t>2022/01/01 0:00:00</t>
        </is>
      </c>
      <c r="AD9" s="15" t="inlineStr">
        <is>
          <t>INSERT INTO</t>
        </is>
      </c>
      <c r="AE9" s="15" t="inlineStr">
        <is>
          <t>MST_LIST_AUTH_TBL</t>
        </is>
      </c>
      <c r="AF9" s="15" t="inlineStr">
        <is>
          <t>VALUES(</t>
        </is>
      </c>
      <c r="AG9" s="15" t="inlineStr">
        <is>
          <t>9,8, 'Y','Y','Y','Y','Y','Y','Y','Y','Y', to_timestamp('2022/01/01 0:00:00' , 'yyyy/MM/dd hh24:mi:ss')</t>
        </is>
      </c>
      <c r="AH9" s="15" t="inlineStr">
        <is>
          <t>);</t>
        </is>
      </c>
      <c r="AJ9" s="18">
        <f>EXACT(TRIM(C9),Q9&amp;"")</f>
        <v/>
      </c>
      <c r="AK9" s="18">
        <f>EXACT(TRIM(D9),R9&amp;"")</f>
        <v/>
      </c>
      <c r="AL9" s="18">
        <f>EXACT(TRIM(E9),"'"&amp;S9&amp;"'")</f>
        <v/>
      </c>
      <c r="AM9" s="18">
        <f>EXACT(TRIM(F9),"'"&amp;T9&amp;"'")</f>
        <v/>
      </c>
      <c r="AN9" s="18">
        <f>EXACT(TRIM(G9),"'"&amp;U9&amp;"'")</f>
        <v/>
      </c>
      <c r="AO9" s="18">
        <f>EXACT(TRIM(H9),"'"&amp;V9&amp;"'")</f>
        <v/>
      </c>
      <c r="AP9" s="18">
        <f>EXACT(TRIM(I9),"'"&amp;W9&amp;"'")</f>
        <v/>
      </c>
      <c r="AQ9" s="18">
        <f>EXACT(TRIM(J9),"'"&amp;X9&amp;"'")</f>
        <v/>
      </c>
      <c r="AR9" s="18">
        <f>EXACT(TRIM(K9),"'"&amp;Y9&amp;"'")</f>
        <v/>
      </c>
      <c r="AS9" s="18">
        <f>EXACT(TRIM(L9),"'"&amp;Z9&amp;"'")</f>
        <v/>
      </c>
      <c r="AT9" s="18">
        <f>EXACT(TRIM(M9),"'"&amp;AA9&amp;"'")</f>
        <v/>
      </c>
      <c r="AU9" s="18">
        <f>EXACT(TRIM(N9),"to_timestamp('"&amp;AB9&amp;"'")</f>
        <v/>
      </c>
      <c r="AV9" s="18">
        <f>AND(AJ9:AU9)</f>
        <v/>
      </c>
      <c r="AW9" s="19">
        <f>TRIM(IF(AJ9,"",$AJ$3&amp;" ")&amp;IF(AK9,"",$AK$3&amp;" ")&amp;IF(AL9,"",$AL$3&amp;" ")&amp;IF(AM9,"",$AM$3&amp;" ")&amp;IF(AN9,"",$AN$3&amp;" ")&amp;IF(AO9,"",$AO$3&amp;" ")&amp;IF(AP9,"",$AP$3&amp;" ")&amp;IF(AQ9,"",$AQ$3&amp;" ")&amp;IF(AR9,"",$AR$3&amp;" ")&amp;IF(AS9,"",$AS$3&amp;" ")&amp;IF(AT9,"",$AT$3&amp;" ")&amp;IF(AU9,"",$AU$3&amp;" "))</f>
        <v/>
      </c>
      <c r="AX9" s="18">
        <f>EXACT(SUBSTITUTE(A9," ",""),SUBSTITUTE(AD9&amp;AE9&amp;AF9&amp;AG9&amp;AH9," ",""))</f>
        <v/>
      </c>
    </row>
    <row r="10">
      <c r="A10" s="15" t="inlineStr">
        <is>
          <t>INSERT INTO MST_LIST_AUTH_TBL VALUES(9,9, 'Y','Y','Y','Y','Y','Y','Y','Y','Y', to_timestamp('2022/01/01 0:00:00' , 'yyyy/MM/dd hh24:mi:ss'));</t>
        </is>
      </c>
      <c r="B10" s="16" t="n"/>
      <c r="C10" s="15" t="inlineStr">
        <is>
          <t>9</t>
        </is>
      </c>
      <c r="D10" s="15" t="inlineStr">
        <is>
          <t>9</t>
        </is>
      </c>
      <c r="E10" s="15" t="inlineStr">
        <is>
          <t xml:space="preserve"> 'Y'</t>
        </is>
      </c>
      <c r="F10" s="15" t="inlineStr">
        <is>
          <t>'Y'</t>
        </is>
      </c>
      <c r="G10" s="15" t="inlineStr">
        <is>
          <t>'Y'</t>
        </is>
      </c>
      <c r="H10" s="15" t="inlineStr">
        <is>
          <t>'Y'</t>
        </is>
      </c>
      <c r="I10" s="15" t="inlineStr">
        <is>
          <t>'Y'</t>
        </is>
      </c>
      <c r="J10" s="15" t="inlineStr">
        <is>
          <t>'Y'</t>
        </is>
      </c>
      <c r="K10" s="15" t="inlineStr">
        <is>
          <t>'Y'</t>
        </is>
      </c>
      <c r="L10" s="15" t="inlineStr">
        <is>
          <t>'Y'</t>
        </is>
      </c>
      <c r="M10" s="15" t="inlineStr">
        <is>
          <t>'Y'</t>
        </is>
      </c>
      <c r="N10" s="15" t="inlineStr">
        <is>
          <t xml:space="preserve"> to_timestamp('2022/01/01 0:00:00' </t>
        </is>
      </c>
      <c r="O10" s="15" t="inlineStr">
        <is>
          <t xml:space="preserve"> 'yyyy/MM/dd hh24:mi:ss')</t>
        </is>
      </c>
      <c r="Q10" s="17" t="inlineStr">
        <is>
          <t>9</t>
        </is>
      </c>
      <c r="R10" s="17" t="inlineStr">
        <is>
          <t>9</t>
        </is>
      </c>
      <c r="S10" s="17" t="inlineStr">
        <is>
          <t>Y</t>
        </is>
      </c>
      <c r="T10" s="17" t="inlineStr">
        <is>
          <t>Y</t>
        </is>
      </c>
      <c r="U10" s="17" t="inlineStr">
        <is>
          <t>Y</t>
        </is>
      </c>
      <c r="V10" s="17" t="inlineStr">
        <is>
          <t>Y</t>
        </is>
      </c>
      <c r="W10" s="17" t="inlineStr">
        <is>
          <t>Y</t>
        </is>
      </c>
      <c r="X10" s="17" t="inlineStr">
        <is>
          <t>Y</t>
        </is>
      </c>
      <c r="Y10" s="17" t="inlineStr">
        <is>
          <t>Y</t>
        </is>
      </c>
      <c r="Z10" s="17" t="inlineStr">
        <is>
          <t>Y</t>
        </is>
      </c>
      <c r="AA10" s="17" t="inlineStr">
        <is>
          <t>Y</t>
        </is>
      </c>
      <c r="AB10" s="17" t="inlineStr">
        <is>
          <t>2022/01/01 0:00:00</t>
        </is>
      </c>
      <c r="AD10" s="15" t="inlineStr">
        <is>
          <t>INSERT INTO</t>
        </is>
      </c>
      <c r="AE10" s="15" t="inlineStr">
        <is>
          <t>MST_LIST_AUTH_TBL</t>
        </is>
      </c>
      <c r="AF10" s="15" t="inlineStr">
        <is>
          <t>VALUES(</t>
        </is>
      </c>
      <c r="AG10" s="15" t="inlineStr">
        <is>
          <t>9,9, 'Y','Y','Y','Y','Y','Y','Y','Y','Y', to_timestamp('2022/01/01 0:00:00' , 'yyyy/MM/dd hh24:mi:ss')</t>
        </is>
      </c>
      <c r="AH10" s="15" t="inlineStr">
        <is>
          <t>);</t>
        </is>
      </c>
      <c r="AJ10" s="18">
        <f>EXACT(TRIM(C10),Q10&amp;"")</f>
        <v/>
      </c>
      <c r="AK10" s="18">
        <f>EXACT(TRIM(D10),R10&amp;"")</f>
        <v/>
      </c>
      <c r="AL10" s="18">
        <f>EXACT(TRIM(E10),"'"&amp;S10&amp;"'")</f>
        <v/>
      </c>
      <c r="AM10" s="18">
        <f>EXACT(TRIM(F10),"'"&amp;T10&amp;"'")</f>
        <v/>
      </c>
      <c r="AN10" s="18">
        <f>EXACT(TRIM(G10),"'"&amp;U10&amp;"'")</f>
        <v/>
      </c>
      <c r="AO10" s="18">
        <f>EXACT(TRIM(H10),"'"&amp;V10&amp;"'")</f>
        <v/>
      </c>
      <c r="AP10" s="18">
        <f>EXACT(TRIM(I10),"'"&amp;W10&amp;"'")</f>
        <v/>
      </c>
      <c r="AQ10" s="18">
        <f>EXACT(TRIM(J10),"'"&amp;X10&amp;"'")</f>
        <v/>
      </c>
      <c r="AR10" s="18">
        <f>EXACT(TRIM(K10),"'"&amp;Y10&amp;"'")</f>
        <v/>
      </c>
      <c r="AS10" s="18">
        <f>EXACT(TRIM(L10),"'"&amp;Z10&amp;"'")</f>
        <v/>
      </c>
      <c r="AT10" s="18">
        <f>EXACT(TRIM(M10),"'"&amp;AA10&amp;"'")</f>
        <v/>
      </c>
      <c r="AU10" s="18">
        <f>EXACT(TRIM(N10),"to_timestamp('"&amp;AB10&amp;"'")</f>
        <v/>
      </c>
      <c r="AV10" s="18">
        <f>AND(AJ10:AU10)</f>
        <v/>
      </c>
      <c r="AW10" s="19">
        <f>TRIM(IF(AJ10,"",$AJ$3&amp;" ")&amp;IF(AK10,"",$AK$3&amp;" ")&amp;IF(AL10,"",$AL$3&amp;" ")&amp;IF(AM10,"",$AM$3&amp;" ")&amp;IF(AN10,"",$AN$3&amp;" ")&amp;IF(AO10,"",$AO$3&amp;" ")&amp;IF(AP10,"",$AP$3&amp;" ")&amp;IF(AQ10,"",$AQ$3&amp;" ")&amp;IF(AR10,"",$AR$3&amp;" ")&amp;IF(AS10,"",$AS$3&amp;" ")&amp;IF(AT10,"",$AT$3&amp;" ")&amp;IF(AU10,"",$AU$3&amp;" "))</f>
        <v/>
      </c>
      <c r="AX10" s="18">
        <f>EXACT(SUBSTITUTE(A10," ",""),SUBSTITUTE(AD10&amp;AE10&amp;AF10&amp;AG10&amp;AH10," ",""))</f>
        <v/>
      </c>
    </row>
    <row r="11">
      <c r="A11" s="15" t="inlineStr">
        <is>
          <t>INSERT INTO MST_LIST_AUTH_TBL VALUES(9,11, 'Y','Y','Y','Y','Y','Y','Y','Y','Y', to_timestamp('2022/01/01 0:00:00' , 'yyyy/MM/dd hh24:mi:ss'));</t>
        </is>
      </c>
      <c r="B11" s="16" t="n"/>
      <c r="C11" s="15" t="inlineStr">
        <is>
          <t>9</t>
        </is>
      </c>
      <c r="D11" s="15" t="inlineStr">
        <is>
          <t>11</t>
        </is>
      </c>
      <c r="E11" s="15" t="inlineStr">
        <is>
          <t xml:space="preserve"> 'Y'</t>
        </is>
      </c>
      <c r="F11" s="15" t="inlineStr">
        <is>
          <t>'Y'</t>
        </is>
      </c>
      <c r="G11" s="15" t="inlineStr">
        <is>
          <t>'Y'</t>
        </is>
      </c>
      <c r="H11" s="15" t="inlineStr">
        <is>
          <t>'Y'</t>
        </is>
      </c>
      <c r="I11" s="15" t="inlineStr">
        <is>
          <t>'Y'</t>
        </is>
      </c>
      <c r="J11" s="15" t="inlineStr">
        <is>
          <t>'Y'</t>
        </is>
      </c>
      <c r="K11" s="15" t="inlineStr">
        <is>
          <t>'Y'</t>
        </is>
      </c>
      <c r="L11" s="15" t="inlineStr">
        <is>
          <t>'Y'</t>
        </is>
      </c>
      <c r="M11" s="15" t="inlineStr">
        <is>
          <t>'Y'</t>
        </is>
      </c>
      <c r="N11" s="15" t="inlineStr">
        <is>
          <t xml:space="preserve"> to_timestamp('2022/01/01 0:00:00' </t>
        </is>
      </c>
      <c r="O11" s="15" t="inlineStr">
        <is>
          <t xml:space="preserve"> 'yyyy/MM/dd hh24:mi:ss')</t>
        </is>
      </c>
      <c r="Q11" s="17" t="inlineStr">
        <is>
          <t>9</t>
        </is>
      </c>
      <c r="R11" s="17" t="inlineStr">
        <is>
          <t>11</t>
        </is>
      </c>
      <c r="S11" s="17" t="inlineStr">
        <is>
          <t>Y</t>
        </is>
      </c>
      <c r="T11" s="17" t="inlineStr">
        <is>
          <t>Y</t>
        </is>
      </c>
      <c r="U11" s="17" t="inlineStr">
        <is>
          <t>Y</t>
        </is>
      </c>
      <c r="V11" s="17" t="inlineStr">
        <is>
          <t>Y</t>
        </is>
      </c>
      <c r="W11" s="17" t="inlineStr">
        <is>
          <t>Y</t>
        </is>
      </c>
      <c r="X11" s="17" t="inlineStr">
        <is>
          <t>Y</t>
        </is>
      </c>
      <c r="Y11" s="17" t="inlineStr">
        <is>
          <t>Y</t>
        </is>
      </c>
      <c r="Z11" s="17" t="inlineStr">
        <is>
          <t>Y</t>
        </is>
      </c>
      <c r="AA11" s="17" t="inlineStr">
        <is>
          <t>Y</t>
        </is>
      </c>
      <c r="AB11" s="17" t="inlineStr">
        <is>
          <t>2022/01/01 0:00:00</t>
        </is>
      </c>
      <c r="AD11" s="15" t="inlineStr">
        <is>
          <t>INSERT INTO</t>
        </is>
      </c>
      <c r="AE11" s="15" t="inlineStr">
        <is>
          <t>MST_LIST_AUTH_TBL</t>
        </is>
      </c>
      <c r="AF11" s="15" t="inlineStr">
        <is>
          <t>VALUES(</t>
        </is>
      </c>
      <c r="AG11" s="15" t="inlineStr">
        <is>
          <t>9,11, 'Y','Y','Y','Y','Y','Y','Y','Y','Y', to_timestamp('2022/01/01 0:00:00' , 'yyyy/MM/dd hh24:mi:ss')</t>
        </is>
      </c>
      <c r="AH11" s="15" t="inlineStr">
        <is>
          <t>);</t>
        </is>
      </c>
      <c r="AJ11" s="18">
        <f>EXACT(TRIM(C11),Q11&amp;"")</f>
        <v/>
      </c>
      <c r="AK11" s="18">
        <f>EXACT(TRIM(D11),R11&amp;"")</f>
        <v/>
      </c>
      <c r="AL11" s="18">
        <f>EXACT(TRIM(E11),"'"&amp;S11&amp;"'")</f>
        <v/>
      </c>
      <c r="AM11" s="18">
        <f>EXACT(TRIM(F11),"'"&amp;T11&amp;"'")</f>
        <v/>
      </c>
      <c r="AN11" s="18">
        <f>EXACT(TRIM(G11),"'"&amp;U11&amp;"'")</f>
        <v/>
      </c>
      <c r="AO11" s="18">
        <f>EXACT(TRIM(H11),"'"&amp;V11&amp;"'")</f>
        <v/>
      </c>
      <c r="AP11" s="18">
        <f>EXACT(TRIM(I11),"'"&amp;W11&amp;"'")</f>
        <v/>
      </c>
      <c r="AQ11" s="18">
        <f>EXACT(TRIM(J11),"'"&amp;X11&amp;"'")</f>
        <v/>
      </c>
      <c r="AR11" s="18">
        <f>EXACT(TRIM(K11),"'"&amp;Y11&amp;"'")</f>
        <v/>
      </c>
      <c r="AS11" s="18">
        <f>EXACT(TRIM(L11),"'"&amp;Z11&amp;"'")</f>
        <v/>
      </c>
      <c r="AT11" s="18">
        <f>EXACT(TRIM(M11),"'"&amp;AA11&amp;"'")</f>
        <v/>
      </c>
      <c r="AU11" s="18">
        <f>EXACT(TRIM(N11),"to_timestamp('"&amp;AB11&amp;"'")</f>
        <v/>
      </c>
      <c r="AV11" s="18">
        <f>AND(AJ11:AU11)</f>
        <v/>
      </c>
      <c r="AW11" s="19">
        <f>TRIM(IF(AJ11,"",$AJ$3&amp;" ")&amp;IF(AK11,"",$AK$3&amp;" ")&amp;IF(AL11,"",$AL$3&amp;" ")&amp;IF(AM11,"",$AM$3&amp;" ")&amp;IF(AN11,"",$AN$3&amp;" ")&amp;IF(AO11,"",$AO$3&amp;" ")&amp;IF(AP11,"",$AP$3&amp;" ")&amp;IF(AQ11,"",$AQ$3&amp;" ")&amp;IF(AR11,"",$AR$3&amp;" ")&amp;IF(AS11,"",$AS$3&amp;" ")&amp;IF(AT11,"",$AT$3&amp;" ")&amp;IF(AU11,"",$AU$3&amp;" "))</f>
        <v/>
      </c>
      <c r="AX11" s="18">
        <f>EXACT(SUBSTITUTE(A11," ",""),SUBSTITUTE(AD11&amp;AE11&amp;AF11&amp;AG11&amp;AH11," ",""))</f>
        <v/>
      </c>
    </row>
    <row r="12">
      <c r="A12" s="15" t="inlineStr">
        <is>
          <t>INSERT INTO MST_LIST_AUTH_TBL VALUES(9,12, 'Y','Y','Y','Y','Y','Y','Y','Y','Y', to_timestamp('2022/01/01 0:00:00' , 'yyyy/MM/dd hh24:mi:ss'));</t>
        </is>
      </c>
      <c r="B12" s="16" t="n"/>
      <c r="C12" s="15" t="inlineStr">
        <is>
          <t>9</t>
        </is>
      </c>
      <c r="D12" s="15" t="inlineStr">
        <is>
          <t>12</t>
        </is>
      </c>
      <c r="E12" s="15" t="inlineStr">
        <is>
          <t xml:space="preserve"> 'Y'</t>
        </is>
      </c>
      <c r="F12" s="15" t="inlineStr">
        <is>
          <t>'Y'</t>
        </is>
      </c>
      <c r="G12" s="15" t="inlineStr">
        <is>
          <t>'Y'</t>
        </is>
      </c>
      <c r="H12" s="15" t="inlineStr">
        <is>
          <t>'Y'</t>
        </is>
      </c>
      <c r="I12" s="15" t="inlineStr">
        <is>
          <t>'Y'</t>
        </is>
      </c>
      <c r="J12" s="15" t="inlineStr">
        <is>
          <t>'Y'</t>
        </is>
      </c>
      <c r="K12" s="15" t="inlineStr">
        <is>
          <t>'Y'</t>
        </is>
      </c>
      <c r="L12" s="15" t="inlineStr">
        <is>
          <t>'Y'</t>
        </is>
      </c>
      <c r="M12" s="15" t="inlineStr">
        <is>
          <t>'Y'</t>
        </is>
      </c>
      <c r="N12" s="15" t="inlineStr">
        <is>
          <t xml:space="preserve"> to_timestamp('2022/01/01 0:00:00' </t>
        </is>
      </c>
      <c r="O12" s="15" t="inlineStr">
        <is>
          <t xml:space="preserve"> 'yyyy/MM/dd hh24:mi:ss')</t>
        </is>
      </c>
      <c r="Q12" s="17" t="inlineStr">
        <is>
          <t>9</t>
        </is>
      </c>
      <c r="R12" s="17" t="inlineStr">
        <is>
          <t>12</t>
        </is>
      </c>
      <c r="S12" s="17" t="inlineStr">
        <is>
          <t>Y</t>
        </is>
      </c>
      <c r="T12" s="17" t="inlineStr">
        <is>
          <t>Y</t>
        </is>
      </c>
      <c r="U12" s="17" t="inlineStr">
        <is>
          <t>Y</t>
        </is>
      </c>
      <c r="V12" s="17" t="inlineStr">
        <is>
          <t>Y</t>
        </is>
      </c>
      <c r="W12" s="17" t="inlineStr">
        <is>
          <t>Y</t>
        </is>
      </c>
      <c r="X12" s="17" t="inlineStr">
        <is>
          <t>Y</t>
        </is>
      </c>
      <c r="Y12" s="17" t="inlineStr">
        <is>
          <t>Y</t>
        </is>
      </c>
      <c r="Z12" s="17" t="inlineStr">
        <is>
          <t>Y</t>
        </is>
      </c>
      <c r="AA12" s="17" t="inlineStr">
        <is>
          <t>Y</t>
        </is>
      </c>
      <c r="AB12" s="17" t="inlineStr">
        <is>
          <t>2022/01/01 0:00:00</t>
        </is>
      </c>
      <c r="AD12" s="15" t="inlineStr">
        <is>
          <t>INSERT INTO</t>
        </is>
      </c>
      <c r="AE12" s="15" t="inlineStr">
        <is>
          <t>MST_LIST_AUTH_TBL</t>
        </is>
      </c>
      <c r="AF12" s="15" t="inlineStr">
        <is>
          <t>VALUES(</t>
        </is>
      </c>
      <c r="AG12" s="15" t="inlineStr">
        <is>
          <t>9,12, 'Y','Y','Y','Y','Y','Y','Y','Y','Y', to_timestamp('2022/01/01 0:00:00' , 'yyyy/MM/dd hh24:mi:ss')</t>
        </is>
      </c>
      <c r="AH12" s="15" t="inlineStr">
        <is>
          <t>);</t>
        </is>
      </c>
      <c r="AJ12" s="18">
        <f>EXACT(TRIM(C12),Q12&amp;"")</f>
        <v/>
      </c>
      <c r="AK12" s="18">
        <f>EXACT(TRIM(D12),R12&amp;"")</f>
        <v/>
      </c>
      <c r="AL12" s="18">
        <f>EXACT(TRIM(E12),"'"&amp;S12&amp;"'")</f>
        <v/>
      </c>
      <c r="AM12" s="18">
        <f>EXACT(TRIM(F12),"'"&amp;T12&amp;"'")</f>
        <v/>
      </c>
      <c r="AN12" s="18">
        <f>EXACT(TRIM(G12),"'"&amp;U12&amp;"'")</f>
        <v/>
      </c>
      <c r="AO12" s="18">
        <f>EXACT(TRIM(H12),"'"&amp;V12&amp;"'")</f>
        <v/>
      </c>
      <c r="AP12" s="18">
        <f>EXACT(TRIM(I12),"'"&amp;W12&amp;"'")</f>
        <v/>
      </c>
      <c r="AQ12" s="18">
        <f>EXACT(TRIM(J12),"'"&amp;X12&amp;"'")</f>
        <v/>
      </c>
      <c r="AR12" s="18">
        <f>EXACT(TRIM(K12),"'"&amp;Y12&amp;"'")</f>
        <v/>
      </c>
      <c r="AS12" s="18">
        <f>EXACT(TRIM(L12),"'"&amp;Z12&amp;"'")</f>
        <v/>
      </c>
      <c r="AT12" s="18">
        <f>EXACT(TRIM(M12),"'"&amp;AA12&amp;"'")</f>
        <v/>
      </c>
      <c r="AU12" s="18">
        <f>EXACT(TRIM(N12),"to_timestamp('"&amp;AB12&amp;"'")</f>
        <v/>
      </c>
      <c r="AV12" s="18">
        <f>AND(AJ12:AU12)</f>
        <v/>
      </c>
      <c r="AW12" s="19">
        <f>TRIM(IF(AJ12,"",$AJ$3&amp;" ")&amp;IF(AK12,"",$AK$3&amp;" ")&amp;IF(AL12,"",$AL$3&amp;" ")&amp;IF(AM12,"",$AM$3&amp;" ")&amp;IF(AN12,"",$AN$3&amp;" ")&amp;IF(AO12,"",$AO$3&amp;" ")&amp;IF(AP12,"",$AP$3&amp;" ")&amp;IF(AQ12,"",$AQ$3&amp;" ")&amp;IF(AR12,"",$AR$3&amp;" ")&amp;IF(AS12,"",$AS$3&amp;" ")&amp;IF(AT12,"",$AT$3&amp;" ")&amp;IF(AU12,"",$AU$3&amp;" "))</f>
        <v/>
      </c>
      <c r="AX12" s="18">
        <f>EXACT(SUBSTITUTE(A12," ",""),SUBSTITUTE(AD12&amp;AE12&amp;AF12&amp;AG12&amp;AH12," ",""))</f>
        <v/>
      </c>
    </row>
    <row r="13">
      <c r="A13" s="15" t="inlineStr">
        <is>
          <t>INSERT INTO MST_LIST_AUTH_TBL VALUES(9,13, 'Y','Y','Y','Y','Y','Y','Y','Y','Y', to_timestamp('2022/01/01 0:00:00' , 'yyyy/MM/dd hh24:mi:ss'));</t>
        </is>
      </c>
      <c r="B13" s="16" t="n"/>
      <c r="C13" s="15" t="inlineStr">
        <is>
          <t>9</t>
        </is>
      </c>
      <c r="D13" s="15" t="inlineStr">
        <is>
          <t>13</t>
        </is>
      </c>
      <c r="E13" s="15" t="inlineStr">
        <is>
          <t xml:space="preserve"> 'Y'</t>
        </is>
      </c>
      <c r="F13" s="15" t="inlineStr">
        <is>
          <t>'Y'</t>
        </is>
      </c>
      <c r="G13" s="15" t="inlineStr">
        <is>
          <t>'Y'</t>
        </is>
      </c>
      <c r="H13" s="15" t="inlineStr">
        <is>
          <t>'Y'</t>
        </is>
      </c>
      <c r="I13" s="15" t="inlineStr">
        <is>
          <t>'Y'</t>
        </is>
      </c>
      <c r="J13" s="15" t="inlineStr">
        <is>
          <t>'Y'</t>
        </is>
      </c>
      <c r="K13" s="15" t="inlineStr">
        <is>
          <t>'Y'</t>
        </is>
      </c>
      <c r="L13" s="15" t="inlineStr">
        <is>
          <t>'Y'</t>
        </is>
      </c>
      <c r="M13" s="15" t="inlineStr">
        <is>
          <t>'Y'</t>
        </is>
      </c>
      <c r="N13" s="15" t="inlineStr">
        <is>
          <t xml:space="preserve"> to_timestamp('2022/01/01 0:00:00' </t>
        </is>
      </c>
      <c r="O13" s="15" t="inlineStr">
        <is>
          <t xml:space="preserve"> 'yyyy/MM/dd hh24:mi:ss')</t>
        </is>
      </c>
      <c r="Q13" s="17" t="inlineStr">
        <is>
          <t>9</t>
        </is>
      </c>
      <c r="R13" s="17" t="inlineStr">
        <is>
          <t>13</t>
        </is>
      </c>
      <c r="S13" s="17" t="inlineStr">
        <is>
          <t>Y</t>
        </is>
      </c>
      <c r="T13" s="17" t="inlineStr">
        <is>
          <t>Y</t>
        </is>
      </c>
      <c r="U13" s="17" t="inlineStr">
        <is>
          <t>Y</t>
        </is>
      </c>
      <c r="V13" s="17" t="inlineStr">
        <is>
          <t>Y</t>
        </is>
      </c>
      <c r="W13" s="17" t="inlineStr">
        <is>
          <t>Y</t>
        </is>
      </c>
      <c r="X13" s="17" t="inlineStr">
        <is>
          <t>Y</t>
        </is>
      </c>
      <c r="Y13" s="17" t="inlineStr">
        <is>
          <t>Y</t>
        </is>
      </c>
      <c r="Z13" s="17" t="inlineStr">
        <is>
          <t>Y</t>
        </is>
      </c>
      <c r="AA13" s="17" t="inlineStr">
        <is>
          <t>Y</t>
        </is>
      </c>
      <c r="AB13" s="17" t="inlineStr">
        <is>
          <t>2022/01/01 0:00:00</t>
        </is>
      </c>
      <c r="AD13" s="15" t="inlineStr">
        <is>
          <t>INSERT INTO</t>
        </is>
      </c>
      <c r="AE13" s="15" t="inlineStr">
        <is>
          <t>MST_LIST_AUTH_TBL</t>
        </is>
      </c>
      <c r="AF13" s="15" t="inlineStr">
        <is>
          <t>VALUES(</t>
        </is>
      </c>
      <c r="AG13" s="15" t="inlineStr">
        <is>
          <t>9,13, 'Y','Y','Y','Y','Y','Y','Y','Y','Y', to_timestamp('2022/01/01 0:00:00' , 'yyyy/MM/dd hh24:mi:ss')</t>
        </is>
      </c>
      <c r="AH13" s="15" t="inlineStr">
        <is>
          <t>);</t>
        </is>
      </c>
      <c r="AJ13" s="18">
        <f>EXACT(TRIM(C13),Q13&amp;"")</f>
        <v/>
      </c>
      <c r="AK13" s="18">
        <f>EXACT(TRIM(D13),R13&amp;"")</f>
        <v/>
      </c>
      <c r="AL13" s="18">
        <f>EXACT(TRIM(E13),"'"&amp;S13&amp;"'")</f>
        <v/>
      </c>
      <c r="AM13" s="18">
        <f>EXACT(TRIM(F13),"'"&amp;T13&amp;"'")</f>
        <v/>
      </c>
      <c r="AN13" s="18">
        <f>EXACT(TRIM(G13),"'"&amp;U13&amp;"'")</f>
        <v/>
      </c>
      <c r="AO13" s="18">
        <f>EXACT(TRIM(H13),"'"&amp;V13&amp;"'")</f>
        <v/>
      </c>
      <c r="AP13" s="18">
        <f>EXACT(TRIM(I13),"'"&amp;W13&amp;"'")</f>
        <v/>
      </c>
      <c r="AQ13" s="18">
        <f>EXACT(TRIM(J13),"'"&amp;X13&amp;"'")</f>
        <v/>
      </c>
      <c r="AR13" s="18">
        <f>EXACT(TRIM(K13),"'"&amp;Y13&amp;"'")</f>
        <v/>
      </c>
      <c r="AS13" s="18">
        <f>EXACT(TRIM(L13),"'"&amp;Z13&amp;"'")</f>
        <v/>
      </c>
      <c r="AT13" s="18">
        <f>EXACT(TRIM(M13),"'"&amp;AA13&amp;"'")</f>
        <v/>
      </c>
      <c r="AU13" s="18">
        <f>EXACT(TRIM(N13),"to_timestamp('"&amp;AB13&amp;"'")</f>
        <v/>
      </c>
      <c r="AV13" s="18">
        <f>AND(AJ13:AU13)</f>
        <v/>
      </c>
      <c r="AW13" s="19">
        <f>TRIM(IF(AJ13,"",$AJ$3&amp;" ")&amp;IF(AK13,"",$AK$3&amp;" ")&amp;IF(AL13,"",$AL$3&amp;" ")&amp;IF(AM13,"",$AM$3&amp;" ")&amp;IF(AN13,"",$AN$3&amp;" ")&amp;IF(AO13,"",$AO$3&amp;" ")&amp;IF(AP13,"",$AP$3&amp;" ")&amp;IF(AQ13,"",$AQ$3&amp;" ")&amp;IF(AR13,"",$AR$3&amp;" ")&amp;IF(AS13,"",$AS$3&amp;" ")&amp;IF(AT13,"",$AT$3&amp;" ")&amp;IF(AU13,"",$AU$3&amp;" "))</f>
        <v/>
      </c>
      <c r="AX13" s="18">
        <f>EXACT(SUBSTITUTE(A13," ",""),SUBSTITUTE(AD13&amp;AE13&amp;AF13&amp;AG13&amp;AH13," ",""))</f>
        <v/>
      </c>
    </row>
    <row r="14">
      <c r="A14" s="15" t="inlineStr">
        <is>
          <t>INSERT INTO MST_LIST_AUTH_TBL VALUES(9,14, 'Y','Y','Y','Y','Y','Y','Y','Y','Y', to_timestamp('2022/01/01 0:00:00' , 'yyyy/MM/dd hh24:mi:ss'));</t>
        </is>
      </c>
      <c r="B14" s="16" t="n"/>
      <c r="C14" s="15" t="inlineStr">
        <is>
          <t>9</t>
        </is>
      </c>
      <c r="D14" s="15" t="inlineStr">
        <is>
          <t>14</t>
        </is>
      </c>
      <c r="E14" s="15" t="inlineStr">
        <is>
          <t xml:space="preserve"> 'Y'</t>
        </is>
      </c>
      <c r="F14" s="15" t="inlineStr">
        <is>
          <t>'Y'</t>
        </is>
      </c>
      <c r="G14" s="15" t="inlineStr">
        <is>
          <t>'Y'</t>
        </is>
      </c>
      <c r="H14" s="15" t="inlineStr">
        <is>
          <t>'Y'</t>
        </is>
      </c>
      <c r="I14" s="15" t="inlineStr">
        <is>
          <t>'Y'</t>
        </is>
      </c>
      <c r="J14" s="15" t="inlineStr">
        <is>
          <t>'Y'</t>
        </is>
      </c>
      <c r="K14" s="15" t="inlineStr">
        <is>
          <t>'Y'</t>
        </is>
      </c>
      <c r="L14" s="15" t="inlineStr">
        <is>
          <t>'Y'</t>
        </is>
      </c>
      <c r="M14" s="15" t="inlineStr">
        <is>
          <t>'Y'</t>
        </is>
      </c>
      <c r="N14" s="15" t="inlineStr">
        <is>
          <t xml:space="preserve"> to_timestamp('2022/01/01 0:00:00' </t>
        </is>
      </c>
      <c r="O14" s="15" t="inlineStr">
        <is>
          <t xml:space="preserve"> 'yyyy/MM/dd hh24:mi:ss')</t>
        </is>
      </c>
      <c r="Q14" s="17" t="inlineStr">
        <is>
          <t>9</t>
        </is>
      </c>
      <c r="R14" s="17" t="inlineStr">
        <is>
          <t>14</t>
        </is>
      </c>
      <c r="S14" s="17" t="inlineStr">
        <is>
          <t>Y</t>
        </is>
      </c>
      <c r="T14" s="17" t="inlineStr">
        <is>
          <t>Y</t>
        </is>
      </c>
      <c r="U14" s="17" t="inlineStr">
        <is>
          <t>Y</t>
        </is>
      </c>
      <c r="V14" s="17" t="inlineStr">
        <is>
          <t>Y</t>
        </is>
      </c>
      <c r="W14" s="17" t="inlineStr">
        <is>
          <t>Y</t>
        </is>
      </c>
      <c r="X14" s="17" t="inlineStr">
        <is>
          <t>Y</t>
        </is>
      </c>
      <c r="Y14" s="17" t="inlineStr">
        <is>
          <t>Y</t>
        </is>
      </c>
      <c r="Z14" s="17" t="inlineStr">
        <is>
          <t>Y</t>
        </is>
      </c>
      <c r="AA14" s="17" t="inlineStr">
        <is>
          <t>Y</t>
        </is>
      </c>
      <c r="AB14" s="17" t="inlineStr">
        <is>
          <t>2022/01/01 0:00:00</t>
        </is>
      </c>
      <c r="AD14" s="15" t="inlineStr">
        <is>
          <t>INSERT INTO</t>
        </is>
      </c>
      <c r="AE14" s="15" t="inlineStr">
        <is>
          <t>MST_LIST_AUTH_TBL</t>
        </is>
      </c>
      <c r="AF14" s="15" t="inlineStr">
        <is>
          <t>VALUES(</t>
        </is>
      </c>
      <c r="AG14" s="15" t="inlineStr">
        <is>
          <t>9,14, 'Y','Y','Y','Y','Y','Y','Y','Y','Y', to_timestamp('2022/01/01 0:00:00' , 'yyyy/MM/dd hh24:mi:ss')</t>
        </is>
      </c>
      <c r="AH14" s="15" t="inlineStr">
        <is>
          <t>);</t>
        </is>
      </c>
      <c r="AJ14" s="18">
        <f>EXACT(TRIM(C14),Q14&amp;"")</f>
        <v/>
      </c>
      <c r="AK14" s="18">
        <f>EXACT(TRIM(D14),R14&amp;"")</f>
        <v/>
      </c>
      <c r="AL14" s="18">
        <f>EXACT(TRIM(E14),"'"&amp;S14&amp;"'")</f>
        <v/>
      </c>
      <c r="AM14" s="18">
        <f>EXACT(TRIM(F14),"'"&amp;T14&amp;"'")</f>
        <v/>
      </c>
      <c r="AN14" s="18">
        <f>EXACT(TRIM(G14),"'"&amp;U14&amp;"'")</f>
        <v/>
      </c>
      <c r="AO14" s="18">
        <f>EXACT(TRIM(H14),"'"&amp;V14&amp;"'")</f>
        <v/>
      </c>
      <c r="AP14" s="18">
        <f>EXACT(TRIM(I14),"'"&amp;W14&amp;"'")</f>
        <v/>
      </c>
      <c r="AQ14" s="18">
        <f>EXACT(TRIM(J14),"'"&amp;X14&amp;"'")</f>
        <v/>
      </c>
      <c r="AR14" s="18">
        <f>EXACT(TRIM(K14),"'"&amp;Y14&amp;"'")</f>
        <v/>
      </c>
      <c r="AS14" s="18">
        <f>EXACT(TRIM(L14),"'"&amp;Z14&amp;"'")</f>
        <v/>
      </c>
      <c r="AT14" s="18">
        <f>EXACT(TRIM(M14),"'"&amp;AA14&amp;"'")</f>
        <v/>
      </c>
      <c r="AU14" s="18">
        <f>EXACT(TRIM(N14),"to_timestamp('"&amp;AB14&amp;"'")</f>
        <v/>
      </c>
      <c r="AV14" s="18">
        <f>AND(AJ14:AU14)</f>
        <v/>
      </c>
      <c r="AW14" s="19">
        <f>TRIM(IF(AJ14,"",$AJ$3&amp;" ")&amp;IF(AK14,"",$AK$3&amp;" ")&amp;IF(AL14,"",$AL$3&amp;" ")&amp;IF(AM14,"",$AM$3&amp;" ")&amp;IF(AN14,"",$AN$3&amp;" ")&amp;IF(AO14,"",$AO$3&amp;" ")&amp;IF(AP14,"",$AP$3&amp;" ")&amp;IF(AQ14,"",$AQ$3&amp;" ")&amp;IF(AR14,"",$AR$3&amp;" ")&amp;IF(AS14,"",$AS$3&amp;" ")&amp;IF(AT14,"",$AT$3&amp;" ")&amp;IF(AU14,"",$AU$3&amp;" "))</f>
        <v/>
      </c>
      <c r="AX14" s="18">
        <f>EXACT(SUBSTITUTE(A14," ",""),SUBSTITUTE(AD14&amp;AE14&amp;AF14&amp;AG14&amp;AH14," ",""))</f>
        <v/>
      </c>
    </row>
    <row r="15">
      <c r="A15" s="15" t="inlineStr">
        <is>
          <t>INSERT INTO MST_LIST_AUTH_TBL VALUES(9,15, 'Y','Y','Y','Y','Y','Y','Y','Y','Y', to_timestamp('2022/01/01 0:00:00' , 'yyyy/MM/dd hh24:mi:ss'));</t>
        </is>
      </c>
      <c r="B15" s="16" t="n"/>
      <c r="C15" s="15" t="inlineStr">
        <is>
          <t>9</t>
        </is>
      </c>
      <c r="D15" s="15" t="inlineStr">
        <is>
          <t>15</t>
        </is>
      </c>
      <c r="E15" s="15" t="inlineStr">
        <is>
          <t xml:space="preserve"> 'Y'</t>
        </is>
      </c>
      <c r="F15" s="15" t="inlineStr">
        <is>
          <t>'Y'</t>
        </is>
      </c>
      <c r="G15" s="15" t="inlineStr">
        <is>
          <t>'Y'</t>
        </is>
      </c>
      <c r="H15" s="15" t="inlineStr">
        <is>
          <t>'Y'</t>
        </is>
      </c>
      <c r="I15" s="15" t="inlineStr">
        <is>
          <t>'Y'</t>
        </is>
      </c>
      <c r="J15" s="15" t="inlineStr">
        <is>
          <t>'Y'</t>
        </is>
      </c>
      <c r="K15" s="15" t="inlineStr">
        <is>
          <t>'Y'</t>
        </is>
      </c>
      <c r="L15" s="15" t="inlineStr">
        <is>
          <t>'Y'</t>
        </is>
      </c>
      <c r="M15" s="15" t="inlineStr">
        <is>
          <t>'Y'</t>
        </is>
      </c>
      <c r="N15" s="15" t="inlineStr">
        <is>
          <t xml:space="preserve"> to_timestamp('2022/01/01 0:00:00' </t>
        </is>
      </c>
      <c r="O15" s="15" t="inlineStr">
        <is>
          <t xml:space="preserve"> 'yyyy/MM/dd hh24:mi:ss')</t>
        </is>
      </c>
      <c r="Q15" s="17" t="inlineStr">
        <is>
          <t>9</t>
        </is>
      </c>
      <c r="R15" s="17" t="inlineStr">
        <is>
          <t>15</t>
        </is>
      </c>
      <c r="S15" s="17" t="inlineStr">
        <is>
          <t>Y</t>
        </is>
      </c>
      <c r="T15" s="17" t="inlineStr">
        <is>
          <t>Y</t>
        </is>
      </c>
      <c r="U15" s="17" t="inlineStr">
        <is>
          <t>Y</t>
        </is>
      </c>
      <c r="V15" s="17" t="inlineStr">
        <is>
          <t>Y</t>
        </is>
      </c>
      <c r="W15" s="17" t="inlineStr">
        <is>
          <t>Y</t>
        </is>
      </c>
      <c r="X15" s="17" t="inlineStr">
        <is>
          <t>Y</t>
        </is>
      </c>
      <c r="Y15" s="17" t="inlineStr">
        <is>
          <t>Y</t>
        </is>
      </c>
      <c r="Z15" s="17" t="inlineStr">
        <is>
          <t>Y</t>
        </is>
      </c>
      <c r="AA15" s="17" t="inlineStr">
        <is>
          <t>Y</t>
        </is>
      </c>
      <c r="AB15" s="17" t="inlineStr">
        <is>
          <t>2022/01/01 0:00:00</t>
        </is>
      </c>
      <c r="AD15" s="15" t="inlineStr">
        <is>
          <t>INSERT INTO</t>
        </is>
      </c>
      <c r="AE15" s="15" t="inlineStr">
        <is>
          <t>MST_LIST_AUTH_TBL</t>
        </is>
      </c>
      <c r="AF15" s="15" t="inlineStr">
        <is>
          <t>VALUES(</t>
        </is>
      </c>
      <c r="AG15" s="15" t="inlineStr">
        <is>
          <t>9,15, 'Y','Y','Y','Y','Y','Y','Y','Y','Y', to_timestamp('2022/01/01 0:00:00' , 'yyyy/MM/dd hh24:mi:ss')</t>
        </is>
      </c>
      <c r="AH15" s="15" t="inlineStr">
        <is>
          <t>);</t>
        </is>
      </c>
      <c r="AJ15" s="18">
        <f>EXACT(TRIM(C15),Q15&amp;"")</f>
        <v/>
      </c>
      <c r="AK15" s="18">
        <f>EXACT(TRIM(D15),R15&amp;"")</f>
        <v/>
      </c>
      <c r="AL15" s="18">
        <f>EXACT(TRIM(E15),"'"&amp;S15&amp;"'")</f>
        <v/>
      </c>
      <c r="AM15" s="18">
        <f>EXACT(TRIM(F15),"'"&amp;T15&amp;"'")</f>
        <v/>
      </c>
      <c r="AN15" s="18">
        <f>EXACT(TRIM(G15),"'"&amp;U15&amp;"'")</f>
        <v/>
      </c>
      <c r="AO15" s="18">
        <f>EXACT(TRIM(H15),"'"&amp;V15&amp;"'")</f>
        <v/>
      </c>
      <c r="AP15" s="18">
        <f>EXACT(TRIM(I15),"'"&amp;W15&amp;"'")</f>
        <v/>
      </c>
      <c r="AQ15" s="18">
        <f>EXACT(TRIM(J15),"'"&amp;X15&amp;"'")</f>
        <v/>
      </c>
      <c r="AR15" s="18">
        <f>EXACT(TRIM(K15),"'"&amp;Y15&amp;"'")</f>
        <v/>
      </c>
      <c r="AS15" s="18">
        <f>EXACT(TRIM(L15),"'"&amp;Z15&amp;"'")</f>
        <v/>
      </c>
      <c r="AT15" s="18">
        <f>EXACT(TRIM(M15),"'"&amp;AA15&amp;"'")</f>
        <v/>
      </c>
      <c r="AU15" s="18">
        <f>EXACT(TRIM(N15),"to_timestamp('"&amp;AB15&amp;"'")</f>
        <v/>
      </c>
      <c r="AV15" s="18">
        <f>AND(AJ15:AU15)</f>
        <v/>
      </c>
      <c r="AW15" s="19">
        <f>TRIM(IF(AJ15,"",$AJ$3&amp;" ")&amp;IF(AK15,"",$AK$3&amp;" ")&amp;IF(AL15,"",$AL$3&amp;" ")&amp;IF(AM15,"",$AM$3&amp;" ")&amp;IF(AN15,"",$AN$3&amp;" ")&amp;IF(AO15,"",$AO$3&amp;" ")&amp;IF(AP15,"",$AP$3&amp;" ")&amp;IF(AQ15,"",$AQ$3&amp;" ")&amp;IF(AR15,"",$AR$3&amp;" ")&amp;IF(AS15,"",$AS$3&amp;" ")&amp;IF(AT15,"",$AT$3&amp;" ")&amp;IF(AU15,"",$AU$3&amp;" "))</f>
        <v/>
      </c>
      <c r="AX15" s="18">
        <f>EXACT(SUBSTITUTE(A15," ",""),SUBSTITUTE(AD15&amp;AE15&amp;AF15&amp;AG15&amp;AH15," ",""))</f>
        <v/>
      </c>
    </row>
    <row r="16">
      <c r="A16" s="15" t="inlineStr">
        <is>
          <t>INSERT INTO MST_LIST_AUTH_TBL VALUES(9,16, 'Y','Y','Y','Y','Y','Y','Y','Y','Y', to_timestamp('2022/01/01 0:00:00' , 'yyyy/MM/dd hh24:mi:ss'));</t>
        </is>
      </c>
      <c r="B16" s="16" t="n"/>
      <c r="C16" s="15" t="inlineStr">
        <is>
          <t>9</t>
        </is>
      </c>
      <c r="D16" s="15" t="inlineStr">
        <is>
          <t>16</t>
        </is>
      </c>
      <c r="E16" s="15" t="inlineStr">
        <is>
          <t xml:space="preserve"> 'Y'</t>
        </is>
      </c>
      <c r="F16" s="15" t="inlineStr">
        <is>
          <t>'Y'</t>
        </is>
      </c>
      <c r="G16" s="15" t="inlineStr">
        <is>
          <t>'Y'</t>
        </is>
      </c>
      <c r="H16" s="15" t="inlineStr">
        <is>
          <t>'Y'</t>
        </is>
      </c>
      <c r="I16" s="15" t="inlineStr">
        <is>
          <t>'Y'</t>
        </is>
      </c>
      <c r="J16" s="15" t="inlineStr">
        <is>
          <t>'Y'</t>
        </is>
      </c>
      <c r="K16" s="15" t="inlineStr">
        <is>
          <t>'Y'</t>
        </is>
      </c>
      <c r="L16" s="15" t="inlineStr">
        <is>
          <t>'Y'</t>
        </is>
      </c>
      <c r="M16" s="15" t="inlineStr">
        <is>
          <t>'Y'</t>
        </is>
      </c>
      <c r="N16" s="15" t="inlineStr">
        <is>
          <t xml:space="preserve"> to_timestamp('2022/01/01 0:00:00' </t>
        </is>
      </c>
      <c r="O16" s="15" t="inlineStr">
        <is>
          <t xml:space="preserve"> 'yyyy/MM/dd hh24:mi:ss')</t>
        </is>
      </c>
      <c r="Q16" s="17" t="inlineStr">
        <is>
          <t>9</t>
        </is>
      </c>
      <c r="R16" s="17" t="inlineStr">
        <is>
          <t>16</t>
        </is>
      </c>
      <c r="S16" s="17" t="inlineStr">
        <is>
          <t>Y</t>
        </is>
      </c>
      <c r="T16" s="17" t="inlineStr">
        <is>
          <t>Y</t>
        </is>
      </c>
      <c r="U16" s="17" t="inlineStr">
        <is>
          <t>Y</t>
        </is>
      </c>
      <c r="V16" s="17" t="inlineStr">
        <is>
          <t>Y</t>
        </is>
      </c>
      <c r="W16" s="17" t="inlineStr">
        <is>
          <t>Y</t>
        </is>
      </c>
      <c r="X16" s="17" t="inlineStr">
        <is>
          <t>Y</t>
        </is>
      </c>
      <c r="Y16" s="17" t="inlineStr">
        <is>
          <t>Y</t>
        </is>
      </c>
      <c r="Z16" s="17" t="inlineStr">
        <is>
          <t>Y</t>
        </is>
      </c>
      <c r="AA16" s="17" t="inlineStr">
        <is>
          <t>Y</t>
        </is>
      </c>
      <c r="AB16" s="17" t="inlineStr">
        <is>
          <t>2022/01/01 0:00:00</t>
        </is>
      </c>
      <c r="AD16" s="15" t="inlineStr">
        <is>
          <t>INSERT INTO</t>
        </is>
      </c>
      <c r="AE16" s="15" t="inlineStr">
        <is>
          <t>MST_LIST_AUTH_TBL</t>
        </is>
      </c>
      <c r="AF16" s="15" t="inlineStr">
        <is>
          <t>VALUES(</t>
        </is>
      </c>
      <c r="AG16" s="15" t="inlineStr">
        <is>
          <t>9,16, 'Y','Y','Y','Y','Y','Y','Y','Y','Y', to_timestamp('2022/01/01 0:00:00' , 'yyyy/MM/dd hh24:mi:ss')</t>
        </is>
      </c>
      <c r="AH16" s="15" t="inlineStr">
        <is>
          <t>);</t>
        </is>
      </c>
      <c r="AJ16" s="18">
        <f>EXACT(TRIM(C16),Q16&amp;"")</f>
        <v/>
      </c>
      <c r="AK16" s="18">
        <f>EXACT(TRIM(D16),R16&amp;"")</f>
        <v/>
      </c>
      <c r="AL16" s="18">
        <f>EXACT(TRIM(E16),"'"&amp;S16&amp;"'")</f>
        <v/>
      </c>
      <c r="AM16" s="18">
        <f>EXACT(TRIM(F16),"'"&amp;T16&amp;"'")</f>
        <v/>
      </c>
      <c r="AN16" s="18">
        <f>EXACT(TRIM(G16),"'"&amp;U16&amp;"'")</f>
        <v/>
      </c>
      <c r="AO16" s="18">
        <f>EXACT(TRIM(H16),"'"&amp;V16&amp;"'")</f>
        <v/>
      </c>
      <c r="AP16" s="18">
        <f>EXACT(TRIM(I16),"'"&amp;W16&amp;"'")</f>
        <v/>
      </c>
      <c r="AQ16" s="18">
        <f>EXACT(TRIM(J16),"'"&amp;X16&amp;"'")</f>
        <v/>
      </c>
      <c r="AR16" s="18">
        <f>EXACT(TRIM(K16),"'"&amp;Y16&amp;"'")</f>
        <v/>
      </c>
      <c r="AS16" s="18">
        <f>EXACT(TRIM(L16),"'"&amp;Z16&amp;"'")</f>
        <v/>
      </c>
      <c r="AT16" s="18">
        <f>EXACT(TRIM(M16),"'"&amp;AA16&amp;"'")</f>
        <v/>
      </c>
      <c r="AU16" s="18">
        <f>EXACT(TRIM(N16),"to_timestamp('"&amp;AB16&amp;"'")</f>
        <v/>
      </c>
      <c r="AV16" s="18">
        <f>AND(AJ16:AU16)</f>
        <v/>
      </c>
      <c r="AW16" s="19">
        <f>TRIM(IF(AJ16,"",$AJ$3&amp;" ")&amp;IF(AK16,"",$AK$3&amp;" ")&amp;IF(AL16,"",$AL$3&amp;" ")&amp;IF(AM16,"",$AM$3&amp;" ")&amp;IF(AN16,"",$AN$3&amp;" ")&amp;IF(AO16,"",$AO$3&amp;" ")&amp;IF(AP16,"",$AP$3&amp;" ")&amp;IF(AQ16,"",$AQ$3&amp;" ")&amp;IF(AR16,"",$AR$3&amp;" ")&amp;IF(AS16,"",$AS$3&amp;" ")&amp;IF(AT16,"",$AT$3&amp;" ")&amp;IF(AU16,"",$AU$3&amp;" "))</f>
        <v/>
      </c>
      <c r="AX16" s="18">
        <f>EXACT(SUBSTITUTE(A16," ",""),SUBSTITUTE(AD16&amp;AE16&amp;AF16&amp;AG16&amp;AH16," ",""))</f>
        <v/>
      </c>
    </row>
    <row r="17">
      <c r="A17" s="15" t="inlineStr">
        <is>
          <t>INSERT INTO MST_LIST_AUTH_TBL VALUES(10,1, 'Y','Y','Y','Y','Y','Y','Y','Y','Y', to_timestamp('2022/01/01 0:00:00' , 'yyyy/MM/dd hh24:mi:ss'));</t>
        </is>
      </c>
      <c r="B17" s="16" t="n"/>
      <c r="C17" s="15" t="inlineStr">
        <is>
          <t>10</t>
        </is>
      </c>
      <c r="D17" s="15" t="inlineStr">
        <is>
          <t>1</t>
        </is>
      </c>
      <c r="E17" s="15" t="inlineStr">
        <is>
          <t xml:space="preserve"> 'Y'</t>
        </is>
      </c>
      <c r="F17" s="15" t="inlineStr">
        <is>
          <t>'Y'</t>
        </is>
      </c>
      <c r="G17" s="15" t="inlineStr">
        <is>
          <t>'Y'</t>
        </is>
      </c>
      <c r="H17" s="15" t="inlineStr">
        <is>
          <t>'Y'</t>
        </is>
      </c>
      <c r="I17" s="15" t="inlineStr">
        <is>
          <t>'Y'</t>
        </is>
      </c>
      <c r="J17" s="15" t="inlineStr">
        <is>
          <t>'Y'</t>
        </is>
      </c>
      <c r="K17" s="15" t="inlineStr">
        <is>
          <t>'Y'</t>
        </is>
      </c>
      <c r="L17" s="15" t="inlineStr">
        <is>
          <t>'Y'</t>
        </is>
      </c>
      <c r="M17" s="15" t="inlineStr">
        <is>
          <t>'Y'</t>
        </is>
      </c>
      <c r="N17" s="15" t="inlineStr">
        <is>
          <t xml:space="preserve"> to_timestamp('2022/01/01 0:00:00' </t>
        </is>
      </c>
      <c r="O17" s="15" t="inlineStr">
        <is>
          <t xml:space="preserve"> 'yyyy/MM/dd hh24:mi:ss')</t>
        </is>
      </c>
      <c r="Q17" s="17" t="inlineStr">
        <is>
          <t>10</t>
        </is>
      </c>
      <c r="R17" s="17" t="inlineStr">
        <is>
          <t>1</t>
        </is>
      </c>
      <c r="S17" s="17" t="inlineStr">
        <is>
          <t>Y</t>
        </is>
      </c>
      <c r="T17" s="17" t="inlineStr">
        <is>
          <t>Y</t>
        </is>
      </c>
      <c r="U17" s="17" t="inlineStr">
        <is>
          <t>Y</t>
        </is>
      </c>
      <c r="V17" s="17" t="inlineStr">
        <is>
          <t>Y</t>
        </is>
      </c>
      <c r="W17" s="17" t="inlineStr">
        <is>
          <t>Y</t>
        </is>
      </c>
      <c r="X17" s="17" t="inlineStr">
        <is>
          <t>Y</t>
        </is>
      </c>
      <c r="Y17" s="17" t="inlineStr">
        <is>
          <t>Y</t>
        </is>
      </c>
      <c r="Z17" s="17" t="inlineStr">
        <is>
          <t>Y</t>
        </is>
      </c>
      <c r="AA17" s="17" t="inlineStr">
        <is>
          <t>Y</t>
        </is>
      </c>
      <c r="AB17" s="17" t="inlineStr">
        <is>
          <t>2022/01/01 0:00:00</t>
        </is>
      </c>
      <c r="AD17" s="15" t="inlineStr">
        <is>
          <t>INSERT INTO</t>
        </is>
      </c>
      <c r="AE17" s="15" t="inlineStr">
        <is>
          <t>MST_LIST_AUTH_TBL</t>
        </is>
      </c>
      <c r="AF17" s="15" t="inlineStr">
        <is>
          <t>VALUES(</t>
        </is>
      </c>
      <c r="AG17" s="15" t="inlineStr">
        <is>
          <t>10,1, 'Y','Y','Y','Y','Y','Y','Y','Y','Y', to_timestamp('2022/01/01 0:00:00' , 'yyyy/MM/dd hh24:mi:ss')</t>
        </is>
      </c>
      <c r="AH17" s="15" t="inlineStr">
        <is>
          <t>);</t>
        </is>
      </c>
      <c r="AJ17" s="18">
        <f>EXACT(TRIM(C17),Q17&amp;"")</f>
        <v/>
      </c>
      <c r="AK17" s="18">
        <f>EXACT(TRIM(D17),R17&amp;"")</f>
        <v/>
      </c>
      <c r="AL17" s="18">
        <f>EXACT(TRIM(E17),"'"&amp;S17&amp;"'")</f>
        <v/>
      </c>
      <c r="AM17" s="18">
        <f>EXACT(TRIM(F17),"'"&amp;T17&amp;"'")</f>
        <v/>
      </c>
      <c r="AN17" s="18">
        <f>EXACT(TRIM(G17),"'"&amp;U17&amp;"'")</f>
        <v/>
      </c>
      <c r="AO17" s="18">
        <f>EXACT(TRIM(H17),"'"&amp;V17&amp;"'")</f>
        <v/>
      </c>
      <c r="AP17" s="18">
        <f>EXACT(TRIM(I17),"'"&amp;W17&amp;"'")</f>
        <v/>
      </c>
      <c r="AQ17" s="18">
        <f>EXACT(TRIM(J17),"'"&amp;X17&amp;"'")</f>
        <v/>
      </c>
      <c r="AR17" s="18">
        <f>EXACT(TRIM(K17),"'"&amp;Y17&amp;"'")</f>
        <v/>
      </c>
      <c r="AS17" s="18">
        <f>EXACT(TRIM(L17),"'"&amp;Z17&amp;"'")</f>
        <v/>
      </c>
      <c r="AT17" s="18">
        <f>EXACT(TRIM(M17),"'"&amp;AA17&amp;"'")</f>
        <v/>
      </c>
      <c r="AU17" s="18">
        <f>EXACT(TRIM(N17),"to_timestamp('"&amp;AB17&amp;"'")</f>
        <v/>
      </c>
      <c r="AV17" s="18">
        <f>AND(AJ17:AU17)</f>
        <v/>
      </c>
      <c r="AW17" s="19">
        <f>TRIM(IF(AJ17,"",$AJ$3&amp;" ")&amp;IF(AK17,"",$AK$3&amp;" ")&amp;IF(AL17,"",$AL$3&amp;" ")&amp;IF(AM17,"",$AM$3&amp;" ")&amp;IF(AN17,"",$AN$3&amp;" ")&amp;IF(AO17,"",$AO$3&amp;" ")&amp;IF(AP17,"",$AP$3&amp;" ")&amp;IF(AQ17,"",$AQ$3&amp;" ")&amp;IF(AR17,"",$AR$3&amp;" ")&amp;IF(AS17,"",$AS$3&amp;" ")&amp;IF(AT17,"",$AT$3&amp;" ")&amp;IF(AU17,"",$AU$3&amp;" "))</f>
        <v/>
      </c>
      <c r="AX17" s="18">
        <f>EXACT(SUBSTITUTE(A17," ",""),SUBSTITUTE(AD17&amp;AE17&amp;AF17&amp;AG17&amp;AH17," ",""))</f>
        <v/>
      </c>
    </row>
    <row r="18">
      <c r="A18" s="15" t="inlineStr">
        <is>
          <t>INSERT INTO MST_LIST_AUTH_TBL VALUES(10,4, 'Y','Y','Y','Y','Y','Y','Y','Y','Y', to_timestamp('2022/01/01 0:00:00' , 'yyyy/MM/dd hh24:mi:ss'));</t>
        </is>
      </c>
      <c r="B18" s="16" t="n"/>
      <c r="C18" s="15" t="inlineStr">
        <is>
          <t>10</t>
        </is>
      </c>
      <c r="D18" s="15" t="inlineStr">
        <is>
          <t>4</t>
        </is>
      </c>
      <c r="E18" s="15" t="inlineStr">
        <is>
          <t xml:space="preserve"> 'Y'</t>
        </is>
      </c>
      <c r="F18" s="15" t="inlineStr">
        <is>
          <t>'Y'</t>
        </is>
      </c>
      <c r="G18" s="15" t="inlineStr">
        <is>
          <t>'Y'</t>
        </is>
      </c>
      <c r="H18" s="15" t="inlineStr">
        <is>
          <t>'Y'</t>
        </is>
      </c>
      <c r="I18" s="15" t="inlineStr">
        <is>
          <t>'Y'</t>
        </is>
      </c>
      <c r="J18" s="15" t="inlineStr">
        <is>
          <t>'Y'</t>
        </is>
      </c>
      <c r="K18" s="15" t="inlineStr">
        <is>
          <t>'Y'</t>
        </is>
      </c>
      <c r="L18" s="15" t="inlineStr">
        <is>
          <t>'Y'</t>
        </is>
      </c>
      <c r="M18" s="15" t="inlineStr">
        <is>
          <t>'Y'</t>
        </is>
      </c>
      <c r="N18" s="15" t="inlineStr">
        <is>
          <t xml:space="preserve"> to_timestamp('2022/01/01 0:00:00' </t>
        </is>
      </c>
      <c r="O18" s="15" t="inlineStr">
        <is>
          <t xml:space="preserve"> 'yyyy/MM/dd hh24:mi:ss')</t>
        </is>
      </c>
      <c r="Q18" s="17" t="inlineStr">
        <is>
          <t>10</t>
        </is>
      </c>
      <c r="R18" s="17" t="inlineStr">
        <is>
          <t>4</t>
        </is>
      </c>
      <c r="S18" s="17" t="inlineStr">
        <is>
          <t>Y</t>
        </is>
      </c>
      <c r="T18" s="17" t="inlineStr">
        <is>
          <t>Y</t>
        </is>
      </c>
      <c r="U18" s="17" t="inlineStr">
        <is>
          <t>Y</t>
        </is>
      </c>
      <c r="V18" s="17" t="inlineStr">
        <is>
          <t>Y</t>
        </is>
      </c>
      <c r="W18" s="17" t="inlineStr">
        <is>
          <t>Y</t>
        </is>
      </c>
      <c r="X18" s="17" t="inlineStr">
        <is>
          <t>Y</t>
        </is>
      </c>
      <c r="Y18" s="17" t="inlineStr">
        <is>
          <t>Y</t>
        </is>
      </c>
      <c r="Z18" s="17" t="inlineStr">
        <is>
          <t>Y</t>
        </is>
      </c>
      <c r="AA18" s="17" t="inlineStr">
        <is>
          <t>Y</t>
        </is>
      </c>
      <c r="AB18" s="17" t="inlineStr">
        <is>
          <t>2022/01/01 0:00:00</t>
        </is>
      </c>
      <c r="AD18" s="15" t="inlineStr">
        <is>
          <t>INSERT INTO</t>
        </is>
      </c>
      <c r="AE18" s="15" t="inlineStr">
        <is>
          <t>MST_LIST_AUTH_TBL</t>
        </is>
      </c>
      <c r="AF18" s="15" t="inlineStr">
        <is>
          <t>VALUES(</t>
        </is>
      </c>
      <c r="AG18" s="15" t="inlineStr">
        <is>
          <t>10,4, 'Y','Y','Y','Y','Y','Y','Y','Y','Y', to_timestamp('2022/01/01 0:00:00' , 'yyyy/MM/dd hh24:mi:ss')</t>
        </is>
      </c>
      <c r="AH18" s="15" t="inlineStr">
        <is>
          <t>);</t>
        </is>
      </c>
      <c r="AJ18" s="18">
        <f>EXACT(TRIM(C18),Q18&amp;"")</f>
        <v/>
      </c>
      <c r="AK18" s="18">
        <f>EXACT(TRIM(D18),R18&amp;"")</f>
        <v/>
      </c>
      <c r="AL18" s="18">
        <f>EXACT(TRIM(E18),"'"&amp;S18&amp;"'")</f>
        <v/>
      </c>
      <c r="AM18" s="18">
        <f>EXACT(TRIM(F18),"'"&amp;T18&amp;"'")</f>
        <v/>
      </c>
      <c r="AN18" s="18">
        <f>EXACT(TRIM(G18),"'"&amp;U18&amp;"'")</f>
        <v/>
      </c>
      <c r="AO18" s="18">
        <f>EXACT(TRIM(H18),"'"&amp;V18&amp;"'")</f>
        <v/>
      </c>
      <c r="AP18" s="18">
        <f>EXACT(TRIM(I18),"'"&amp;W18&amp;"'")</f>
        <v/>
      </c>
      <c r="AQ18" s="18">
        <f>EXACT(TRIM(J18),"'"&amp;X18&amp;"'")</f>
        <v/>
      </c>
      <c r="AR18" s="18">
        <f>EXACT(TRIM(K18),"'"&amp;Y18&amp;"'")</f>
        <v/>
      </c>
      <c r="AS18" s="18">
        <f>EXACT(TRIM(L18),"'"&amp;Z18&amp;"'")</f>
        <v/>
      </c>
      <c r="AT18" s="18">
        <f>EXACT(TRIM(M18),"'"&amp;AA18&amp;"'")</f>
        <v/>
      </c>
      <c r="AU18" s="18">
        <f>EXACT(TRIM(N18),"to_timestamp('"&amp;AB18&amp;"'")</f>
        <v/>
      </c>
      <c r="AV18" s="18">
        <f>AND(AJ18:AU18)</f>
        <v/>
      </c>
      <c r="AW18" s="19">
        <f>TRIM(IF(AJ18,"",$AJ$3&amp;" ")&amp;IF(AK18,"",$AK$3&amp;" ")&amp;IF(AL18,"",$AL$3&amp;" ")&amp;IF(AM18,"",$AM$3&amp;" ")&amp;IF(AN18,"",$AN$3&amp;" ")&amp;IF(AO18,"",$AO$3&amp;" ")&amp;IF(AP18,"",$AP$3&amp;" ")&amp;IF(AQ18,"",$AQ$3&amp;" ")&amp;IF(AR18,"",$AR$3&amp;" ")&amp;IF(AS18,"",$AS$3&amp;" ")&amp;IF(AT18,"",$AT$3&amp;" ")&amp;IF(AU18,"",$AU$3&amp;" "))</f>
        <v/>
      </c>
      <c r="AX18" s="18">
        <f>EXACT(SUBSTITUTE(A18," ",""),SUBSTITUTE(AD18&amp;AE18&amp;AF18&amp;AG18&amp;AH18," ",""))</f>
        <v/>
      </c>
    </row>
    <row r="19">
      <c r="A19" s="15" t="inlineStr">
        <is>
          <t>INSERT INTO MST_LIST_AUTH_TBL VALUES(10,5, 'Y','Y','Y','Y','Y','Y','Y','Y','Y', to_timestamp('2022/01/01 0:00:00' , 'yyyy/MM/dd hh24:mi:ss'));</t>
        </is>
      </c>
      <c r="B19" s="16" t="n"/>
      <c r="C19" s="15" t="inlineStr">
        <is>
          <t>10</t>
        </is>
      </c>
      <c r="D19" s="15" t="inlineStr">
        <is>
          <t>5</t>
        </is>
      </c>
      <c r="E19" s="15" t="inlineStr">
        <is>
          <t xml:space="preserve"> 'Y'</t>
        </is>
      </c>
      <c r="F19" s="15" t="inlineStr">
        <is>
          <t>'Y'</t>
        </is>
      </c>
      <c r="G19" s="15" t="inlineStr">
        <is>
          <t>'Y'</t>
        </is>
      </c>
      <c r="H19" s="15" t="inlineStr">
        <is>
          <t>'Y'</t>
        </is>
      </c>
      <c r="I19" s="15" t="inlineStr">
        <is>
          <t>'Y'</t>
        </is>
      </c>
      <c r="J19" s="15" t="inlineStr">
        <is>
          <t>'Y'</t>
        </is>
      </c>
      <c r="K19" s="15" t="inlineStr">
        <is>
          <t>'Y'</t>
        </is>
      </c>
      <c r="L19" s="15" t="inlineStr">
        <is>
          <t>'Y'</t>
        </is>
      </c>
      <c r="M19" s="15" t="inlineStr">
        <is>
          <t>'Y'</t>
        </is>
      </c>
      <c r="N19" s="15" t="inlineStr">
        <is>
          <t xml:space="preserve"> to_timestamp('2022/01/01 0:00:00' </t>
        </is>
      </c>
      <c r="O19" s="15" t="inlineStr">
        <is>
          <t xml:space="preserve"> 'yyyy/MM/dd hh24:mi:ss')</t>
        </is>
      </c>
      <c r="Q19" s="17" t="inlineStr">
        <is>
          <t>10</t>
        </is>
      </c>
      <c r="R19" s="17" t="inlineStr">
        <is>
          <t>5</t>
        </is>
      </c>
      <c r="S19" s="17" t="inlineStr">
        <is>
          <t>Y</t>
        </is>
      </c>
      <c r="T19" s="17" t="inlineStr">
        <is>
          <t>Y</t>
        </is>
      </c>
      <c r="U19" s="17" t="inlineStr">
        <is>
          <t>Y</t>
        </is>
      </c>
      <c r="V19" s="17" t="inlineStr">
        <is>
          <t>Y</t>
        </is>
      </c>
      <c r="W19" s="17" t="inlineStr">
        <is>
          <t>Y</t>
        </is>
      </c>
      <c r="X19" s="17" t="inlineStr">
        <is>
          <t>Y</t>
        </is>
      </c>
      <c r="Y19" s="17" t="inlineStr">
        <is>
          <t>Y</t>
        </is>
      </c>
      <c r="Z19" s="17" t="inlineStr">
        <is>
          <t>Y</t>
        </is>
      </c>
      <c r="AA19" s="17" t="inlineStr">
        <is>
          <t>Y</t>
        </is>
      </c>
      <c r="AB19" s="17" t="inlineStr">
        <is>
          <t>2022/01/01 0:00:00</t>
        </is>
      </c>
      <c r="AD19" s="15" t="inlineStr">
        <is>
          <t>INSERT INTO</t>
        </is>
      </c>
      <c r="AE19" s="15" t="inlineStr">
        <is>
          <t>MST_LIST_AUTH_TBL</t>
        </is>
      </c>
      <c r="AF19" s="15" t="inlineStr">
        <is>
          <t>VALUES(</t>
        </is>
      </c>
      <c r="AG19" s="15" t="inlineStr">
        <is>
          <t>10,5, 'Y','Y','Y','Y','Y','Y','Y','Y','Y', to_timestamp('2022/01/01 0:00:00' , 'yyyy/MM/dd hh24:mi:ss')</t>
        </is>
      </c>
      <c r="AH19" s="15" t="inlineStr">
        <is>
          <t>);</t>
        </is>
      </c>
      <c r="AJ19" s="18">
        <f>EXACT(TRIM(C19),Q19&amp;"")</f>
        <v/>
      </c>
      <c r="AK19" s="18">
        <f>EXACT(TRIM(D19),R19&amp;"")</f>
        <v/>
      </c>
      <c r="AL19" s="18">
        <f>EXACT(TRIM(E19),"'"&amp;S19&amp;"'")</f>
        <v/>
      </c>
      <c r="AM19" s="18">
        <f>EXACT(TRIM(F19),"'"&amp;T19&amp;"'")</f>
        <v/>
      </c>
      <c r="AN19" s="18">
        <f>EXACT(TRIM(G19),"'"&amp;U19&amp;"'")</f>
        <v/>
      </c>
      <c r="AO19" s="18">
        <f>EXACT(TRIM(H19),"'"&amp;V19&amp;"'")</f>
        <v/>
      </c>
      <c r="AP19" s="18">
        <f>EXACT(TRIM(I19),"'"&amp;W19&amp;"'")</f>
        <v/>
      </c>
      <c r="AQ19" s="18">
        <f>EXACT(TRIM(J19),"'"&amp;X19&amp;"'")</f>
        <v/>
      </c>
      <c r="AR19" s="18">
        <f>EXACT(TRIM(K19),"'"&amp;Y19&amp;"'")</f>
        <v/>
      </c>
      <c r="AS19" s="18">
        <f>EXACT(TRIM(L19),"'"&amp;Z19&amp;"'")</f>
        <v/>
      </c>
      <c r="AT19" s="18">
        <f>EXACT(TRIM(M19),"'"&amp;AA19&amp;"'")</f>
        <v/>
      </c>
      <c r="AU19" s="18">
        <f>EXACT(TRIM(N19),"to_timestamp('"&amp;AB19&amp;"'")</f>
        <v/>
      </c>
      <c r="AV19" s="18">
        <f>AND(AJ19:AU19)</f>
        <v/>
      </c>
      <c r="AW19" s="19">
        <f>TRIM(IF(AJ19,"",$AJ$3&amp;" ")&amp;IF(AK19,"",$AK$3&amp;" ")&amp;IF(AL19,"",$AL$3&amp;" ")&amp;IF(AM19,"",$AM$3&amp;" ")&amp;IF(AN19,"",$AN$3&amp;" ")&amp;IF(AO19,"",$AO$3&amp;" ")&amp;IF(AP19,"",$AP$3&amp;" ")&amp;IF(AQ19,"",$AQ$3&amp;" ")&amp;IF(AR19,"",$AR$3&amp;" ")&amp;IF(AS19,"",$AS$3&amp;" ")&amp;IF(AT19,"",$AT$3&amp;" ")&amp;IF(AU19,"",$AU$3&amp;" "))</f>
        <v/>
      </c>
      <c r="AX19" s="18">
        <f>EXACT(SUBSTITUTE(A19," ",""),SUBSTITUTE(AD19&amp;AE19&amp;AF19&amp;AG19&amp;AH19," ",""))</f>
        <v/>
      </c>
    </row>
    <row r="20">
      <c r="A20" s="15" t="inlineStr">
        <is>
          <t>INSERT INTO MST_LIST_AUTH_TBL VALUES(10,6, 'Y','Y','Y','Y','Y','Y','Y','N','Y', to_timestamp('2022/01/01 0:00:00' , 'yyyy/MM/dd hh24:mi:ss'));</t>
        </is>
      </c>
      <c r="B20" s="16" t="n"/>
      <c r="C20" s="15" t="inlineStr">
        <is>
          <t>10</t>
        </is>
      </c>
      <c r="D20" s="15" t="inlineStr">
        <is>
          <t>6</t>
        </is>
      </c>
      <c r="E20" s="15" t="inlineStr">
        <is>
          <t xml:space="preserve"> 'Y'</t>
        </is>
      </c>
      <c r="F20" s="15" t="inlineStr">
        <is>
          <t>'Y'</t>
        </is>
      </c>
      <c r="G20" s="15" t="inlineStr">
        <is>
          <t>'Y'</t>
        </is>
      </c>
      <c r="H20" s="15" t="inlineStr">
        <is>
          <t>'Y'</t>
        </is>
      </c>
      <c r="I20" s="15" t="inlineStr">
        <is>
          <t>'Y'</t>
        </is>
      </c>
      <c r="J20" s="15" t="inlineStr">
        <is>
          <t>'Y'</t>
        </is>
      </c>
      <c r="K20" s="15" t="inlineStr">
        <is>
          <t>'Y'</t>
        </is>
      </c>
      <c r="L20" s="15" t="inlineStr">
        <is>
          <t>'N'</t>
        </is>
      </c>
      <c r="M20" s="15" t="inlineStr">
        <is>
          <t>'Y'</t>
        </is>
      </c>
      <c r="N20" s="15" t="inlineStr">
        <is>
          <t xml:space="preserve"> to_timestamp('2022/01/01 0:00:00' </t>
        </is>
      </c>
      <c r="O20" s="15" t="inlineStr">
        <is>
          <t xml:space="preserve"> 'yyyy/MM/dd hh24:mi:ss')</t>
        </is>
      </c>
      <c r="Q20" s="17" t="inlineStr">
        <is>
          <t>10</t>
        </is>
      </c>
      <c r="R20" s="17" t="inlineStr">
        <is>
          <t>6</t>
        </is>
      </c>
      <c r="S20" s="17" t="inlineStr">
        <is>
          <t>Y</t>
        </is>
      </c>
      <c r="T20" s="17" t="inlineStr">
        <is>
          <t>Y</t>
        </is>
      </c>
      <c r="U20" s="17" t="inlineStr">
        <is>
          <t>Y</t>
        </is>
      </c>
      <c r="V20" s="17" t="inlineStr">
        <is>
          <t>Y</t>
        </is>
      </c>
      <c r="W20" s="17" t="inlineStr">
        <is>
          <t>Y</t>
        </is>
      </c>
      <c r="X20" s="17" t="inlineStr">
        <is>
          <t>Y</t>
        </is>
      </c>
      <c r="Y20" s="17" t="inlineStr">
        <is>
          <t>Y</t>
        </is>
      </c>
      <c r="Z20" s="17" t="inlineStr">
        <is>
          <t>N</t>
        </is>
      </c>
      <c r="AA20" s="17" t="inlineStr">
        <is>
          <t>Y</t>
        </is>
      </c>
      <c r="AB20" s="17" t="inlineStr">
        <is>
          <t>2022/01/01 0:00:00</t>
        </is>
      </c>
      <c r="AD20" s="15" t="inlineStr">
        <is>
          <t>INSERT INTO</t>
        </is>
      </c>
      <c r="AE20" s="15" t="inlineStr">
        <is>
          <t>MST_LIST_AUTH_TBL</t>
        </is>
      </c>
      <c r="AF20" s="15" t="inlineStr">
        <is>
          <t>VALUES(</t>
        </is>
      </c>
      <c r="AG20" s="15" t="inlineStr">
        <is>
          <t>10,6, 'Y','Y','Y','Y','Y','Y','Y','N','Y', to_timestamp('2022/01/01 0:00:00' , 'yyyy/MM/dd hh24:mi:ss')</t>
        </is>
      </c>
      <c r="AH20" s="15" t="inlineStr">
        <is>
          <t>);</t>
        </is>
      </c>
      <c r="AJ20" s="18">
        <f>EXACT(TRIM(C20),Q20&amp;"")</f>
        <v/>
      </c>
      <c r="AK20" s="18">
        <f>EXACT(TRIM(D20),R20&amp;"")</f>
        <v/>
      </c>
      <c r="AL20" s="18">
        <f>EXACT(TRIM(E20),"'"&amp;S20&amp;"'")</f>
        <v/>
      </c>
      <c r="AM20" s="18">
        <f>EXACT(TRIM(F20),"'"&amp;T20&amp;"'")</f>
        <v/>
      </c>
      <c r="AN20" s="18">
        <f>EXACT(TRIM(G20),"'"&amp;U20&amp;"'")</f>
        <v/>
      </c>
      <c r="AO20" s="18">
        <f>EXACT(TRIM(H20),"'"&amp;V20&amp;"'")</f>
        <v/>
      </c>
      <c r="AP20" s="18">
        <f>EXACT(TRIM(I20),"'"&amp;W20&amp;"'")</f>
        <v/>
      </c>
      <c r="AQ20" s="18">
        <f>EXACT(TRIM(J20),"'"&amp;X20&amp;"'")</f>
        <v/>
      </c>
      <c r="AR20" s="18">
        <f>EXACT(TRIM(K20),"'"&amp;Y20&amp;"'")</f>
        <v/>
      </c>
      <c r="AS20" s="18">
        <f>EXACT(TRIM(L20),"'"&amp;Z20&amp;"'")</f>
        <v/>
      </c>
      <c r="AT20" s="18">
        <f>EXACT(TRIM(M20),"'"&amp;AA20&amp;"'")</f>
        <v/>
      </c>
      <c r="AU20" s="18">
        <f>EXACT(TRIM(N20),"to_timestamp('"&amp;AB20&amp;"'")</f>
        <v/>
      </c>
      <c r="AV20" s="18">
        <f>AND(AJ20:AU20)</f>
        <v/>
      </c>
      <c r="AW20" s="19">
        <f>TRIM(IF(AJ20,"",$AJ$3&amp;" ")&amp;IF(AK20,"",$AK$3&amp;" ")&amp;IF(AL20,"",$AL$3&amp;" ")&amp;IF(AM20,"",$AM$3&amp;" ")&amp;IF(AN20,"",$AN$3&amp;" ")&amp;IF(AO20,"",$AO$3&amp;" ")&amp;IF(AP20,"",$AP$3&amp;" ")&amp;IF(AQ20,"",$AQ$3&amp;" ")&amp;IF(AR20,"",$AR$3&amp;" ")&amp;IF(AS20,"",$AS$3&amp;" ")&amp;IF(AT20,"",$AT$3&amp;" ")&amp;IF(AU20,"",$AU$3&amp;" "))</f>
        <v/>
      </c>
      <c r="AX20" s="18">
        <f>EXACT(SUBSTITUTE(A20," ",""),SUBSTITUTE(AD20&amp;AE20&amp;AF20&amp;AG20&amp;AH20," ",""))</f>
        <v/>
      </c>
    </row>
    <row r="21">
      <c r="A21" s="15" t="inlineStr">
        <is>
          <t>INSERT INTO MST_LIST_AUTH_TBL VALUES(10,7, 'Y','Y','Y','Y','Y','Y','Y','Y','Y', to_timestamp('2022/01/01 0:00:00' , 'yyyy/MM/dd hh24:mi:ss'));</t>
        </is>
      </c>
      <c r="B21" s="16" t="n"/>
      <c r="C21" s="15" t="inlineStr">
        <is>
          <t>10</t>
        </is>
      </c>
      <c r="D21" s="15" t="inlineStr">
        <is>
          <t>7</t>
        </is>
      </c>
      <c r="E21" s="15" t="inlineStr">
        <is>
          <t xml:space="preserve"> 'Y'</t>
        </is>
      </c>
      <c r="F21" s="15" t="inlineStr">
        <is>
          <t>'Y'</t>
        </is>
      </c>
      <c r="G21" s="15" t="inlineStr">
        <is>
          <t>'Y'</t>
        </is>
      </c>
      <c r="H21" s="15" t="inlineStr">
        <is>
          <t>'Y'</t>
        </is>
      </c>
      <c r="I21" s="15" t="inlineStr">
        <is>
          <t>'Y'</t>
        </is>
      </c>
      <c r="J21" s="15" t="inlineStr">
        <is>
          <t>'Y'</t>
        </is>
      </c>
      <c r="K21" s="15" t="inlineStr">
        <is>
          <t>'Y'</t>
        </is>
      </c>
      <c r="L21" s="15" t="inlineStr">
        <is>
          <t>'Y'</t>
        </is>
      </c>
      <c r="M21" s="15" t="inlineStr">
        <is>
          <t>'Y'</t>
        </is>
      </c>
      <c r="N21" s="15" t="inlineStr">
        <is>
          <t xml:space="preserve"> to_timestamp('2022/01/01 0:00:00' </t>
        </is>
      </c>
      <c r="O21" s="15" t="inlineStr">
        <is>
          <t xml:space="preserve"> 'yyyy/MM/dd hh24:mi:ss')</t>
        </is>
      </c>
      <c r="Q21" s="17" t="inlineStr">
        <is>
          <t>10</t>
        </is>
      </c>
      <c r="R21" s="17" t="inlineStr">
        <is>
          <t>7</t>
        </is>
      </c>
      <c r="S21" s="17" t="inlineStr">
        <is>
          <t>Y</t>
        </is>
      </c>
      <c r="T21" s="17" t="inlineStr">
        <is>
          <t>Y</t>
        </is>
      </c>
      <c r="U21" s="17" t="inlineStr">
        <is>
          <t>Y</t>
        </is>
      </c>
      <c r="V21" s="17" t="inlineStr">
        <is>
          <t>Y</t>
        </is>
      </c>
      <c r="W21" s="17" t="inlineStr">
        <is>
          <t>Y</t>
        </is>
      </c>
      <c r="X21" s="17" t="inlineStr">
        <is>
          <t>Y</t>
        </is>
      </c>
      <c r="Y21" s="17" t="inlineStr">
        <is>
          <t>Y</t>
        </is>
      </c>
      <c r="Z21" s="17" t="inlineStr">
        <is>
          <t>Y</t>
        </is>
      </c>
      <c r="AA21" s="17" t="inlineStr">
        <is>
          <t>Y</t>
        </is>
      </c>
      <c r="AB21" s="17" t="inlineStr">
        <is>
          <t>2022/01/01 0:00:00</t>
        </is>
      </c>
      <c r="AD21" s="15" t="inlineStr">
        <is>
          <t>INSERT INTO</t>
        </is>
      </c>
      <c r="AE21" s="15" t="inlineStr">
        <is>
          <t>MST_LIST_AUTH_TBL</t>
        </is>
      </c>
      <c r="AF21" s="15" t="inlineStr">
        <is>
          <t>VALUES(</t>
        </is>
      </c>
      <c r="AG21" s="15" t="inlineStr">
        <is>
          <t>10,7, 'Y','Y','Y','Y','Y','Y','Y','Y','Y', to_timestamp('2022/01/01 0:00:00' , 'yyyy/MM/dd hh24:mi:ss')</t>
        </is>
      </c>
      <c r="AH21" s="15" t="inlineStr">
        <is>
          <t>);</t>
        </is>
      </c>
      <c r="AJ21" s="18">
        <f>EXACT(TRIM(C21),Q21&amp;"")</f>
        <v/>
      </c>
      <c r="AK21" s="18">
        <f>EXACT(TRIM(D21),R21&amp;"")</f>
        <v/>
      </c>
      <c r="AL21" s="18">
        <f>EXACT(TRIM(E21),"'"&amp;S21&amp;"'")</f>
        <v/>
      </c>
      <c r="AM21" s="18">
        <f>EXACT(TRIM(F21),"'"&amp;T21&amp;"'")</f>
        <v/>
      </c>
      <c r="AN21" s="18">
        <f>EXACT(TRIM(G21),"'"&amp;U21&amp;"'")</f>
        <v/>
      </c>
      <c r="AO21" s="18">
        <f>EXACT(TRIM(H21),"'"&amp;V21&amp;"'")</f>
        <v/>
      </c>
      <c r="AP21" s="18">
        <f>EXACT(TRIM(I21),"'"&amp;W21&amp;"'")</f>
        <v/>
      </c>
      <c r="AQ21" s="18">
        <f>EXACT(TRIM(J21),"'"&amp;X21&amp;"'")</f>
        <v/>
      </c>
      <c r="AR21" s="18">
        <f>EXACT(TRIM(K21),"'"&amp;Y21&amp;"'")</f>
        <v/>
      </c>
      <c r="AS21" s="18">
        <f>EXACT(TRIM(L21),"'"&amp;Z21&amp;"'")</f>
        <v/>
      </c>
      <c r="AT21" s="18">
        <f>EXACT(TRIM(M21),"'"&amp;AA21&amp;"'")</f>
        <v/>
      </c>
      <c r="AU21" s="18">
        <f>EXACT(TRIM(N21),"to_timestamp('"&amp;AB21&amp;"'")</f>
        <v/>
      </c>
      <c r="AV21" s="18">
        <f>AND(AJ21:AU21)</f>
        <v/>
      </c>
      <c r="AW21" s="19">
        <f>TRIM(IF(AJ21,"",$AJ$3&amp;" ")&amp;IF(AK21,"",$AK$3&amp;" ")&amp;IF(AL21,"",$AL$3&amp;" ")&amp;IF(AM21,"",$AM$3&amp;" ")&amp;IF(AN21,"",$AN$3&amp;" ")&amp;IF(AO21,"",$AO$3&amp;" ")&amp;IF(AP21,"",$AP$3&amp;" ")&amp;IF(AQ21,"",$AQ$3&amp;" ")&amp;IF(AR21,"",$AR$3&amp;" ")&amp;IF(AS21,"",$AS$3&amp;" ")&amp;IF(AT21,"",$AT$3&amp;" ")&amp;IF(AU21,"",$AU$3&amp;" "))</f>
        <v/>
      </c>
      <c r="AX21" s="18">
        <f>EXACT(SUBSTITUTE(A21," ",""),SUBSTITUTE(AD21&amp;AE21&amp;AF21&amp;AG21&amp;AH21," ",""))</f>
        <v/>
      </c>
    </row>
    <row r="22">
      <c r="A22" s="15" t="inlineStr">
        <is>
          <t>INSERT INTO MST_LIST_AUTH_TBL VALUES(10,8, 'Y','Y','Y','Y','Y','Y','Y','Y','Y', to_timestamp('2022/01/01 0:00:00' , 'yyyy/MM/dd hh24:mi:ss'));</t>
        </is>
      </c>
      <c r="B22" s="16" t="n"/>
      <c r="C22" s="15" t="inlineStr">
        <is>
          <t>10</t>
        </is>
      </c>
      <c r="D22" s="15" t="inlineStr">
        <is>
          <t>8</t>
        </is>
      </c>
      <c r="E22" s="15" t="inlineStr">
        <is>
          <t xml:space="preserve"> 'Y'</t>
        </is>
      </c>
      <c r="F22" s="15" t="inlineStr">
        <is>
          <t>'Y'</t>
        </is>
      </c>
      <c r="G22" s="15" t="inlineStr">
        <is>
          <t>'Y'</t>
        </is>
      </c>
      <c r="H22" s="15" t="inlineStr">
        <is>
          <t>'Y'</t>
        </is>
      </c>
      <c r="I22" s="15" t="inlineStr">
        <is>
          <t>'Y'</t>
        </is>
      </c>
      <c r="J22" s="15" t="inlineStr">
        <is>
          <t>'Y'</t>
        </is>
      </c>
      <c r="K22" s="15" t="inlineStr">
        <is>
          <t>'Y'</t>
        </is>
      </c>
      <c r="L22" s="15" t="inlineStr">
        <is>
          <t>'Y'</t>
        </is>
      </c>
      <c r="M22" s="15" t="inlineStr">
        <is>
          <t>'Y'</t>
        </is>
      </c>
      <c r="N22" s="15" t="inlineStr">
        <is>
          <t xml:space="preserve"> to_timestamp('2022/01/01 0:00:00' </t>
        </is>
      </c>
      <c r="O22" s="15" t="inlineStr">
        <is>
          <t xml:space="preserve"> 'yyyy/MM/dd hh24:mi:ss')</t>
        </is>
      </c>
      <c r="Q22" s="17" t="inlineStr">
        <is>
          <t>10</t>
        </is>
      </c>
      <c r="R22" s="17" t="inlineStr">
        <is>
          <t>8</t>
        </is>
      </c>
      <c r="S22" s="17" t="inlineStr">
        <is>
          <t>Y</t>
        </is>
      </c>
      <c r="T22" s="17" t="inlineStr">
        <is>
          <t>Y</t>
        </is>
      </c>
      <c r="U22" s="17" t="inlineStr">
        <is>
          <t>Y</t>
        </is>
      </c>
      <c r="V22" s="17" t="inlineStr">
        <is>
          <t>Y</t>
        </is>
      </c>
      <c r="W22" s="17" t="inlineStr">
        <is>
          <t>Y</t>
        </is>
      </c>
      <c r="X22" s="17" t="inlineStr">
        <is>
          <t>Y</t>
        </is>
      </c>
      <c r="Y22" s="17" t="inlineStr">
        <is>
          <t>Y</t>
        </is>
      </c>
      <c r="Z22" s="17" t="inlineStr">
        <is>
          <t>Y</t>
        </is>
      </c>
      <c r="AA22" s="17" t="inlineStr">
        <is>
          <t>Y</t>
        </is>
      </c>
      <c r="AB22" s="17" t="inlineStr">
        <is>
          <t>2022/01/01 0:00:00</t>
        </is>
      </c>
      <c r="AD22" s="15" t="inlineStr">
        <is>
          <t>INSERT INTO</t>
        </is>
      </c>
      <c r="AE22" s="15" t="inlineStr">
        <is>
          <t>MST_LIST_AUTH_TBL</t>
        </is>
      </c>
      <c r="AF22" s="15" t="inlineStr">
        <is>
          <t>VALUES(</t>
        </is>
      </c>
      <c r="AG22" s="15" t="inlineStr">
        <is>
          <t>10,8, 'Y','Y','Y','Y','Y','Y','Y','Y','Y', to_timestamp('2022/01/01 0:00:00' , 'yyyy/MM/dd hh24:mi:ss')</t>
        </is>
      </c>
      <c r="AH22" s="15" t="inlineStr">
        <is>
          <t>);</t>
        </is>
      </c>
      <c r="AJ22" s="18">
        <f>EXACT(TRIM(C22),Q22&amp;"")</f>
        <v/>
      </c>
      <c r="AK22" s="18">
        <f>EXACT(TRIM(D22),R22&amp;"")</f>
        <v/>
      </c>
      <c r="AL22" s="18">
        <f>EXACT(TRIM(E22),"'"&amp;S22&amp;"'")</f>
        <v/>
      </c>
      <c r="AM22" s="18">
        <f>EXACT(TRIM(F22),"'"&amp;T22&amp;"'")</f>
        <v/>
      </c>
      <c r="AN22" s="18">
        <f>EXACT(TRIM(G22),"'"&amp;U22&amp;"'")</f>
        <v/>
      </c>
      <c r="AO22" s="18">
        <f>EXACT(TRIM(H22),"'"&amp;V22&amp;"'")</f>
        <v/>
      </c>
      <c r="AP22" s="18">
        <f>EXACT(TRIM(I22),"'"&amp;W22&amp;"'")</f>
        <v/>
      </c>
      <c r="AQ22" s="18">
        <f>EXACT(TRIM(J22),"'"&amp;X22&amp;"'")</f>
        <v/>
      </c>
      <c r="AR22" s="18">
        <f>EXACT(TRIM(K22),"'"&amp;Y22&amp;"'")</f>
        <v/>
      </c>
      <c r="AS22" s="18">
        <f>EXACT(TRIM(L22),"'"&amp;Z22&amp;"'")</f>
        <v/>
      </c>
      <c r="AT22" s="18">
        <f>EXACT(TRIM(M22),"'"&amp;AA22&amp;"'")</f>
        <v/>
      </c>
      <c r="AU22" s="18">
        <f>EXACT(TRIM(N22),"to_timestamp('"&amp;AB22&amp;"'")</f>
        <v/>
      </c>
      <c r="AV22" s="18">
        <f>AND(AJ22:AU22)</f>
        <v/>
      </c>
      <c r="AW22" s="19">
        <f>TRIM(IF(AJ22,"",$AJ$3&amp;" ")&amp;IF(AK22,"",$AK$3&amp;" ")&amp;IF(AL22,"",$AL$3&amp;" ")&amp;IF(AM22,"",$AM$3&amp;" ")&amp;IF(AN22,"",$AN$3&amp;" ")&amp;IF(AO22,"",$AO$3&amp;" ")&amp;IF(AP22,"",$AP$3&amp;" ")&amp;IF(AQ22,"",$AQ$3&amp;" ")&amp;IF(AR22,"",$AR$3&amp;" ")&amp;IF(AS22,"",$AS$3&amp;" ")&amp;IF(AT22,"",$AT$3&amp;" ")&amp;IF(AU22,"",$AU$3&amp;" "))</f>
        <v/>
      </c>
      <c r="AX22" s="18">
        <f>EXACT(SUBSTITUTE(A22," ",""),SUBSTITUTE(AD22&amp;AE22&amp;AF22&amp;AG22&amp;AH22," ",""))</f>
        <v/>
      </c>
    </row>
    <row r="23">
      <c r="A23" s="15" t="inlineStr">
        <is>
          <t>INSERT INTO MST_LIST_AUTH_TBL VALUES(10,9, 'Y','Y','Y','Y','Y','Y','Y','Y','Y', to_timestamp('2022/01/01 0:00:00' , 'yyyy/MM/dd hh24:mi:ss'));</t>
        </is>
      </c>
      <c r="B23" s="16" t="n"/>
      <c r="C23" s="15" t="inlineStr">
        <is>
          <t>10</t>
        </is>
      </c>
      <c r="D23" s="15" t="inlineStr">
        <is>
          <t>9</t>
        </is>
      </c>
      <c r="E23" s="15" t="inlineStr">
        <is>
          <t xml:space="preserve"> 'Y'</t>
        </is>
      </c>
      <c r="F23" s="15" t="inlineStr">
        <is>
          <t>'Y'</t>
        </is>
      </c>
      <c r="G23" s="15" t="inlineStr">
        <is>
          <t>'Y'</t>
        </is>
      </c>
      <c r="H23" s="15" t="inlineStr">
        <is>
          <t>'Y'</t>
        </is>
      </c>
      <c r="I23" s="15" t="inlineStr">
        <is>
          <t>'Y'</t>
        </is>
      </c>
      <c r="J23" s="15" t="inlineStr">
        <is>
          <t>'Y'</t>
        </is>
      </c>
      <c r="K23" s="15" t="inlineStr">
        <is>
          <t>'Y'</t>
        </is>
      </c>
      <c r="L23" s="15" t="inlineStr">
        <is>
          <t>'Y'</t>
        </is>
      </c>
      <c r="M23" s="15" t="inlineStr">
        <is>
          <t>'Y'</t>
        </is>
      </c>
      <c r="N23" s="15" t="inlineStr">
        <is>
          <t xml:space="preserve"> to_timestamp('2022/01/01 0:00:00' </t>
        </is>
      </c>
      <c r="O23" s="15" t="inlineStr">
        <is>
          <t xml:space="preserve"> 'yyyy/MM/dd hh24:mi:ss')</t>
        </is>
      </c>
      <c r="Q23" s="17" t="inlineStr">
        <is>
          <t>10</t>
        </is>
      </c>
      <c r="R23" s="17" t="inlineStr">
        <is>
          <t>9</t>
        </is>
      </c>
      <c r="S23" s="17" t="inlineStr">
        <is>
          <t>Y</t>
        </is>
      </c>
      <c r="T23" s="17" t="inlineStr">
        <is>
          <t>Y</t>
        </is>
      </c>
      <c r="U23" s="17" t="inlineStr">
        <is>
          <t>Y</t>
        </is>
      </c>
      <c r="V23" s="17" t="inlineStr">
        <is>
          <t>Y</t>
        </is>
      </c>
      <c r="W23" s="17" t="inlineStr">
        <is>
          <t>Y</t>
        </is>
      </c>
      <c r="X23" s="17" t="inlineStr">
        <is>
          <t>Y</t>
        </is>
      </c>
      <c r="Y23" s="17" t="inlineStr">
        <is>
          <t>Y</t>
        </is>
      </c>
      <c r="Z23" s="17" t="inlineStr">
        <is>
          <t>Y</t>
        </is>
      </c>
      <c r="AA23" s="17" t="inlineStr">
        <is>
          <t>Y</t>
        </is>
      </c>
      <c r="AB23" s="17" t="inlineStr">
        <is>
          <t>2022/01/01 0:00:00</t>
        </is>
      </c>
      <c r="AD23" s="15" t="inlineStr">
        <is>
          <t>INSERT INTO</t>
        </is>
      </c>
      <c r="AE23" s="15" t="inlineStr">
        <is>
          <t>MST_LIST_AUTH_TBL</t>
        </is>
      </c>
      <c r="AF23" s="15" t="inlineStr">
        <is>
          <t>VALUES(</t>
        </is>
      </c>
      <c r="AG23" s="15" t="inlineStr">
        <is>
          <t>10,9, 'Y','Y','Y','Y','Y','Y','Y','Y','Y', to_timestamp('2022/01/01 0:00:00' , 'yyyy/MM/dd hh24:mi:ss')</t>
        </is>
      </c>
      <c r="AH23" s="15" t="inlineStr">
        <is>
          <t>);</t>
        </is>
      </c>
      <c r="AJ23" s="18">
        <f>EXACT(TRIM(C23),Q23&amp;"")</f>
        <v/>
      </c>
      <c r="AK23" s="18">
        <f>EXACT(TRIM(D23),R23&amp;"")</f>
        <v/>
      </c>
      <c r="AL23" s="18">
        <f>EXACT(TRIM(E23),"'"&amp;S23&amp;"'")</f>
        <v/>
      </c>
      <c r="AM23" s="18">
        <f>EXACT(TRIM(F23),"'"&amp;T23&amp;"'")</f>
        <v/>
      </c>
      <c r="AN23" s="18">
        <f>EXACT(TRIM(G23),"'"&amp;U23&amp;"'")</f>
        <v/>
      </c>
      <c r="AO23" s="18">
        <f>EXACT(TRIM(H23),"'"&amp;V23&amp;"'")</f>
        <v/>
      </c>
      <c r="AP23" s="18">
        <f>EXACT(TRIM(I23),"'"&amp;W23&amp;"'")</f>
        <v/>
      </c>
      <c r="AQ23" s="18">
        <f>EXACT(TRIM(J23),"'"&amp;X23&amp;"'")</f>
        <v/>
      </c>
      <c r="AR23" s="18">
        <f>EXACT(TRIM(K23),"'"&amp;Y23&amp;"'")</f>
        <v/>
      </c>
      <c r="AS23" s="18">
        <f>EXACT(TRIM(L23),"'"&amp;Z23&amp;"'")</f>
        <v/>
      </c>
      <c r="AT23" s="18">
        <f>EXACT(TRIM(M23),"'"&amp;AA23&amp;"'")</f>
        <v/>
      </c>
      <c r="AU23" s="18">
        <f>EXACT(TRIM(N23),"to_timestamp('"&amp;AB23&amp;"'")</f>
        <v/>
      </c>
      <c r="AV23" s="18">
        <f>AND(AJ23:AU23)</f>
        <v/>
      </c>
      <c r="AW23" s="19">
        <f>TRIM(IF(AJ23,"",$AJ$3&amp;" ")&amp;IF(AK23,"",$AK$3&amp;" ")&amp;IF(AL23,"",$AL$3&amp;" ")&amp;IF(AM23,"",$AM$3&amp;" ")&amp;IF(AN23,"",$AN$3&amp;" ")&amp;IF(AO23,"",$AO$3&amp;" ")&amp;IF(AP23,"",$AP$3&amp;" ")&amp;IF(AQ23,"",$AQ$3&amp;" ")&amp;IF(AR23,"",$AR$3&amp;" ")&amp;IF(AS23,"",$AS$3&amp;" ")&amp;IF(AT23,"",$AT$3&amp;" ")&amp;IF(AU23,"",$AU$3&amp;" "))</f>
        <v/>
      </c>
      <c r="AX23" s="18">
        <f>EXACT(SUBSTITUTE(A23," ",""),SUBSTITUTE(AD23&amp;AE23&amp;AF23&amp;AG23&amp;AH23," ",""))</f>
        <v/>
      </c>
    </row>
    <row r="24">
      <c r="A24" s="15" t="inlineStr">
        <is>
          <t>INSERT INTO MST_LIST_AUTH_TBL VALUES(10,11, 'Y','Y','Y','Y','Y','Y','Y','Y','Y', to_timestamp('2022/01/01 0:00:00' , 'yyyy/MM/dd hh24:mi:ss'));</t>
        </is>
      </c>
      <c r="B24" s="16" t="n"/>
      <c r="C24" s="15" t="inlineStr">
        <is>
          <t>10</t>
        </is>
      </c>
      <c r="D24" s="15" t="inlineStr">
        <is>
          <t>11</t>
        </is>
      </c>
      <c r="E24" s="15" t="inlineStr">
        <is>
          <t xml:space="preserve"> 'Y'</t>
        </is>
      </c>
      <c r="F24" s="15" t="inlineStr">
        <is>
          <t>'Y'</t>
        </is>
      </c>
      <c r="G24" s="15" t="inlineStr">
        <is>
          <t>'Y'</t>
        </is>
      </c>
      <c r="H24" s="15" t="inlineStr">
        <is>
          <t>'Y'</t>
        </is>
      </c>
      <c r="I24" s="15" t="inlineStr">
        <is>
          <t>'Y'</t>
        </is>
      </c>
      <c r="J24" s="15" t="inlineStr">
        <is>
          <t>'Y'</t>
        </is>
      </c>
      <c r="K24" s="15" t="inlineStr">
        <is>
          <t>'Y'</t>
        </is>
      </c>
      <c r="L24" s="15" t="inlineStr">
        <is>
          <t>'Y'</t>
        </is>
      </c>
      <c r="M24" s="15" t="inlineStr">
        <is>
          <t>'Y'</t>
        </is>
      </c>
      <c r="N24" s="15" t="inlineStr">
        <is>
          <t xml:space="preserve"> to_timestamp('2022/01/01 0:00:00' </t>
        </is>
      </c>
      <c r="O24" s="15" t="inlineStr">
        <is>
          <t xml:space="preserve"> 'yyyy/MM/dd hh24:mi:ss')</t>
        </is>
      </c>
      <c r="Q24" s="17" t="inlineStr">
        <is>
          <t>10</t>
        </is>
      </c>
      <c r="R24" s="17" t="inlineStr">
        <is>
          <t>11</t>
        </is>
      </c>
      <c r="S24" s="17" t="inlineStr">
        <is>
          <t>Y</t>
        </is>
      </c>
      <c r="T24" s="17" t="inlineStr">
        <is>
          <t>Y</t>
        </is>
      </c>
      <c r="U24" s="17" t="inlineStr">
        <is>
          <t>Y</t>
        </is>
      </c>
      <c r="V24" s="17" t="inlineStr">
        <is>
          <t>Y</t>
        </is>
      </c>
      <c r="W24" s="17" t="inlineStr">
        <is>
          <t>Y</t>
        </is>
      </c>
      <c r="X24" s="17" t="inlineStr">
        <is>
          <t>Y</t>
        </is>
      </c>
      <c r="Y24" s="17" t="inlineStr">
        <is>
          <t>Y</t>
        </is>
      </c>
      <c r="Z24" s="17" t="inlineStr">
        <is>
          <t>Y</t>
        </is>
      </c>
      <c r="AA24" s="17" t="inlineStr">
        <is>
          <t>Y</t>
        </is>
      </c>
      <c r="AB24" s="17" t="inlineStr">
        <is>
          <t>2022/01/01 0:00:00</t>
        </is>
      </c>
      <c r="AD24" s="15" t="inlineStr">
        <is>
          <t>INSERT INTO</t>
        </is>
      </c>
      <c r="AE24" s="15" t="inlineStr">
        <is>
          <t>MST_LIST_AUTH_TBL</t>
        </is>
      </c>
      <c r="AF24" s="15" t="inlineStr">
        <is>
          <t>VALUES(</t>
        </is>
      </c>
      <c r="AG24" s="15" t="inlineStr">
        <is>
          <t>10,11, 'Y','Y','Y','Y','Y','Y','Y','Y','Y', to_timestamp('2022/01/01 0:00:00' , 'yyyy/MM/dd hh24:mi:ss')</t>
        </is>
      </c>
      <c r="AH24" s="15" t="inlineStr">
        <is>
          <t>);</t>
        </is>
      </c>
      <c r="AJ24" s="18">
        <f>EXACT(TRIM(C24),Q24&amp;"")</f>
        <v/>
      </c>
      <c r="AK24" s="18">
        <f>EXACT(TRIM(D24),R24&amp;"")</f>
        <v/>
      </c>
      <c r="AL24" s="18">
        <f>EXACT(TRIM(E24),"'"&amp;S24&amp;"'")</f>
        <v/>
      </c>
      <c r="AM24" s="18">
        <f>EXACT(TRIM(F24),"'"&amp;T24&amp;"'")</f>
        <v/>
      </c>
      <c r="AN24" s="18">
        <f>EXACT(TRIM(G24),"'"&amp;U24&amp;"'")</f>
        <v/>
      </c>
      <c r="AO24" s="18">
        <f>EXACT(TRIM(H24),"'"&amp;V24&amp;"'")</f>
        <v/>
      </c>
      <c r="AP24" s="18">
        <f>EXACT(TRIM(I24),"'"&amp;W24&amp;"'")</f>
        <v/>
      </c>
      <c r="AQ24" s="18">
        <f>EXACT(TRIM(J24),"'"&amp;X24&amp;"'")</f>
        <v/>
      </c>
      <c r="AR24" s="18">
        <f>EXACT(TRIM(K24),"'"&amp;Y24&amp;"'")</f>
        <v/>
      </c>
      <c r="AS24" s="18">
        <f>EXACT(TRIM(L24),"'"&amp;Z24&amp;"'")</f>
        <v/>
      </c>
      <c r="AT24" s="18">
        <f>EXACT(TRIM(M24),"'"&amp;AA24&amp;"'")</f>
        <v/>
      </c>
      <c r="AU24" s="18">
        <f>EXACT(TRIM(N24),"to_timestamp('"&amp;AB24&amp;"'")</f>
        <v/>
      </c>
      <c r="AV24" s="18">
        <f>AND(AJ24:AU24)</f>
        <v/>
      </c>
      <c r="AW24" s="19">
        <f>TRIM(IF(AJ24,"",$AJ$3&amp;" ")&amp;IF(AK24,"",$AK$3&amp;" ")&amp;IF(AL24,"",$AL$3&amp;" ")&amp;IF(AM24,"",$AM$3&amp;" ")&amp;IF(AN24,"",$AN$3&amp;" ")&amp;IF(AO24,"",$AO$3&amp;" ")&amp;IF(AP24,"",$AP$3&amp;" ")&amp;IF(AQ24,"",$AQ$3&amp;" ")&amp;IF(AR24,"",$AR$3&amp;" ")&amp;IF(AS24,"",$AS$3&amp;" ")&amp;IF(AT24,"",$AT$3&amp;" ")&amp;IF(AU24,"",$AU$3&amp;" "))</f>
        <v/>
      </c>
      <c r="AX24" s="18">
        <f>EXACT(SUBSTITUTE(A24," ",""),SUBSTITUTE(AD24&amp;AE24&amp;AF24&amp;AG24&amp;AH24," ",""))</f>
        <v/>
      </c>
    </row>
    <row r="25">
      <c r="A25" s="15" t="inlineStr">
        <is>
          <t>INSERT INTO MST_LIST_AUTH_TBL VALUES(10,12, 'Y','Y','Y','Y','Y','Y','Y','Y','Y', to_timestamp('2022/01/01 0:00:00' , 'yyyy/MM/dd hh24:mi:ss'));</t>
        </is>
      </c>
      <c r="B25" s="16" t="n"/>
      <c r="C25" s="15" t="inlineStr">
        <is>
          <t>10</t>
        </is>
      </c>
      <c r="D25" s="15" t="inlineStr">
        <is>
          <t>12</t>
        </is>
      </c>
      <c r="E25" s="15" t="inlineStr">
        <is>
          <t xml:space="preserve"> 'Y'</t>
        </is>
      </c>
      <c r="F25" s="15" t="inlineStr">
        <is>
          <t>'Y'</t>
        </is>
      </c>
      <c r="G25" s="15" t="inlineStr">
        <is>
          <t>'Y'</t>
        </is>
      </c>
      <c r="H25" s="15" t="inlineStr">
        <is>
          <t>'Y'</t>
        </is>
      </c>
      <c r="I25" s="15" t="inlineStr">
        <is>
          <t>'Y'</t>
        </is>
      </c>
      <c r="J25" s="15" t="inlineStr">
        <is>
          <t>'Y'</t>
        </is>
      </c>
      <c r="K25" s="15" t="inlineStr">
        <is>
          <t>'Y'</t>
        </is>
      </c>
      <c r="L25" s="15" t="inlineStr">
        <is>
          <t>'Y'</t>
        </is>
      </c>
      <c r="M25" s="15" t="inlineStr">
        <is>
          <t>'Y'</t>
        </is>
      </c>
      <c r="N25" s="15" t="inlineStr">
        <is>
          <t xml:space="preserve"> to_timestamp('2022/01/01 0:00:00' </t>
        </is>
      </c>
      <c r="O25" s="15" t="inlineStr">
        <is>
          <t xml:space="preserve"> 'yyyy/MM/dd hh24:mi:ss')</t>
        </is>
      </c>
      <c r="Q25" s="17" t="inlineStr">
        <is>
          <t>10</t>
        </is>
      </c>
      <c r="R25" s="17" t="inlineStr">
        <is>
          <t>12</t>
        </is>
      </c>
      <c r="S25" s="17" t="inlineStr">
        <is>
          <t>Y</t>
        </is>
      </c>
      <c r="T25" s="17" t="inlineStr">
        <is>
          <t>Y</t>
        </is>
      </c>
      <c r="U25" s="17" t="inlineStr">
        <is>
          <t>Y</t>
        </is>
      </c>
      <c r="V25" s="17" t="inlineStr">
        <is>
          <t>Y</t>
        </is>
      </c>
      <c r="W25" s="17" t="inlineStr">
        <is>
          <t>Y</t>
        </is>
      </c>
      <c r="X25" s="17" t="inlineStr">
        <is>
          <t>Y</t>
        </is>
      </c>
      <c r="Y25" s="17" t="inlineStr">
        <is>
          <t>Y</t>
        </is>
      </c>
      <c r="Z25" s="17" t="inlineStr">
        <is>
          <t>Y</t>
        </is>
      </c>
      <c r="AA25" s="17" t="inlineStr">
        <is>
          <t>Y</t>
        </is>
      </c>
      <c r="AB25" s="17" t="inlineStr">
        <is>
          <t>2022/01/01 0:00:00</t>
        </is>
      </c>
      <c r="AD25" s="15" t="inlineStr">
        <is>
          <t>INSERT INTO</t>
        </is>
      </c>
      <c r="AE25" s="15" t="inlineStr">
        <is>
          <t>MST_LIST_AUTH_TBL</t>
        </is>
      </c>
      <c r="AF25" s="15" t="inlineStr">
        <is>
          <t>VALUES(</t>
        </is>
      </c>
      <c r="AG25" s="15" t="inlineStr">
        <is>
          <t>10,12, 'Y','Y','Y','Y','Y','Y','Y','Y','Y', to_timestamp('2022/01/01 0:00:00' , 'yyyy/MM/dd hh24:mi:ss')</t>
        </is>
      </c>
      <c r="AH25" s="15" t="inlineStr">
        <is>
          <t>);</t>
        </is>
      </c>
      <c r="AJ25" s="18">
        <f>EXACT(TRIM(C25),Q25&amp;"")</f>
        <v/>
      </c>
      <c r="AK25" s="18">
        <f>EXACT(TRIM(D25),R25&amp;"")</f>
        <v/>
      </c>
      <c r="AL25" s="18">
        <f>EXACT(TRIM(E25),"'"&amp;S25&amp;"'")</f>
        <v/>
      </c>
      <c r="AM25" s="18">
        <f>EXACT(TRIM(F25),"'"&amp;T25&amp;"'")</f>
        <v/>
      </c>
      <c r="AN25" s="18">
        <f>EXACT(TRIM(G25),"'"&amp;U25&amp;"'")</f>
        <v/>
      </c>
      <c r="AO25" s="18">
        <f>EXACT(TRIM(H25),"'"&amp;V25&amp;"'")</f>
        <v/>
      </c>
      <c r="AP25" s="18">
        <f>EXACT(TRIM(I25),"'"&amp;W25&amp;"'")</f>
        <v/>
      </c>
      <c r="AQ25" s="18">
        <f>EXACT(TRIM(J25),"'"&amp;X25&amp;"'")</f>
        <v/>
      </c>
      <c r="AR25" s="18">
        <f>EXACT(TRIM(K25),"'"&amp;Y25&amp;"'")</f>
        <v/>
      </c>
      <c r="AS25" s="18">
        <f>EXACT(TRIM(L25),"'"&amp;Z25&amp;"'")</f>
        <v/>
      </c>
      <c r="AT25" s="18">
        <f>EXACT(TRIM(M25),"'"&amp;AA25&amp;"'")</f>
        <v/>
      </c>
      <c r="AU25" s="18">
        <f>EXACT(TRIM(N25),"to_timestamp('"&amp;AB25&amp;"'")</f>
        <v/>
      </c>
      <c r="AV25" s="18">
        <f>AND(AJ25:AU25)</f>
        <v/>
      </c>
      <c r="AW25" s="19">
        <f>TRIM(IF(AJ25,"",$AJ$3&amp;" ")&amp;IF(AK25,"",$AK$3&amp;" ")&amp;IF(AL25,"",$AL$3&amp;" ")&amp;IF(AM25,"",$AM$3&amp;" ")&amp;IF(AN25,"",$AN$3&amp;" ")&amp;IF(AO25,"",$AO$3&amp;" ")&amp;IF(AP25,"",$AP$3&amp;" ")&amp;IF(AQ25,"",$AQ$3&amp;" ")&amp;IF(AR25,"",$AR$3&amp;" ")&amp;IF(AS25,"",$AS$3&amp;" ")&amp;IF(AT25,"",$AT$3&amp;" ")&amp;IF(AU25,"",$AU$3&amp;" "))</f>
        <v/>
      </c>
      <c r="AX25" s="18">
        <f>EXACT(SUBSTITUTE(A25," ",""),SUBSTITUTE(AD25&amp;AE25&amp;AF25&amp;AG25&amp;AH25," ",""))</f>
        <v/>
      </c>
    </row>
    <row r="26">
      <c r="A26" s="15" t="inlineStr">
        <is>
          <t>INSERT INTO MST_LIST_AUTH_TBL VALUES(10,13, 'Y','Y','Y','Y','Y','Y','Y','Y','Y', to_timestamp('2022/01/01 0:00:00' , 'yyyy/MM/dd hh24:mi:ss'));</t>
        </is>
      </c>
      <c r="B26" s="16" t="n"/>
      <c r="C26" s="15" t="inlineStr">
        <is>
          <t>10</t>
        </is>
      </c>
      <c r="D26" s="15" t="inlineStr">
        <is>
          <t>13</t>
        </is>
      </c>
      <c r="E26" s="15" t="inlineStr">
        <is>
          <t xml:space="preserve"> 'Y'</t>
        </is>
      </c>
      <c r="F26" s="15" t="inlineStr">
        <is>
          <t>'Y'</t>
        </is>
      </c>
      <c r="G26" s="15" t="inlineStr">
        <is>
          <t>'Y'</t>
        </is>
      </c>
      <c r="H26" s="15" t="inlineStr">
        <is>
          <t>'Y'</t>
        </is>
      </c>
      <c r="I26" s="15" t="inlineStr">
        <is>
          <t>'Y'</t>
        </is>
      </c>
      <c r="J26" s="15" t="inlineStr">
        <is>
          <t>'Y'</t>
        </is>
      </c>
      <c r="K26" s="15" t="inlineStr">
        <is>
          <t>'Y'</t>
        </is>
      </c>
      <c r="L26" s="15" t="inlineStr">
        <is>
          <t>'Y'</t>
        </is>
      </c>
      <c r="M26" s="15" t="inlineStr">
        <is>
          <t>'Y'</t>
        </is>
      </c>
      <c r="N26" s="15" t="inlineStr">
        <is>
          <t xml:space="preserve"> to_timestamp('2022/01/01 0:00:00' </t>
        </is>
      </c>
      <c r="O26" s="15" t="inlineStr">
        <is>
          <t xml:space="preserve"> 'yyyy/MM/dd hh24:mi:ss')</t>
        </is>
      </c>
      <c r="Q26" s="17" t="inlineStr">
        <is>
          <t>10</t>
        </is>
      </c>
      <c r="R26" s="17" t="inlineStr">
        <is>
          <t>13</t>
        </is>
      </c>
      <c r="S26" s="17" t="inlineStr">
        <is>
          <t>Y</t>
        </is>
      </c>
      <c r="T26" s="17" t="inlineStr">
        <is>
          <t>Y</t>
        </is>
      </c>
      <c r="U26" s="17" t="inlineStr">
        <is>
          <t>Y</t>
        </is>
      </c>
      <c r="V26" s="17" t="inlineStr">
        <is>
          <t>Y</t>
        </is>
      </c>
      <c r="W26" s="17" t="inlineStr">
        <is>
          <t>Y</t>
        </is>
      </c>
      <c r="X26" s="17" t="inlineStr">
        <is>
          <t>Y</t>
        </is>
      </c>
      <c r="Y26" s="17" t="inlineStr">
        <is>
          <t>Y</t>
        </is>
      </c>
      <c r="Z26" s="17" t="inlineStr">
        <is>
          <t>Y</t>
        </is>
      </c>
      <c r="AA26" s="17" t="inlineStr">
        <is>
          <t>Y</t>
        </is>
      </c>
      <c r="AB26" s="17" t="inlineStr">
        <is>
          <t>2022/01/01 0:00:00</t>
        </is>
      </c>
      <c r="AD26" s="15" t="inlineStr">
        <is>
          <t>INSERT INTO</t>
        </is>
      </c>
      <c r="AE26" s="15" t="inlineStr">
        <is>
          <t>MST_LIST_AUTH_TBL</t>
        </is>
      </c>
      <c r="AF26" s="15" t="inlineStr">
        <is>
          <t>VALUES(</t>
        </is>
      </c>
      <c r="AG26" s="15" t="inlineStr">
        <is>
          <t>10,13, 'Y','Y','Y','Y','Y','Y','Y','Y','Y', to_timestamp('2022/01/01 0:00:00' , 'yyyy/MM/dd hh24:mi:ss')</t>
        </is>
      </c>
      <c r="AH26" s="15" t="inlineStr">
        <is>
          <t>);</t>
        </is>
      </c>
      <c r="AJ26" s="18">
        <f>EXACT(TRIM(C26),Q26&amp;"")</f>
        <v/>
      </c>
      <c r="AK26" s="18">
        <f>EXACT(TRIM(D26),R26&amp;"")</f>
        <v/>
      </c>
      <c r="AL26" s="18">
        <f>EXACT(TRIM(E26),"'"&amp;S26&amp;"'")</f>
        <v/>
      </c>
      <c r="AM26" s="18">
        <f>EXACT(TRIM(F26),"'"&amp;T26&amp;"'")</f>
        <v/>
      </c>
      <c r="AN26" s="18">
        <f>EXACT(TRIM(G26),"'"&amp;U26&amp;"'")</f>
        <v/>
      </c>
      <c r="AO26" s="18">
        <f>EXACT(TRIM(H26),"'"&amp;V26&amp;"'")</f>
        <v/>
      </c>
      <c r="AP26" s="18">
        <f>EXACT(TRIM(I26),"'"&amp;W26&amp;"'")</f>
        <v/>
      </c>
      <c r="AQ26" s="18">
        <f>EXACT(TRIM(J26),"'"&amp;X26&amp;"'")</f>
        <v/>
      </c>
      <c r="AR26" s="18">
        <f>EXACT(TRIM(K26),"'"&amp;Y26&amp;"'")</f>
        <v/>
      </c>
      <c r="AS26" s="18">
        <f>EXACT(TRIM(L26),"'"&amp;Z26&amp;"'")</f>
        <v/>
      </c>
      <c r="AT26" s="18">
        <f>EXACT(TRIM(M26),"'"&amp;AA26&amp;"'")</f>
        <v/>
      </c>
      <c r="AU26" s="18">
        <f>EXACT(TRIM(N26),"to_timestamp('"&amp;AB26&amp;"'")</f>
        <v/>
      </c>
      <c r="AV26" s="18">
        <f>AND(AJ26:AU26)</f>
        <v/>
      </c>
      <c r="AW26" s="19">
        <f>TRIM(IF(AJ26,"",$AJ$3&amp;" ")&amp;IF(AK26,"",$AK$3&amp;" ")&amp;IF(AL26,"",$AL$3&amp;" ")&amp;IF(AM26,"",$AM$3&amp;" ")&amp;IF(AN26,"",$AN$3&amp;" ")&amp;IF(AO26,"",$AO$3&amp;" ")&amp;IF(AP26,"",$AP$3&amp;" ")&amp;IF(AQ26,"",$AQ$3&amp;" ")&amp;IF(AR26,"",$AR$3&amp;" ")&amp;IF(AS26,"",$AS$3&amp;" ")&amp;IF(AT26,"",$AT$3&amp;" ")&amp;IF(AU26,"",$AU$3&amp;" "))</f>
        <v/>
      </c>
      <c r="AX26" s="18">
        <f>EXACT(SUBSTITUTE(A26," ",""),SUBSTITUTE(AD26&amp;AE26&amp;AF26&amp;AG26&amp;AH26," ",""))</f>
        <v/>
      </c>
    </row>
    <row r="27">
      <c r="A27" s="15" t="inlineStr">
        <is>
          <t>INSERT INTO MST_LIST_AUTH_TBL VALUES(10,14, 'Y','Y','Y','Y','Y','Y','Y','Y','Y', to_timestamp('2022/01/01 0:00:00' , 'yyyy/MM/dd hh24:mi:ss'));</t>
        </is>
      </c>
      <c r="B27" s="16" t="n"/>
      <c r="C27" s="15" t="inlineStr">
        <is>
          <t>10</t>
        </is>
      </c>
      <c r="D27" s="15" t="inlineStr">
        <is>
          <t>14</t>
        </is>
      </c>
      <c r="E27" s="15" t="inlineStr">
        <is>
          <t xml:space="preserve"> 'Y'</t>
        </is>
      </c>
      <c r="F27" s="15" t="inlineStr">
        <is>
          <t>'Y'</t>
        </is>
      </c>
      <c r="G27" s="15" t="inlineStr">
        <is>
          <t>'Y'</t>
        </is>
      </c>
      <c r="H27" s="15" t="inlineStr">
        <is>
          <t>'Y'</t>
        </is>
      </c>
      <c r="I27" s="15" t="inlineStr">
        <is>
          <t>'Y'</t>
        </is>
      </c>
      <c r="J27" s="15" t="inlineStr">
        <is>
          <t>'Y'</t>
        </is>
      </c>
      <c r="K27" s="15" t="inlineStr">
        <is>
          <t>'Y'</t>
        </is>
      </c>
      <c r="L27" s="15" t="inlineStr">
        <is>
          <t>'Y'</t>
        </is>
      </c>
      <c r="M27" s="15" t="inlineStr">
        <is>
          <t>'Y'</t>
        </is>
      </c>
      <c r="N27" s="15" t="inlineStr">
        <is>
          <t xml:space="preserve"> to_timestamp('2022/01/01 0:00:00' </t>
        </is>
      </c>
      <c r="O27" s="15" t="inlineStr">
        <is>
          <t xml:space="preserve"> 'yyyy/MM/dd hh24:mi:ss')</t>
        </is>
      </c>
      <c r="Q27" s="17" t="inlineStr">
        <is>
          <t>10</t>
        </is>
      </c>
      <c r="R27" s="17" t="inlineStr">
        <is>
          <t>14</t>
        </is>
      </c>
      <c r="S27" s="17" t="inlineStr">
        <is>
          <t>Y</t>
        </is>
      </c>
      <c r="T27" s="17" t="inlineStr">
        <is>
          <t>Y</t>
        </is>
      </c>
      <c r="U27" s="17" t="inlineStr">
        <is>
          <t>Y</t>
        </is>
      </c>
      <c r="V27" s="17" t="inlineStr">
        <is>
          <t>Y</t>
        </is>
      </c>
      <c r="W27" s="17" t="inlineStr">
        <is>
          <t>Y</t>
        </is>
      </c>
      <c r="X27" s="17" t="inlineStr">
        <is>
          <t>Y</t>
        </is>
      </c>
      <c r="Y27" s="17" t="inlineStr">
        <is>
          <t>Y</t>
        </is>
      </c>
      <c r="Z27" s="17" t="inlineStr">
        <is>
          <t>Y</t>
        </is>
      </c>
      <c r="AA27" s="17" t="inlineStr">
        <is>
          <t>Y</t>
        </is>
      </c>
      <c r="AB27" s="17" t="inlineStr">
        <is>
          <t>2022/01/01 0:00:00</t>
        </is>
      </c>
      <c r="AD27" s="15" t="inlineStr">
        <is>
          <t>INSERT INTO</t>
        </is>
      </c>
      <c r="AE27" s="15" t="inlineStr">
        <is>
          <t>MST_LIST_AUTH_TBL</t>
        </is>
      </c>
      <c r="AF27" s="15" t="inlineStr">
        <is>
          <t>VALUES(</t>
        </is>
      </c>
      <c r="AG27" s="15" t="inlineStr">
        <is>
          <t>10,14, 'Y','Y','Y','Y','Y','Y','Y','Y','Y', to_timestamp('2022/01/01 0:00:00' , 'yyyy/MM/dd hh24:mi:ss')</t>
        </is>
      </c>
      <c r="AH27" s="15" t="inlineStr">
        <is>
          <t>);</t>
        </is>
      </c>
      <c r="AJ27" s="18">
        <f>EXACT(TRIM(C27),Q27&amp;"")</f>
        <v/>
      </c>
      <c r="AK27" s="18">
        <f>EXACT(TRIM(D27),R27&amp;"")</f>
        <v/>
      </c>
      <c r="AL27" s="18">
        <f>EXACT(TRIM(E27),"'"&amp;S27&amp;"'")</f>
        <v/>
      </c>
      <c r="AM27" s="18">
        <f>EXACT(TRIM(F27),"'"&amp;T27&amp;"'")</f>
        <v/>
      </c>
      <c r="AN27" s="18">
        <f>EXACT(TRIM(G27),"'"&amp;U27&amp;"'")</f>
        <v/>
      </c>
      <c r="AO27" s="18">
        <f>EXACT(TRIM(H27),"'"&amp;V27&amp;"'")</f>
        <v/>
      </c>
      <c r="AP27" s="18">
        <f>EXACT(TRIM(I27),"'"&amp;W27&amp;"'")</f>
        <v/>
      </c>
      <c r="AQ27" s="18">
        <f>EXACT(TRIM(J27),"'"&amp;X27&amp;"'")</f>
        <v/>
      </c>
      <c r="AR27" s="18">
        <f>EXACT(TRIM(K27),"'"&amp;Y27&amp;"'")</f>
        <v/>
      </c>
      <c r="AS27" s="18">
        <f>EXACT(TRIM(L27),"'"&amp;Z27&amp;"'")</f>
        <v/>
      </c>
      <c r="AT27" s="18">
        <f>EXACT(TRIM(M27),"'"&amp;AA27&amp;"'")</f>
        <v/>
      </c>
      <c r="AU27" s="18">
        <f>EXACT(TRIM(N27),"to_timestamp('"&amp;AB27&amp;"'")</f>
        <v/>
      </c>
      <c r="AV27" s="18">
        <f>AND(AJ27:AU27)</f>
        <v/>
      </c>
      <c r="AW27" s="19">
        <f>TRIM(IF(AJ27,"",$AJ$3&amp;" ")&amp;IF(AK27,"",$AK$3&amp;" ")&amp;IF(AL27,"",$AL$3&amp;" ")&amp;IF(AM27,"",$AM$3&amp;" ")&amp;IF(AN27,"",$AN$3&amp;" ")&amp;IF(AO27,"",$AO$3&amp;" ")&amp;IF(AP27,"",$AP$3&amp;" ")&amp;IF(AQ27,"",$AQ$3&amp;" ")&amp;IF(AR27,"",$AR$3&amp;" ")&amp;IF(AS27,"",$AS$3&amp;" ")&amp;IF(AT27,"",$AT$3&amp;" ")&amp;IF(AU27,"",$AU$3&amp;" "))</f>
        <v/>
      </c>
      <c r="AX27" s="18">
        <f>EXACT(SUBSTITUTE(A27," ",""),SUBSTITUTE(AD27&amp;AE27&amp;AF27&amp;AG27&amp;AH27," ",""))</f>
        <v/>
      </c>
    </row>
    <row r="28">
      <c r="A28" s="15" t="inlineStr">
        <is>
          <t>INSERT INTO MST_LIST_AUTH_TBL VALUES(10,15, 'Y','Y','Y','Y','Y','Y','Y','Y','Y', to_timestamp('2022/01/01 0:00:00' , 'yyyy/MM/dd hh24:mi:ss'));</t>
        </is>
      </c>
      <c r="B28" s="16" t="n"/>
      <c r="C28" s="15" t="inlineStr">
        <is>
          <t>10</t>
        </is>
      </c>
      <c r="D28" s="15" t="inlineStr">
        <is>
          <t>15</t>
        </is>
      </c>
      <c r="E28" s="15" t="inlineStr">
        <is>
          <t xml:space="preserve"> 'Y'</t>
        </is>
      </c>
      <c r="F28" s="15" t="inlineStr">
        <is>
          <t>'Y'</t>
        </is>
      </c>
      <c r="G28" s="15" t="inlineStr">
        <is>
          <t>'Y'</t>
        </is>
      </c>
      <c r="H28" s="15" t="inlineStr">
        <is>
          <t>'Y'</t>
        </is>
      </c>
      <c r="I28" s="15" t="inlineStr">
        <is>
          <t>'Y'</t>
        </is>
      </c>
      <c r="J28" s="15" t="inlineStr">
        <is>
          <t>'Y'</t>
        </is>
      </c>
      <c r="K28" s="15" t="inlineStr">
        <is>
          <t>'Y'</t>
        </is>
      </c>
      <c r="L28" s="15" t="inlineStr">
        <is>
          <t>'Y'</t>
        </is>
      </c>
      <c r="M28" s="15" t="inlineStr">
        <is>
          <t>'Y'</t>
        </is>
      </c>
      <c r="N28" s="15" t="inlineStr">
        <is>
          <t xml:space="preserve"> to_timestamp('2022/01/01 0:00:00' </t>
        </is>
      </c>
      <c r="O28" s="15" t="inlineStr">
        <is>
          <t xml:space="preserve"> 'yyyy/MM/dd hh24:mi:ss')</t>
        </is>
      </c>
      <c r="Q28" s="17" t="inlineStr">
        <is>
          <t>10</t>
        </is>
      </c>
      <c r="R28" s="17" t="inlineStr">
        <is>
          <t>15</t>
        </is>
      </c>
      <c r="S28" s="17" t="inlineStr">
        <is>
          <t>Y</t>
        </is>
      </c>
      <c r="T28" s="17" t="inlineStr">
        <is>
          <t>Y</t>
        </is>
      </c>
      <c r="U28" s="17" t="inlineStr">
        <is>
          <t>Y</t>
        </is>
      </c>
      <c r="V28" s="17" t="inlineStr">
        <is>
          <t>Y</t>
        </is>
      </c>
      <c r="W28" s="17" t="inlineStr">
        <is>
          <t>Y</t>
        </is>
      </c>
      <c r="X28" s="17" t="inlineStr">
        <is>
          <t>Y</t>
        </is>
      </c>
      <c r="Y28" s="17" t="inlineStr">
        <is>
          <t>Y</t>
        </is>
      </c>
      <c r="Z28" s="17" t="inlineStr">
        <is>
          <t>Y</t>
        </is>
      </c>
      <c r="AA28" s="17" t="inlineStr">
        <is>
          <t>Y</t>
        </is>
      </c>
      <c r="AB28" s="17" t="inlineStr">
        <is>
          <t>2022/01/01 0:00:00</t>
        </is>
      </c>
      <c r="AD28" s="15" t="inlineStr">
        <is>
          <t>INSERT INTO</t>
        </is>
      </c>
      <c r="AE28" s="15" t="inlineStr">
        <is>
          <t>MST_LIST_AUTH_TBL</t>
        </is>
      </c>
      <c r="AF28" s="15" t="inlineStr">
        <is>
          <t>VALUES(</t>
        </is>
      </c>
      <c r="AG28" s="15" t="inlineStr">
        <is>
          <t>10,15, 'Y','Y','Y','Y','Y','Y','Y','Y','Y', to_timestamp('2022/01/01 0:00:00' , 'yyyy/MM/dd hh24:mi:ss')</t>
        </is>
      </c>
      <c r="AH28" s="15" t="inlineStr">
        <is>
          <t>);</t>
        </is>
      </c>
      <c r="AJ28" s="18">
        <f>EXACT(TRIM(C28),Q28&amp;"")</f>
        <v/>
      </c>
      <c r="AK28" s="18">
        <f>EXACT(TRIM(D28),R28&amp;"")</f>
        <v/>
      </c>
      <c r="AL28" s="18">
        <f>EXACT(TRIM(E28),"'"&amp;S28&amp;"'")</f>
        <v/>
      </c>
      <c r="AM28" s="18">
        <f>EXACT(TRIM(F28),"'"&amp;T28&amp;"'")</f>
        <v/>
      </c>
      <c r="AN28" s="18">
        <f>EXACT(TRIM(G28),"'"&amp;U28&amp;"'")</f>
        <v/>
      </c>
      <c r="AO28" s="18">
        <f>EXACT(TRIM(H28),"'"&amp;V28&amp;"'")</f>
        <v/>
      </c>
      <c r="AP28" s="18">
        <f>EXACT(TRIM(I28),"'"&amp;W28&amp;"'")</f>
        <v/>
      </c>
      <c r="AQ28" s="18">
        <f>EXACT(TRIM(J28),"'"&amp;X28&amp;"'")</f>
        <v/>
      </c>
      <c r="AR28" s="18">
        <f>EXACT(TRIM(K28),"'"&amp;Y28&amp;"'")</f>
        <v/>
      </c>
      <c r="AS28" s="18">
        <f>EXACT(TRIM(L28),"'"&amp;Z28&amp;"'")</f>
        <v/>
      </c>
      <c r="AT28" s="18">
        <f>EXACT(TRIM(M28),"'"&amp;AA28&amp;"'")</f>
        <v/>
      </c>
      <c r="AU28" s="18">
        <f>EXACT(TRIM(N28),"to_timestamp('"&amp;AB28&amp;"'")</f>
        <v/>
      </c>
      <c r="AV28" s="18">
        <f>AND(AJ28:AU28)</f>
        <v/>
      </c>
      <c r="AW28" s="19">
        <f>TRIM(IF(AJ28,"",$AJ$3&amp;" ")&amp;IF(AK28,"",$AK$3&amp;" ")&amp;IF(AL28,"",$AL$3&amp;" ")&amp;IF(AM28,"",$AM$3&amp;" ")&amp;IF(AN28,"",$AN$3&amp;" ")&amp;IF(AO28,"",$AO$3&amp;" ")&amp;IF(AP28,"",$AP$3&amp;" ")&amp;IF(AQ28,"",$AQ$3&amp;" ")&amp;IF(AR28,"",$AR$3&amp;" ")&amp;IF(AS28,"",$AS$3&amp;" ")&amp;IF(AT28,"",$AT$3&amp;" ")&amp;IF(AU28,"",$AU$3&amp;" "))</f>
        <v/>
      </c>
      <c r="AX28" s="18">
        <f>EXACT(SUBSTITUTE(A28," ",""),SUBSTITUTE(AD28&amp;AE28&amp;AF28&amp;AG28&amp;AH28," ",""))</f>
        <v/>
      </c>
    </row>
    <row r="29">
      <c r="A29" s="15" t="inlineStr">
        <is>
          <t>INSERT INTO MST_LIST_AUTH_TBL VALUES(10,16, 'Y','Y','Y','Y','Y','Y','Y','Y','Y', to_timestamp('2022/01/01 0:00:00' , 'yyyy/MM/dd hh24:mi:ss'));</t>
        </is>
      </c>
      <c r="B29" s="16" t="n"/>
      <c r="C29" s="15" t="inlineStr">
        <is>
          <t>10</t>
        </is>
      </c>
      <c r="D29" s="15" t="inlineStr">
        <is>
          <t>16</t>
        </is>
      </c>
      <c r="E29" s="15" t="inlineStr">
        <is>
          <t xml:space="preserve"> 'Y'</t>
        </is>
      </c>
      <c r="F29" s="15" t="inlineStr">
        <is>
          <t>'Y'</t>
        </is>
      </c>
      <c r="G29" s="15" t="inlineStr">
        <is>
          <t>'Y'</t>
        </is>
      </c>
      <c r="H29" s="15" t="inlineStr">
        <is>
          <t>'Y'</t>
        </is>
      </c>
      <c r="I29" s="15" t="inlineStr">
        <is>
          <t>'Y'</t>
        </is>
      </c>
      <c r="J29" s="15" t="inlineStr">
        <is>
          <t>'Y'</t>
        </is>
      </c>
      <c r="K29" s="15" t="inlineStr">
        <is>
          <t>'Y'</t>
        </is>
      </c>
      <c r="L29" s="15" t="inlineStr">
        <is>
          <t>'Y'</t>
        </is>
      </c>
      <c r="M29" s="15" t="inlineStr">
        <is>
          <t>'Y'</t>
        </is>
      </c>
      <c r="N29" s="15" t="inlineStr">
        <is>
          <t xml:space="preserve"> to_timestamp('2022/01/01 0:00:00' </t>
        </is>
      </c>
      <c r="O29" s="15" t="inlineStr">
        <is>
          <t xml:space="preserve"> 'yyyy/MM/dd hh24:mi:ss')</t>
        </is>
      </c>
      <c r="Q29" s="17" t="inlineStr">
        <is>
          <t>10</t>
        </is>
      </c>
      <c r="R29" s="17" t="inlineStr">
        <is>
          <t>16</t>
        </is>
      </c>
      <c r="S29" s="17" t="inlineStr">
        <is>
          <t>Y</t>
        </is>
      </c>
      <c r="T29" s="17" t="inlineStr">
        <is>
          <t>Y</t>
        </is>
      </c>
      <c r="U29" s="17" t="inlineStr">
        <is>
          <t>Y</t>
        </is>
      </c>
      <c r="V29" s="17" t="inlineStr">
        <is>
          <t>Y</t>
        </is>
      </c>
      <c r="W29" s="17" t="inlineStr">
        <is>
          <t>Y</t>
        </is>
      </c>
      <c r="X29" s="17" t="inlineStr">
        <is>
          <t>Y</t>
        </is>
      </c>
      <c r="Y29" s="17" t="inlineStr">
        <is>
          <t>Y</t>
        </is>
      </c>
      <c r="Z29" s="17" t="inlineStr">
        <is>
          <t>Y</t>
        </is>
      </c>
      <c r="AA29" s="17" t="inlineStr">
        <is>
          <t>Y</t>
        </is>
      </c>
      <c r="AB29" s="17" t="inlineStr">
        <is>
          <t>2022/01/01 0:00:00</t>
        </is>
      </c>
      <c r="AD29" s="15" t="inlineStr">
        <is>
          <t>INSERT INTO</t>
        </is>
      </c>
      <c r="AE29" s="15" t="inlineStr">
        <is>
          <t>MST_LIST_AUTH_TBL</t>
        </is>
      </c>
      <c r="AF29" s="15" t="inlineStr">
        <is>
          <t>VALUES(</t>
        </is>
      </c>
      <c r="AG29" s="15" t="inlineStr">
        <is>
          <t>10,16, 'Y','Y','Y','Y','Y','Y','Y','Y','Y', to_timestamp('2022/01/01 0:00:00' , 'yyyy/MM/dd hh24:mi:ss')</t>
        </is>
      </c>
      <c r="AH29" s="15" t="inlineStr">
        <is>
          <t>);</t>
        </is>
      </c>
      <c r="AJ29" s="18">
        <f>EXACT(TRIM(C29),Q29&amp;"")</f>
        <v/>
      </c>
      <c r="AK29" s="18">
        <f>EXACT(TRIM(D29),R29&amp;"")</f>
        <v/>
      </c>
      <c r="AL29" s="18">
        <f>EXACT(TRIM(E29),"'"&amp;S29&amp;"'")</f>
        <v/>
      </c>
      <c r="AM29" s="18">
        <f>EXACT(TRIM(F29),"'"&amp;T29&amp;"'")</f>
        <v/>
      </c>
      <c r="AN29" s="18">
        <f>EXACT(TRIM(G29),"'"&amp;U29&amp;"'")</f>
        <v/>
      </c>
      <c r="AO29" s="18">
        <f>EXACT(TRIM(H29),"'"&amp;V29&amp;"'")</f>
        <v/>
      </c>
      <c r="AP29" s="18">
        <f>EXACT(TRIM(I29),"'"&amp;W29&amp;"'")</f>
        <v/>
      </c>
      <c r="AQ29" s="18">
        <f>EXACT(TRIM(J29),"'"&amp;X29&amp;"'")</f>
        <v/>
      </c>
      <c r="AR29" s="18">
        <f>EXACT(TRIM(K29),"'"&amp;Y29&amp;"'")</f>
        <v/>
      </c>
      <c r="AS29" s="18">
        <f>EXACT(TRIM(L29),"'"&amp;Z29&amp;"'")</f>
        <v/>
      </c>
      <c r="AT29" s="18">
        <f>EXACT(TRIM(M29),"'"&amp;AA29&amp;"'")</f>
        <v/>
      </c>
      <c r="AU29" s="18">
        <f>EXACT(TRIM(N29),"to_timestamp('"&amp;AB29&amp;"'")</f>
        <v/>
      </c>
      <c r="AV29" s="18">
        <f>AND(AJ29:AU29)</f>
        <v/>
      </c>
      <c r="AW29" s="19">
        <f>TRIM(IF(AJ29,"",$AJ$3&amp;" ")&amp;IF(AK29,"",$AK$3&amp;" ")&amp;IF(AL29,"",$AL$3&amp;" ")&amp;IF(AM29,"",$AM$3&amp;" ")&amp;IF(AN29,"",$AN$3&amp;" ")&amp;IF(AO29,"",$AO$3&amp;" ")&amp;IF(AP29,"",$AP$3&amp;" ")&amp;IF(AQ29,"",$AQ$3&amp;" ")&amp;IF(AR29,"",$AR$3&amp;" ")&amp;IF(AS29,"",$AS$3&amp;" ")&amp;IF(AT29,"",$AT$3&amp;" ")&amp;IF(AU29,"",$AU$3&amp;" "))</f>
        <v/>
      </c>
      <c r="AX29" s="18">
        <f>EXACT(SUBSTITUTE(A29," ",""),SUBSTITUTE(AD29&amp;AE29&amp;AF29&amp;AG29&amp;AH29," ",""))</f>
        <v/>
      </c>
    </row>
  </sheetData>
  <autoFilter ref="A3:BA29"/>
  <mergeCells count="9">
    <mergeCell ref="Q2:AB2"/>
    <mergeCell ref="Q1:AH1"/>
    <mergeCell ref="AZ1:BA1"/>
    <mergeCell ref="AZ2:BA2"/>
    <mergeCell ref="AJ1:AX1"/>
    <mergeCell ref="A1:O1"/>
    <mergeCell ref="AD2:AH2"/>
    <mergeCell ref="AJ2:AW2"/>
    <mergeCell ref="C2:O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335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  <col width="15" customWidth="1" min="8" max="8"/>
    <col width="15" customWidth="1" min="9" max="9"/>
    <col width="15" customWidth="1" min="10" max="10"/>
    <col width="15" customWidth="1" min="11" max="11"/>
    <col width="2" customWidth="1" min="12" max="12"/>
    <col width="11" customWidth="1" min="13" max="13"/>
    <col width="11" customWidth="1" min="14" max="14"/>
    <col width="11" customWidth="1" min="15" max="15"/>
    <col width="62" customWidth="1" min="16" max="16"/>
    <col width="11" customWidth="1" min="17" max="17"/>
    <col width="2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24" customWidth="1" min="24" max="24"/>
    <col width="11" customWidth="1" min="25" max="25"/>
    <col width="2" customWidth="1" min="26" max="26"/>
    <col width="8" customWidth="1" min="27" max="27"/>
    <col width="30" customWidth="1" min="28" max="28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3" t="n"/>
      <c r="H1" s="4" t="inlineStr">
        <is>
          <t>②③ マスタ定義書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5" t="inlineStr">
        <is>
          <t>突合</t>
        </is>
      </c>
      <c r="T1" s="2" t="n"/>
      <c r="U1" s="2" t="n"/>
      <c r="V1" s="2" t="n"/>
      <c r="W1" s="2" t="n"/>
      <c r="X1" s="2" t="n"/>
      <c r="Y1" s="3" t="n"/>
      <c r="AA1" s="6" t="inlineStr">
        <is>
          <t>確認結果（記入欄）</t>
        </is>
      </c>
      <c r="AB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3" t="n"/>
      <c r="H2" s="4" t="inlineStr">
        <is>
          <t>横浜銀行様用出荷設定</t>
        </is>
      </c>
      <c r="I2" s="2" t="n"/>
      <c r="J2" s="2" t="n"/>
      <c r="K2" s="3" t="n"/>
      <c r="M2" s="8" t="inlineStr">
        <is>
          <t>SQL</t>
        </is>
      </c>
      <c r="N2" s="2" t="n"/>
      <c r="O2" s="2" t="n"/>
      <c r="P2" s="2" t="n"/>
      <c r="Q2" s="3" t="n"/>
      <c r="S2" s="5" t="inlineStr">
        <is>
          <t>①②の突合（項目ごと）</t>
        </is>
      </c>
      <c r="T2" s="2" t="n"/>
      <c r="U2" s="2" t="n"/>
      <c r="V2" s="2" t="n"/>
      <c r="W2" s="2" t="n"/>
      <c r="X2" s="3" t="n"/>
      <c r="Y2" s="5" t="inlineStr">
        <is>
          <t>①③の突合</t>
        </is>
      </c>
      <c r="AA2" s="6" t="inlineStr">
        <is>
          <t>確認結果</t>
        </is>
      </c>
      <c r="AB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H3" s="11" t="inlineStr">
        <is>
          <t>PRF_ID</t>
        </is>
      </c>
      <c r="I3" s="11" t="inlineStr">
        <is>
          <t>DEAL_ID</t>
        </is>
      </c>
      <c r="J3" s="11" t="inlineStr">
        <is>
          <t>LST_ID</t>
        </is>
      </c>
      <c r="K3" s="11" t="inlineStr">
        <is>
          <t>CONF_LST_FLG</t>
        </is>
      </c>
      <c r="M3" s="12" t="inlineStr">
        <is>
          <t>固定</t>
        </is>
      </c>
      <c r="N3" s="12" t="inlineStr">
        <is>
          <t>固定</t>
        </is>
      </c>
      <c r="O3" s="12" t="inlineStr">
        <is>
          <t>固定</t>
        </is>
      </c>
      <c r="P3" s="12" t="inlineStr">
        <is>
          <t>数式</t>
        </is>
      </c>
      <c r="Q3" s="12" t="inlineStr">
        <is>
          <t>固定</t>
        </is>
      </c>
      <c r="S3" s="13" t="inlineStr">
        <is>
          <t>PRF_ID</t>
        </is>
      </c>
      <c r="T3" s="13" t="inlineStr">
        <is>
          <t>DEAL_ID</t>
        </is>
      </c>
      <c r="U3" s="13" t="inlineStr">
        <is>
          <t>LST_ID</t>
        </is>
      </c>
      <c r="V3" s="13" t="inlineStr">
        <is>
          <t>CONF_LST_FLG</t>
        </is>
      </c>
      <c r="W3" s="13" t="inlineStr">
        <is>
          <t>全項目一致</t>
        </is>
      </c>
      <c r="X3" s="13" t="inlineStr">
        <is>
          <t>相違した項目</t>
        </is>
      </c>
      <c r="Y3" s="13" t="inlineStr">
        <is>
          <t>SQL文一致</t>
        </is>
      </c>
      <c r="AA3" s="14" t="inlineStr">
        <is>
          <t>判定</t>
        </is>
      </c>
      <c r="AB3" s="14" t="inlineStr">
        <is>
          <t>備考</t>
        </is>
      </c>
    </row>
    <row r="4">
      <c r="A4" s="15" t="inlineStr">
        <is>
          <t>INSERT INTO MNG_DEAL_LIST_DSP_TBL VALUES(2 , 6 , 16 , 'N' );</t>
        </is>
      </c>
      <c r="B4" s="16" t="n"/>
      <c r="C4" s="15" t="inlineStr">
        <is>
          <t xml:space="preserve">2 </t>
        </is>
      </c>
      <c r="D4" s="15" t="inlineStr">
        <is>
          <t xml:space="preserve"> 6 </t>
        </is>
      </c>
      <c r="E4" s="15" t="inlineStr">
        <is>
          <t xml:space="preserve"> 16 </t>
        </is>
      </c>
      <c r="F4" s="15" t="inlineStr">
        <is>
          <t xml:space="preserve"> 'N' </t>
        </is>
      </c>
      <c r="H4" s="17" t="inlineStr">
        <is>
          <t>2</t>
        </is>
      </c>
      <c r="I4" s="17" t="inlineStr">
        <is>
          <t>6</t>
        </is>
      </c>
      <c r="J4" s="17" t="inlineStr">
        <is>
          <t>16</t>
        </is>
      </c>
      <c r="K4" s="17" t="inlineStr">
        <is>
          <t>N</t>
        </is>
      </c>
      <c r="M4" s="15" t="inlineStr">
        <is>
          <t>INSERT INTO</t>
        </is>
      </c>
      <c r="N4" s="15" t="inlineStr">
        <is>
          <t>MNG_DEAL_LIST_DSP_TBL</t>
        </is>
      </c>
      <c r="O4" s="15" t="inlineStr">
        <is>
          <t>VALUES(</t>
        </is>
      </c>
      <c r="P4" s="15" t="inlineStr">
        <is>
          <t xml:space="preserve">2 , 6 , 16 , 'N' </t>
        </is>
      </c>
      <c r="Q4" s="15" t="inlineStr">
        <is>
          <t>);</t>
        </is>
      </c>
      <c r="S4" s="18">
        <f>EXACT(TRIM(C4),H4&amp;"")</f>
        <v/>
      </c>
      <c r="T4" s="18">
        <f>EXACT(TRIM(D4),I4&amp;"")</f>
        <v/>
      </c>
      <c r="U4" s="18">
        <f>EXACT(TRIM(E4),J4&amp;"")</f>
        <v/>
      </c>
      <c r="V4" s="18">
        <f>EXACT(TRIM(F4),"'"&amp;K4&amp;"'")</f>
        <v/>
      </c>
      <c r="W4" s="18">
        <f>AND(S4:V4)</f>
        <v/>
      </c>
      <c r="X4" s="19">
        <f>TRIM(IF(S4,"",$S$3&amp;" ")&amp;IF(T4,"",$T$3&amp;" ")&amp;IF(U4,"",$U$3&amp;" ")&amp;IF(V4,"",$V$3&amp;" "))</f>
        <v/>
      </c>
      <c r="Y4" s="18">
        <f>EXACT(SUBSTITUTE(A4," ",""),SUBSTITUTE(M4&amp;N4&amp;O4&amp;P4&amp;Q4," ",""))</f>
        <v/>
      </c>
    </row>
    <row r="5">
      <c r="A5" s="15" t="inlineStr">
        <is>
          <t>INSERT INTO MNG_DEAL_LIST_DSP_TBL VALUES(2 , 7 , 16 , 'N' );</t>
        </is>
      </c>
      <c r="B5" s="16" t="n"/>
      <c r="C5" s="15" t="inlineStr">
        <is>
          <t xml:space="preserve">2 </t>
        </is>
      </c>
      <c r="D5" s="15" t="inlineStr">
        <is>
          <t xml:space="preserve"> 7 </t>
        </is>
      </c>
      <c r="E5" s="15" t="inlineStr">
        <is>
          <t xml:space="preserve"> 16 </t>
        </is>
      </c>
      <c r="F5" s="15" t="inlineStr">
        <is>
          <t xml:space="preserve"> 'N' </t>
        </is>
      </c>
      <c r="H5" s="17" t="inlineStr">
        <is>
          <t>2</t>
        </is>
      </c>
      <c r="I5" s="17" t="inlineStr">
        <is>
          <t>7</t>
        </is>
      </c>
      <c r="J5" s="17" t="inlineStr">
        <is>
          <t>16</t>
        </is>
      </c>
      <c r="K5" s="17" t="inlineStr">
        <is>
          <t>N</t>
        </is>
      </c>
      <c r="M5" s="15" t="inlineStr">
        <is>
          <t>INSERT INTO</t>
        </is>
      </c>
      <c r="N5" s="15" t="inlineStr">
        <is>
          <t>MNG_DEAL_LIST_DSP_TBL</t>
        </is>
      </c>
      <c r="O5" s="15" t="inlineStr">
        <is>
          <t>VALUES(</t>
        </is>
      </c>
      <c r="P5" s="15" t="inlineStr">
        <is>
          <t xml:space="preserve">2 , 7 , 16 , 'N' </t>
        </is>
      </c>
      <c r="Q5" s="15" t="inlineStr">
        <is>
          <t>);</t>
        </is>
      </c>
      <c r="S5" s="18">
        <f>EXACT(TRIM(C5),H5&amp;"")</f>
        <v/>
      </c>
      <c r="T5" s="18">
        <f>EXACT(TRIM(D5),I5&amp;"")</f>
        <v/>
      </c>
      <c r="U5" s="18">
        <f>EXACT(TRIM(E5),J5&amp;"")</f>
        <v/>
      </c>
      <c r="V5" s="18">
        <f>EXACT(TRIM(F5),"'"&amp;K5&amp;"'")</f>
        <v/>
      </c>
      <c r="W5" s="18">
        <f>AND(S5:V5)</f>
        <v/>
      </c>
      <c r="X5" s="19">
        <f>TRIM(IF(S5,"",$S$3&amp;" ")&amp;IF(T5,"",$T$3&amp;" ")&amp;IF(U5,"",$U$3&amp;" ")&amp;IF(V5,"",$V$3&amp;" "))</f>
        <v/>
      </c>
      <c r="Y5" s="18">
        <f>EXACT(SUBSTITUTE(A5," ",""),SUBSTITUTE(M5&amp;N5&amp;O5&amp;P5&amp;Q5," ",""))</f>
        <v/>
      </c>
    </row>
    <row r="6">
      <c r="A6" s="15" t="inlineStr">
        <is>
          <t>INSERT INTO MNG_DEAL_LIST_DSP_TBL VALUES(2 , 8 , 16 , 'N' );</t>
        </is>
      </c>
      <c r="B6" s="16" t="n"/>
      <c r="C6" s="15" t="inlineStr">
        <is>
          <t xml:space="preserve">2 </t>
        </is>
      </c>
      <c r="D6" s="15" t="inlineStr">
        <is>
          <t xml:space="preserve"> 8 </t>
        </is>
      </c>
      <c r="E6" s="15" t="inlineStr">
        <is>
          <t xml:space="preserve"> 16 </t>
        </is>
      </c>
      <c r="F6" s="15" t="inlineStr">
        <is>
          <t xml:space="preserve"> 'N' </t>
        </is>
      </c>
      <c r="H6" s="17" t="inlineStr">
        <is>
          <t>2</t>
        </is>
      </c>
      <c r="I6" s="17" t="inlineStr">
        <is>
          <t>8</t>
        </is>
      </c>
      <c r="J6" s="17" t="inlineStr">
        <is>
          <t>16</t>
        </is>
      </c>
      <c r="K6" s="17" t="inlineStr">
        <is>
          <t>N</t>
        </is>
      </c>
      <c r="M6" s="15" t="inlineStr">
        <is>
          <t>INSERT INTO</t>
        </is>
      </c>
      <c r="N6" s="15" t="inlineStr">
        <is>
          <t>MNG_DEAL_LIST_DSP_TBL</t>
        </is>
      </c>
      <c r="O6" s="15" t="inlineStr">
        <is>
          <t>VALUES(</t>
        </is>
      </c>
      <c r="P6" s="15" t="inlineStr">
        <is>
          <t xml:space="preserve">2 , 8 , 16 , 'N' </t>
        </is>
      </c>
      <c r="Q6" s="15" t="inlineStr">
        <is>
          <t>);</t>
        </is>
      </c>
      <c r="S6" s="18">
        <f>EXACT(TRIM(C6),H6&amp;"")</f>
        <v/>
      </c>
      <c r="T6" s="18">
        <f>EXACT(TRIM(D6),I6&amp;"")</f>
        <v/>
      </c>
      <c r="U6" s="18">
        <f>EXACT(TRIM(E6),J6&amp;"")</f>
        <v/>
      </c>
      <c r="V6" s="18">
        <f>EXACT(TRIM(F6),"'"&amp;K6&amp;"'")</f>
        <v/>
      </c>
      <c r="W6" s="18">
        <f>AND(S6:V6)</f>
        <v/>
      </c>
      <c r="X6" s="19">
        <f>TRIM(IF(S6,"",$S$3&amp;" ")&amp;IF(T6,"",$T$3&amp;" ")&amp;IF(U6,"",$U$3&amp;" ")&amp;IF(V6,"",$V$3&amp;" "))</f>
        <v/>
      </c>
      <c r="Y6" s="18">
        <f>EXACT(SUBSTITUTE(A6," ",""),SUBSTITUTE(M6&amp;N6&amp;O6&amp;P6&amp;Q6," ",""))</f>
        <v/>
      </c>
    </row>
    <row r="7">
      <c r="A7" s="15" t="inlineStr">
        <is>
          <t>INSERT INTO MNG_DEAL_LIST_DSP_TBL VALUES(2 , 10 , 16 , 'N' );</t>
        </is>
      </c>
      <c r="B7" s="16" t="n"/>
      <c r="C7" s="15" t="inlineStr">
        <is>
          <t xml:space="preserve">2 </t>
        </is>
      </c>
      <c r="D7" s="15" t="inlineStr">
        <is>
          <t xml:space="preserve"> 10 </t>
        </is>
      </c>
      <c r="E7" s="15" t="inlineStr">
        <is>
          <t xml:space="preserve"> 16 </t>
        </is>
      </c>
      <c r="F7" s="15" t="inlineStr">
        <is>
          <t xml:space="preserve"> 'N' </t>
        </is>
      </c>
      <c r="H7" s="17" t="inlineStr">
        <is>
          <t>2</t>
        </is>
      </c>
      <c r="I7" s="17" t="inlineStr">
        <is>
          <t>10</t>
        </is>
      </c>
      <c r="J7" s="17" t="inlineStr">
        <is>
          <t>16</t>
        </is>
      </c>
      <c r="K7" s="17" t="inlineStr">
        <is>
          <t>N</t>
        </is>
      </c>
      <c r="M7" s="15" t="inlineStr">
        <is>
          <t>INSERT INTO</t>
        </is>
      </c>
      <c r="N7" s="15" t="inlineStr">
        <is>
          <t>MNG_DEAL_LIST_DSP_TBL</t>
        </is>
      </c>
      <c r="O7" s="15" t="inlineStr">
        <is>
          <t>VALUES(</t>
        </is>
      </c>
      <c r="P7" s="15" t="inlineStr">
        <is>
          <t xml:space="preserve">2 , 10 , 16 , 'N' </t>
        </is>
      </c>
      <c r="Q7" s="15" t="inlineStr">
        <is>
          <t>);</t>
        </is>
      </c>
      <c r="S7" s="18">
        <f>EXACT(TRIM(C7),H7&amp;"")</f>
        <v/>
      </c>
      <c r="T7" s="18">
        <f>EXACT(TRIM(D7),I7&amp;"")</f>
        <v/>
      </c>
      <c r="U7" s="18">
        <f>EXACT(TRIM(E7),J7&amp;"")</f>
        <v/>
      </c>
      <c r="V7" s="18">
        <f>EXACT(TRIM(F7),"'"&amp;K7&amp;"'")</f>
        <v/>
      </c>
      <c r="W7" s="18">
        <f>AND(S7:V7)</f>
        <v/>
      </c>
      <c r="X7" s="19">
        <f>TRIM(IF(S7,"",$S$3&amp;" ")&amp;IF(T7,"",$T$3&amp;" ")&amp;IF(U7,"",$U$3&amp;" ")&amp;IF(V7,"",$V$3&amp;" "))</f>
        <v/>
      </c>
      <c r="Y7" s="18">
        <f>EXACT(SUBSTITUTE(A7," ",""),SUBSTITUTE(M7&amp;N7&amp;O7&amp;P7&amp;Q7," ",""))</f>
        <v/>
      </c>
    </row>
    <row r="8">
      <c r="A8" s="15" t="inlineStr">
        <is>
          <t>INSERT INTO MNG_DEAL_LIST_DSP_TBL VALUES(2 , 11 , 16 , 'N' );</t>
        </is>
      </c>
      <c r="B8" s="16" t="n"/>
      <c r="C8" s="15" t="inlineStr">
        <is>
          <t xml:space="preserve">2 </t>
        </is>
      </c>
      <c r="D8" s="15" t="inlineStr">
        <is>
          <t xml:space="preserve"> 11 </t>
        </is>
      </c>
      <c r="E8" s="15" t="inlineStr">
        <is>
          <t xml:space="preserve"> 16 </t>
        </is>
      </c>
      <c r="F8" s="15" t="inlineStr">
        <is>
          <t xml:space="preserve"> 'N' </t>
        </is>
      </c>
      <c r="H8" s="17" t="inlineStr">
        <is>
          <t>2</t>
        </is>
      </c>
      <c r="I8" s="17" t="inlineStr">
        <is>
          <t>11</t>
        </is>
      </c>
      <c r="J8" s="17" t="inlineStr">
        <is>
          <t>16</t>
        </is>
      </c>
      <c r="K8" s="17" t="inlineStr">
        <is>
          <t>N</t>
        </is>
      </c>
      <c r="M8" s="15" t="inlineStr">
        <is>
          <t>INSERT INTO</t>
        </is>
      </c>
      <c r="N8" s="15" t="inlineStr">
        <is>
          <t>MNG_DEAL_LIST_DSP_TBL</t>
        </is>
      </c>
      <c r="O8" s="15" t="inlineStr">
        <is>
          <t>VALUES(</t>
        </is>
      </c>
      <c r="P8" s="15" t="inlineStr">
        <is>
          <t xml:space="preserve">2 , 11 , 16 , 'N' </t>
        </is>
      </c>
      <c r="Q8" s="15" t="inlineStr">
        <is>
          <t>);</t>
        </is>
      </c>
      <c r="S8" s="18">
        <f>EXACT(TRIM(C8),H8&amp;"")</f>
        <v/>
      </c>
      <c r="T8" s="18">
        <f>EXACT(TRIM(D8),I8&amp;"")</f>
        <v/>
      </c>
      <c r="U8" s="18">
        <f>EXACT(TRIM(E8),J8&amp;"")</f>
        <v/>
      </c>
      <c r="V8" s="18">
        <f>EXACT(TRIM(F8),"'"&amp;K8&amp;"'")</f>
        <v/>
      </c>
      <c r="W8" s="18">
        <f>AND(S8:V8)</f>
        <v/>
      </c>
      <c r="X8" s="19">
        <f>TRIM(IF(S8,"",$S$3&amp;" ")&amp;IF(T8,"",$T$3&amp;" ")&amp;IF(U8,"",$U$3&amp;" ")&amp;IF(V8,"",$V$3&amp;" "))</f>
        <v/>
      </c>
      <c r="Y8" s="18">
        <f>EXACT(SUBSTITUTE(A8," ",""),SUBSTITUTE(M8&amp;N8&amp;O8&amp;P8&amp;Q8," ",""))</f>
        <v/>
      </c>
    </row>
    <row r="9">
      <c r="A9" s="15" t="inlineStr">
        <is>
          <t>INSERT INTO MNG_DEAL_LIST_DSP_TBL VALUES(2 , 14 , 16 , 'N' );</t>
        </is>
      </c>
      <c r="B9" s="16" t="n"/>
      <c r="C9" s="15" t="inlineStr">
        <is>
          <t xml:space="preserve">2 </t>
        </is>
      </c>
      <c r="D9" s="15" t="inlineStr">
        <is>
          <t xml:space="preserve"> 14 </t>
        </is>
      </c>
      <c r="E9" s="15" t="inlineStr">
        <is>
          <t xml:space="preserve"> 16 </t>
        </is>
      </c>
      <c r="F9" s="15" t="inlineStr">
        <is>
          <t xml:space="preserve"> 'N' </t>
        </is>
      </c>
      <c r="H9" s="17" t="inlineStr">
        <is>
          <t>2</t>
        </is>
      </c>
      <c r="I9" s="17" t="inlineStr">
        <is>
          <t>14</t>
        </is>
      </c>
      <c r="J9" s="17" t="inlineStr">
        <is>
          <t>16</t>
        </is>
      </c>
      <c r="K9" s="17" t="inlineStr">
        <is>
          <t>N</t>
        </is>
      </c>
      <c r="M9" s="15" t="inlineStr">
        <is>
          <t>INSERT INTO</t>
        </is>
      </c>
      <c r="N9" s="15" t="inlineStr">
        <is>
          <t>MNG_DEAL_LIST_DSP_TBL</t>
        </is>
      </c>
      <c r="O9" s="15" t="inlineStr">
        <is>
          <t>VALUES(</t>
        </is>
      </c>
      <c r="P9" s="15" t="inlineStr">
        <is>
          <t xml:space="preserve">2 , 14 , 16 , 'N' </t>
        </is>
      </c>
      <c r="Q9" s="15" t="inlineStr">
        <is>
          <t>);</t>
        </is>
      </c>
      <c r="S9" s="18">
        <f>EXACT(TRIM(C9),H9&amp;"")</f>
        <v/>
      </c>
      <c r="T9" s="18">
        <f>EXACT(TRIM(D9),I9&amp;"")</f>
        <v/>
      </c>
      <c r="U9" s="18">
        <f>EXACT(TRIM(E9),J9&amp;"")</f>
        <v/>
      </c>
      <c r="V9" s="18">
        <f>EXACT(TRIM(F9),"'"&amp;K9&amp;"'")</f>
        <v/>
      </c>
      <c r="W9" s="18">
        <f>AND(S9:V9)</f>
        <v/>
      </c>
      <c r="X9" s="19">
        <f>TRIM(IF(S9,"",$S$3&amp;" ")&amp;IF(T9,"",$T$3&amp;" ")&amp;IF(U9,"",$U$3&amp;" ")&amp;IF(V9,"",$V$3&amp;" "))</f>
        <v/>
      </c>
      <c r="Y9" s="18">
        <f>EXACT(SUBSTITUTE(A9," ",""),SUBSTITUTE(M9&amp;N9&amp;O9&amp;P9&amp;Q9," ",""))</f>
        <v/>
      </c>
    </row>
    <row r="10">
      <c r="A10" s="15" t="inlineStr">
        <is>
          <t>INSERT INTO MNG_DEAL_LIST_DSP_TBL VALUES(2 , 15 , 16 , 'N' );</t>
        </is>
      </c>
      <c r="B10" s="16" t="n"/>
      <c r="C10" s="15" t="inlineStr">
        <is>
          <t xml:space="preserve">2 </t>
        </is>
      </c>
      <c r="D10" s="15" t="inlineStr">
        <is>
          <t xml:space="preserve"> 15 </t>
        </is>
      </c>
      <c r="E10" s="15" t="inlineStr">
        <is>
          <t xml:space="preserve"> 16 </t>
        </is>
      </c>
      <c r="F10" s="15" t="inlineStr">
        <is>
          <t xml:space="preserve"> 'N' </t>
        </is>
      </c>
      <c r="H10" s="17" t="inlineStr">
        <is>
          <t>2</t>
        </is>
      </c>
      <c r="I10" s="17" t="inlineStr">
        <is>
          <t>15</t>
        </is>
      </c>
      <c r="J10" s="17" t="inlineStr">
        <is>
          <t>16</t>
        </is>
      </c>
      <c r="K10" s="17" t="inlineStr">
        <is>
          <t>N</t>
        </is>
      </c>
      <c r="M10" s="15" t="inlineStr">
        <is>
          <t>INSERT INTO</t>
        </is>
      </c>
      <c r="N10" s="15" t="inlineStr">
        <is>
          <t>MNG_DEAL_LIST_DSP_TBL</t>
        </is>
      </c>
      <c r="O10" s="15" t="inlineStr">
        <is>
          <t>VALUES(</t>
        </is>
      </c>
      <c r="P10" s="15" t="inlineStr">
        <is>
          <t xml:space="preserve">2 , 15 , 16 , 'N' </t>
        </is>
      </c>
      <c r="Q10" s="15" t="inlineStr">
        <is>
          <t>);</t>
        </is>
      </c>
      <c r="S10" s="18">
        <f>EXACT(TRIM(C10),H10&amp;"")</f>
        <v/>
      </c>
      <c r="T10" s="18">
        <f>EXACT(TRIM(D10),I10&amp;"")</f>
        <v/>
      </c>
      <c r="U10" s="18">
        <f>EXACT(TRIM(E10),J10&amp;"")</f>
        <v/>
      </c>
      <c r="V10" s="18">
        <f>EXACT(TRIM(F10),"'"&amp;K10&amp;"'")</f>
        <v/>
      </c>
      <c r="W10" s="18">
        <f>AND(S10:V10)</f>
        <v/>
      </c>
      <c r="X10" s="19">
        <f>TRIM(IF(S10,"",$S$3&amp;" ")&amp;IF(T10,"",$T$3&amp;" ")&amp;IF(U10,"",$U$3&amp;" ")&amp;IF(V10,"",$V$3&amp;" "))</f>
        <v/>
      </c>
      <c r="Y10" s="18">
        <f>EXACT(SUBSTITUTE(A10," ",""),SUBSTITUTE(M10&amp;N10&amp;O10&amp;P10&amp;Q10," ",""))</f>
        <v/>
      </c>
    </row>
    <row r="11">
      <c r="A11" s="15" t="inlineStr">
        <is>
          <t>INSERT INTO MNG_DEAL_LIST_DSP_TBL VALUES(3 , 6 , 16 , 'N' );</t>
        </is>
      </c>
      <c r="B11" s="16" t="n"/>
      <c r="C11" s="15" t="inlineStr">
        <is>
          <t xml:space="preserve">3 </t>
        </is>
      </c>
      <c r="D11" s="15" t="inlineStr">
        <is>
          <t xml:space="preserve"> 6 </t>
        </is>
      </c>
      <c r="E11" s="15" t="inlineStr">
        <is>
          <t xml:space="preserve"> 16 </t>
        </is>
      </c>
      <c r="F11" s="15" t="inlineStr">
        <is>
          <t xml:space="preserve"> 'N' </t>
        </is>
      </c>
      <c r="H11" s="17" t="inlineStr">
        <is>
          <t>3</t>
        </is>
      </c>
      <c r="I11" s="17" t="inlineStr">
        <is>
          <t>6</t>
        </is>
      </c>
      <c r="J11" s="17" t="inlineStr">
        <is>
          <t>16</t>
        </is>
      </c>
      <c r="K11" s="17" t="inlineStr">
        <is>
          <t>N</t>
        </is>
      </c>
      <c r="M11" s="15" t="inlineStr">
        <is>
          <t>INSERT INTO</t>
        </is>
      </c>
      <c r="N11" s="15" t="inlineStr">
        <is>
          <t>MNG_DEAL_LIST_DSP_TBL</t>
        </is>
      </c>
      <c r="O11" s="15" t="inlineStr">
        <is>
          <t>VALUES(</t>
        </is>
      </c>
      <c r="P11" s="15" t="inlineStr">
        <is>
          <t xml:space="preserve">3 , 6 , 16 , 'N' </t>
        </is>
      </c>
      <c r="Q11" s="15" t="inlineStr">
        <is>
          <t>);</t>
        </is>
      </c>
      <c r="S11" s="18">
        <f>EXACT(TRIM(C11),H11&amp;"")</f>
        <v/>
      </c>
      <c r="T11" s="18">
        <f>EXACT(TRIM(D11),I11&amp;"")</f>
        <v/>
      </c>
      <c r="U11" s="18">
        <f>EXACT(TRIM(E11),J11&amp;"")</f>
        <v/>
      </c>
      <c r="V11" s="18">
        <f>EXACT(TRIM(F11),"'"&amp;K11&amp;"'")</f>
        <v/>
      </c>
      <c r="W11" s="18">
        <f>AND(S11:V11)</f>
        <v/>
      </c>
      <c r="X11" s="19">
        <f>TRIM(IF(S11,"",$S$3&amp;" ")&amp;IF(T11,"",$T$3&amp;" ")&amp;IF(U11,"",$U$3&amp;" ")&amp;IF(V11,"",$V$3&amp;" "))</f>
        <v/>
      </c>
      <c r="Y11" s="18">
        <f>EXACT(SUBSTITUTE(A11," ",""),SUBSTITUTE(M11&amp;N11&amp;O11&amp;P11&amp;Q11," ",""))</f>
        <v/>
      </c>
    </row>
    <row r="12">
      <c r="A12" s="15" t="inlineStr">
        <is>
          <t>INSERT INTO MNG_DEAL_LIST_DSP_TBL VALUES(3 , 7 , 16 , 'N' );</t>
        </is>
      </c>
      <c r="B12" s="16" t="n"/>
      <c r="C12" s="15" t="inlineStr">
        <is>
          <t xml:space="preserve">3 </t>
        </is>
      </c>
      <c r="D12" s="15" t="inlineStr">
        <is>
          <t xml:space="preserve"> 7 </t>
        </is>
      </c>
      <c r="E12" s="15" t="inlineStr">
        <is>
          <t xml:space="preserve"> 16 </t>
        </is>
      </c>
      <c r="F12" s="15" t="inlineStr">
        <is>
          <t xml:space="preserve"> 'N' </t>
        </is>
      </c>
      <c r="H12" s="17" t="inlineStr">
        <is>
          <t>3</t>
        </is>
      </c>
      <c r="I12" s="17" t="inlineStr">
        <is>
          <t>7</t>
        </is>
      </c>
      <c r="J12" s="17" t="inlineStr">
        <is>
          <t>16</t>
        </is>
      </c>
      <c r="K12" s="17" t="inlineStr">
        <is>
          <t>N</t>
        </is>
      </c>
      <c r="M12" s="15" t="inlineStr">
        <is>
          <t>INSERT INTO</t>
        </is>
      </c>
      <c r="N12" s="15" t="inlineStr">
        <is>
          <t>MNG_DEAL_LIST_DSP_TBL</t>
        </is>
      </c>
      <c r="O12" s="15" t="inlineStr">
        <is>
          <t>VALUES(</t>
        </is>
      </c>
      <c r="P12" s="15" t="inlineStr">
        <is>
          <t xml:space="preserve">3 , 7 , 16 , 'N' </t>
        </is>
      </c>
      <c r="Q12" s="15" t="inlineStr">
        <is>
          <t>);</t>
        </is>
      </c>
      <c r="S12" s="18">
        <f>EXACT(TRIM(C12),H12&amp;"")</f>
        <v/>
      </c>
      <c r="T12" s="18">
        <f>EXACT(TRIM(D12),I12&amp;"")</f>
        <v/>
      </c>
      <c r="U12" s="18">
        <f>EXACT(TRIM(E12),J12&amp;"")</f>
        <v/>
      </c>
      <c r="V12" s="18">
        <f>EXACT(TRIM(F12),"'"&amp;K12&amp;"'")</f>
        <v/>
      </c>
      <c r="W12" s="18">
        <f>AND(S12:V12)</f>
        <v/>
      </c>
      <c r="X12" s="19">
        <f>TRIM(IF(S12,"",$S$3&amp;" ")&amp;IF(T12,"",$T$3&amp;" ")&amp;IF(U12,"",$U$3&amp;" ")&amp;IF(V12,"",$V$3&amp;" "))</f>
        <v/>
      </c>
      <c r="Y12" s="18">
        <f>EXACT(SUBSTITUTE(A12," ",""),SUBSTITUTE(M12&amp;N12&amp;O12&amp;P12&amp;Q12," ",""))</f>
        <v/>
      </c>
    </row>
    <row r="13">
      <c r="A13" s="15" t="inlineStr">
        <is>
          <t>INSERT INTO MNG_DEAL_LIST_DSP_TBL VALUES(3 , 8 , 16 , 'N' );</t>
        </is>
      </c>
      <c r="B13" s="16" t="n"/>
      <c r="C13" s="15" t="inlineStr">
        <is>
          <t xml:space="preserve">3 </t>
        </is>
      </c>
      <c r="D13" s="15" t="inlineStr">
        <is>
          <t xml:space="preserve"> 8 </t>
        </is>
      </c>
      <c r="E13" s="15" t="inlineStr">
        <is>
          <t xml:space="preserve"> 16 </t>
        </is>
      </c>
      <c r="F13" s="15" t="inlineStr">
        <is>
          <t xml:space="preserve"> 'N' </t>
        </is>
      </c>
      <c r="H13" s="17" t="inlineStr">
        <is>
          <t>3</t>
        </is>
      </c>
      <c r="I13" s="17" t="inlineStr">
        <is>
          <t>8</t>
        </is>
      </c>
      <c r="J13" s="17" t="inlineStr">
        <is>
          <t>16</t>
        </is>
      </c>
      <c r="K13" s="17" t="inlineStr">
        <is>
          <t>N</t>
        </is>
      </c>
      <c r="M13" s="15" t="inlineStr">
        <is>
          <t>INSERT INTO</t>
        </is>
      </c>
      <c r="N13" s="15" t="inlineStr">
        <is>
          <t>MNG_DEAL_LIST_DSP_TBL</t>
        </is>
      </c>
      <c r="O13" s="15" t="inlineStr">
        <is>
          <t>VALUES(</t>
        </is>
      </c>
      <c r="P13" s="15" t="inlineStr">
        <is>
          <t xml:space="preserve">3 , 8 , 16 , 'N' </t>
        </is>
      </c>
      <c r="Q13" s="15" t="inlineStr">
        <is>
          <t>);</t>
        </is>
      </c>
      <c r="S13" s="18">
        <f>EXACT(TRIM(C13),H13&amp;"")</f>
        <v/>
      </c>
      <c r="T13" s="18">
        <f>EXACT(TRIM(D13),I13&amp;"")</f>
        <v/>
      </c>
      <c r="U13" s="18">
        <f>EXACT(TRIM(E13),J13&amp;"")</f>
        <v/>
      </c>
      <c r="V13" s="18">
        <f>EXACT(TRIM(F13),"'"&amp;K13&amp;"'")</f>
        <v/>
      </c>
      <c r="W13" s="18">
        <f>AND(S13:V13)</f>
        <v/>
      </c>
      <c r="X13" s="19">
        <f>TRIM(IF(S13,"",$S$3&amp;" ")&amp;IF(T13,"",$T$3&amp;" ")&amp;IF(U13,"",$U$3&amp;" ")&amp;IF(V13,"",$V$3&amp;" "))</f>
        <v/>
      </c>
      <c r="Y13" s="18">
        <f>EXACT(SUBSTITUTE(A13," ",""),SUBSTITUTE(M13&amp;N13&amp;O13&amp;P13&amp;Q13," ",""))</f>
        <v/>
      </c>
    </row>
    <row r="14">
      <c r="A14" s="15" t="inlineStr">
        <is>
          <t>INSERT INTO MNG_DEAL_LIST_DSP_TBL VALUES(3 , 10 , 16 , 'N' );</t>
        </is>
      </c>
      <c r="B14" s="16" t="n"/>
      <c r="C14" s="15" t="inlineStr">
        <is>
          <t xml:space="preserve">3 </t>
        </is>
      </c>
      <c r="D14" s="15" t="inlineStr">
        <is>
          <t xml:space="preserve"> 10 </t>
        </is>
      </c>
      <c r="E14" s="15" t="inlineStr">
        <is>
          <t xml:space="preserve"> 16 </t>
        </is>
      </c>
      <c r="F14" s="15" t="inlineStr">
        <is>
          <t xml:space="preserve"> 'N' </t>
        </is>
      </c>
      <c r="H14" s="17" t="inlineStr">
        <is>
          <t>3</t>
        </is>
      </c>
      <c r="I14" s="17" t="inlineStr">
        <is>
          <t>10</t>
        </is>
      </c>
      <c r="J14" s="17" t="inlineStr">
        <is>
          <t>16</t>
        </is>
      </c>
      <c r="K14" s="17" t="inlineStr">
        <is>
          <t>N</t>
        </is>
      </c>
      <c r="M14" s="15" t="inlineStr">
        <is>
          <t>INSERT INTO</t>
        </is>
      </c>
      <c r="N14" s="15" t="inlineStr">
        <is>
          <t>MNG_DEAL_LIST_DSP_TBL</t>
        </is>
      </c>
      <c r="O14" s="15" t="inlineStr">
        <is>
          <t>VALUES(</t>
        </is>
      </c>
      <c r="P14" s="15" t="inlineStr">
        <is>
          <t xml:space="preserve">3 , 10 , 16 , 'N' </t>
        </is>
      </c>
      <c r="Q14" s="15" t="inlineStr">
        <is>
          <t>);</t>
        </is>
      </c>
      <c r="S14" s="18">
        <f>EXACT(TRIM(C14),H14&amp;"")</f>
        <v/>
      </c>
      <c r="T14" s="18">
        <f>EXACT(TRIM(D14),I14&amp;"")</f>
        <v/>
      </c>
      <c r="U14" s="18">
        <f>EXACT(TRIM(E14),J14&amp;"")</f>
        <v/>
      </c>
      <c r="V14" s="18">
        <f>EXACT(TRIM(F14),"'"&amp;K14&amp;"'")</f>
        <v/>
      </c>
      <c r="W14" s="18">
        <f>AND(S14:V14)</f>
        <v/>
      </c>
      <c r="X14" s="19">
        <f>TRIM(IF(S14,"",$S$3&amp;" ")&amp;IF(T14,"",$T$3&amp;" ")&amp;IF(U14,"",$U$3&amp;" ")&amp;IF(V14,"",$V$3&amp;" "))</f>
        <v/>
      </c>
      <c r="Y14" s="18">
        <f>EXACT(SUBSTITUTE(A14," ",""),SUBSTITUTE(M14&amp;N14&amp;O14&amp;P14&amp;Q14," ",""))</f>
        <v/>
      </c>
    </row>
    <row r="15">
      <c r="A15" s="15" t="inlineStr">
        <is>
          <t>INSERT INTO MNG_DEAL_LIST_DSP_TBL VALUES(3 , 11 , 16 , 'N' );</t>
        </is>
      </c>
      <c r="B15" s="16" t="n"/>
      <c r="C15" s="15" t="inlineStr">
        <is>
          <t xml:space="preserve">3 </t>
        </is>
      </c>
      <c r="D15" s="15" t="inlineStr">
        <is>
          <t xml:space="preserve"> 11 </t>
        </is>
      </c>
      <c r="E15" s="15" t="inlineStr">
        <is>
          <t xml:space="preserve"> 16 </t>
        </is>
      </c>
      <c r="F15" s="15" t="inlineStr">
        <is>
          <t xml:space="preserve"> 'N' </t>
        </is>
      </c>
      <c r="H15" s="17" t="inlineStr">
        <is>
          <t>3</t>
        </is>
      </c>
      <c r="I15" s="17" t="inlineStr">
        <is>
          <t>11</t>
        </is>
      </c>
      <c r="J15" s="17" t="inlineStr">
        <is>
          <t>16</t>
        </is>
      </c>
      <c r="K15" s="17" t="inlineStr">
        <is>
          <t>N</t>
        </is>
      </c>
      <c r="M15" s="15" t="inlineStr">
        <is>
          <t>INSERT INTO</t>
        </is>
      </c>
      <c r="N15" s="15" t="inlineStr">
        <is>
          <t>MNG_DEAL_LIST_DSP_TBL</t>
        </is>
      </c>
      <c r="O15" s="15" t="inlineStr">
        <is>
          <t>VALUES(</t>
        </is>
      </c>
      <c r="P15" s="15" t="inlineStr">
        <is>
          <t xml:space="preserve">3 , 11 , 16 , 'N' </t>
        </is>
      </c>
      <c r="Q15" s="15" t="inlineStr">
        <is>
          <t>);</t>
        </is>
      </c>
      <c r="S15" s="18">
        <f>EXACT(TRIM(C15),H15&amp;"")</f>
        <v/>
      </c>
      <c r="T15" s="18">
        <f>EXACT(TRIM(D15),I15&amp;"")</f>
        <v/>
      </c>
      <c r="U15" s="18">
        <f>EXACT(TRIM(E15),J15&amp;"")</f>
        <v/>
      </c>
      <c r="V15" s="18">
        <f>EXACT(TRIM(F15),"'"&amp;K15&amp;"'")</f>
        <v/>
      </c>
      <c r="W15" s="18">
        <f>AND(S15:V15)</f>
        <v/>
      </c>
      <c r="X15" s="19">
        <f>TRIM(IF(S15,"",$S$3&amp;" ")&amp;IF(T15,"",$T$3&amp;" ")&amp;IF(U15,"",$U$3&amp;" ")&amp;IF(V15,"",$V$3&amp;" "))</f>
        <v/>
      </c>
      <c r="Y15" s="18">
        <f>EXACT(SUBSTITUTE(A15," ",""),SUBSTITUTE(M15&amp;N15&amp;O15&amp;P15&amp;Q15," ",""))</f>
        <v/>
      </c>
    </row>
    <row r="16">
      <c r="A16" s="15" t="inlineStr">
        <is>
          <t>INSERT INTO MNG_DEAL_LIST_DSP_TBL VALUES(3 , 14 , 16 , 'N' );</t>
        </is>
      </c>
      <c r="B16" s="16" t="n"/>
      <c r="C16" s="15" t="inlineStr">
        <is>
          <t xml:space="preserve">3 </t>
        </is>
      </c>
      <c r="D16" s="15" t="inlineStr">
        <is>
          <t xml:space="preserve"> 14 </t>
        </is>
      </c>
      <c r="E16" s="15" t="inlineStr">
        <is>
          <t xml:space="preserve"> 16 </t>
        </is>
      </c>
      <c r="F16" s="15" t="inlineStr">
        <is>
          <t xml:space="preserve"> 'N' </t>
        </is>
      </c>
      <c r="H16" s="17" t="inlineStr">
        <is>
          <t>3</t>
        </is>
      </c>
      <c r="I16" s="17" t="inlineStr">
        <is>
          <t>14</t>
        </is>
      </c>
      <c r="J16" s="17" t="inlineStr">
        <is>
          <t>16</t>
        </is>
      </c>
      <c r="K16" s="17" t="inlineStr">
        <is>
          <t>N</t>
        </is>
      </c>
      <c r="M16" s="15" t="inlineStr">
        <is>
          <t>INSERT INTO</t>
        </is>
      </c>
      <c r="N16" s="15" t="inlineStr">
        <is>
          <t>MNG_DEAL_LIST_DSP_TBL</t>
        </is>
      </c>
      <c r="O16" s="15" t="inlineStr">
        <is>
          <t>VALUES(</t>
        </is>
      </c>
      <c r="P16" s="15" t="inlineStr">
        <is>
          <t xml:space="preserve">3 , 14 , 16 , 'N' </t>
        </is>
      </c>
      <c r="Q16" s="15" t="inlineStr">
        <is>
          <t>);</t>
        </is>
      </c>
      <c r="S16" s="18">
        <f>EXACT(TRIM(C16),H16&amp;"")</f>
        <v/>
      </c>
      <c r="T16" s="18">
        <f>EXACT(TRIM(D16),I16&amp;"")</f>
        <v/>
      </c>
      <c r="U16" s="18">
        <f>EXACT(TRIM(E16),J16&amp;"")</f>
        <v/>
      </c>
      <c r="V16" s="18">
        <f>EXACT(TRIM(F16),"'"&amp;K16&amp;"'")</f>
        <v/>
      </c>
      <c r="W16" s="18">
        <f>AND(S16:V16)</f>
        <v/>
      </c>
      <c r="X16" s="19">
        <f>TRIM(IF(S16,"",$S$3&amp;" ")&amp;IF(T16,"",$T$3&amp;" ")&amp;IF(U16,"",$U$3&amp;" ")&amp;IF(V16,"",$V$3&amp;" "))</f>
        <v/>
      </c>
      <c r="Y16" s="18">
        <f>EXACT(SUBSTITUTE(A16," ",""),SUBSTITUTE(M16&amp;N16&amp;O16&amp;P16&amp;Q16," ",""))</f>
        <v/>
      </c>
    </row>
    <row r="17">
      <c r="A17" s="15" t="inlineStr">
        <is>
          <t>INSERT INTO MNG_DEAL_LIST_DSP_TBL VALUES(3 , 15 , 16 , 'N' );</t>
        </is>
      </c>
      <c r="B17" s="16" t="n"/>
      <c r="C17" s="15" t="inlineStr">
        <is>
          <t xml:space="preserve">3 </t>
        </is>
      </c>
      <c r="D17" s="15" t="inlineStr">
        <is>
          <t xml:space="preserve"> 15 </t>
        </is>
      </c>
      <c r="E17" s="15" t="inlineStr">
        <is>
          <t xml:space="preserve"> 16 </t>
        </is>
      </c>
      <c r="F17" s="15" t="inlineStr">
        <is>
          <t xml:space="preserve"> 'N' </t>
        </is>
      </c>
      <c r="H17" s="17" t="inlineStr">
        <is>
          <t>3</t>
        </is>
      </c>
      <c r="I17" s="17" t="inlineStr">
        <is>
          <t>15</t>
        </is>
      </c>
      <c r="J17" s="17" t="inlineStr">
        <is>
          <t>16</t>
        </is>
      </c>
      <c r="K17" s="17" t="inlineStr">
        <is>
          <t>N</t>
        </is>
      </c>
      <c r="M17" s="15" t="inlineStr">
        <is>
          <t>INSERT INTO</t>
        </is>
      </c>
      <c r="N17" s="15" t="inlineStr">
        <is>
          <t>MNG_DEAL_LIST_DSP_TBL</t>
        </is>
      </c>
      <c r="O17" s="15" t="inlineStr">
        <is>
          <t>VALUES(</t>
        </is>
      </c>
      <c r="P17" s="15" t="inlineStr">
        <is>
          <t xml:space="preserve">3 , 15 , 16 , 'N' </t>
        </is>
      </c>
      <c r="Q17" s="15" t="inlineStr">
        <is>
          <t>);</t>
        </is>
      </c>
      <c r="S17" s="18">
        <f>EXACT(TRIM(C17),H17&amp;"")</f>
        <v/>
      </c>
      <c r="T17" s="18">
        <f>EXACT(TRIM(D17),I17&amp;"")</f>
        <v/>
      </c>
      <c r="U17" s="18">
        <f>EXACT(TRIM(E17),J17&amp;"")</f>
        <v/>
      </c>
      <c r="V17" s="18">
        <f>EXACT(TRIM(F17),"'"&amp;K17&amp;"'")</f>
        <v/>
      </c>
      <c r="W17" s="18">
        <f>AND(S17:V17)</f>
        <v/>
      </c>
      <c r="X17" s="19">
        <f>TRIM(IF(S17,"",$S$3&amp;" ")&amp;IF(T17,"",$T$3&amp;" ")&amp;IF(U17,"",$U$3&amp;" ")&amp;IF(V17,"",$V$3&amp;" "))</f>
        <v/>
      </c>
      <c r="Y17" s="18">
        <f>EXACT(SUBSTITUTE(A17," ",""),SUBSTITUTE(M17&amp;N17&amp;O17&amp;P17&amp;Q17," ",""))</f>
        <v/>
      </c>
    </row>
    <row r="18">
      <c r="A18" s="15" t="inlineStr">
        <is>
          <t>INSERT INTO MNG_DEAL_LIST_DSP_TBL VALUES(4 , 6 , 16 , 'N' );</t>
        </is>
      </c>
      <c r="B18" s="16" t="n"/>
      <c r="C18" s="15" t="inlineStr">
        <is>
          <t xml:space="preserve">4 </t>
        </is>
      </c>
      <c r="D18" s="15" t="inlineStr">
        <is>
          <t xml:space="preserve"> 6 </t>
        </is>
      </c>
      <c r="E18" s="15" t="inlineStr">
        <is>
          <t xml:space="preserve"> 16 </t>
        </is>
      </c>
      <c r="F18" s="15" t="inlineStr">
        <is>
          <t xml:space="preserve"> 'N' </t>
        </is>
      </c>
      <c r="H18" s="17" t="inlineStr">
        <is>
          <t>4</t>
        </is>
      </c>
      <c r="I18" s="17" t="inlineStr">
        <is>
          <t>6</t>
        </is>
      </c>
      <c r="J18" s="17" t="inlineStr">
        <is>
          <t>16</t>
        </is>
      </c>
      <c r="K18" s="17" t="inlineStr">
        <is>
          <t>N</t>
        </is>
      </c>
      <c r="M18" s="15" t="inlineStr">
        <is>
          <t>INSERT INTO</t>
        </is>
      </c>
      <c r="N18" s="15" t="inlineStr">
        <is>
          <t>MNG_DEAL_LIST_DSP_TBL</t>
        </is>
      </c>
      <c r="O18" s="15" t="inlineStr">
        <is>
          <t>VALUES(</t>
        </is>
      </c>
      <c r="P18" s="15" t="inlineStr">
        <is>
          <t xml:space="preserve">4 , 6 , 16 , 'N' </t>
        </is>
      </c>
      <c r="Q18" s="15" t="inlineStr">
        <is>
          <t>);</t>
        </is>
      </c>
      <c r="S18" s="18">
        <f>EXACT(TRIM(C18),H18&amp;"")</f>
        <v/>
      </c>
      <c r="T18" s="18">
        <f>EXACT(TRIM(D18),I18&amp;"")</f>
        <v/>
      </c>
      <c r="U18" s="18">
        <f>EXACT(TRIM(E18),J18&amp;"")</f>
        <v/>
      </c>
      <c r="V18" s="18">
        <f>EXACT(TRIM(F18),"'"&amp;K18&amp;"'")</f>
        <v/>
      </c>
      <c r="W18" s="18">
        <f>AND(S18:V18)</f>
        <v/>
      </c>
      <c r="X18" s="19">
        <f>TRIM(IF(S18,"",$S$3&amp;" ")&amp;IF(T18,"",$T$3&amp;" ")&amp;IF(U18,"",$U$3&amp;" ")&amp;IF(V18,"",$V$3&amp;" "))</f>
        <v/>
      </c>
      <c r="Y18" s="18">
        <f>EXACT(SUBSTITUTE(A18," ",""),SUBSTITUTE(M18&amp;N18&amp;O18&amp;P18&amp;Q18," ",""))</f>
        <v/>
      </c>
    </row>
    <row r="19">
      <c r="A19" s="15" t="inlineStr">
        <is>
          <t>INSERT INTO MNG_DEAL_LIST_DSP_TBL VALUES(4 , 7 , 16 , 'N' );</t>
        </is>
      </c>
      <c r="B19" s="16" t="n"/>
      <c r="C19" s="15" t="inlineStr">
        <is>
          <t xml:space="preserve">4 </t>
        </is>
      </c>
      <c r="D19" s="15" t="inlineStr">
        <is>
          <t xml:space="preserve"> 7 </t>
        </is>
      </c>
      <c r="E19" s="15" t="inlineStr">
        <is>
          <t xml:space="preserve"> 16 </t>
        </is>
      </c>
      <c r="F19" s="15" t="inlineStr">
        <is>
          <t xml:space="preserve"> 'N' </t>
        </is>
      </c>
      <c r="H19" s="17" t="inlineStr">
        <is>
          <t>4</t>
        </is>
      </c>
      <c r="I19" s="17" t="inlineStr">
        <is>
          <t>7</t>
        </is>
      </c>
      <c r="J19" s="17" t="inlineStr">
        <is>
          <t>16</t>
        </is>
      </c>
      <c r="K19" s="17" t="inlineStr">
        <is>
          <t>N</t>
        </is>
      </c>
      <c r="M19" s="15" t="inlineStr">
        <is>
          <t>INSERT INTO</t>
        </is>
      </c>
      <c r="N19" s="15" t="inlineStr">
        <is>
          <t>MNG_DEAL_LIST_DSP_TBL</t>
        </is>
      </c>
      <c r="O19" s="15" t="inlineStr">
        <is>
          <t>VALUES(</t>
        </is>
      </c>
      <c r="P19" s="15" t="inlineStr">
        <is>
          <t xml:space="preserve">4 , 7 , 16 , 'N' </t>
        </is>
      </c>
      <c r="Q19" s="15" t="inlineStr">
        <is>
          <t>);</t>
        </is>
      </c>
      <c r="S19" s="18">
        <f>EXACT(TRIM(C19),H19&amp;"")</f>
        <v/>
      </c>
      <c r="T19" s="18">
        <f>EXACT(TRIM(D19),I19&amp;"")</f>
        <v/>
      </c>
      <c r="U19" s="18">
        <f>EXACT(TRIM(E19),J19&amp;"")</f>
        <v/>
      </c>
      <c r="V19" s="18">
        <f>EXACT(TRIM(F19),"'"&amp;K19&amp;"'")</f>
        <v/>
      </c>
      <c r="W19" s="18">
        <f>AND(S19:V19)</f>
        <v/>
      </c>
      <c r="X19" s="19">
        <f>TRIM(IF(S19,"",$S$3&amp;" ")&amp;IF(T19,"",$T$3&amp;" ")&amp;IF(U19,"",$U$3&amp;" ")&amp;IF(V19,"",$V$3&amp;" "))</f>
        <v/>
      </c>
      <c r="Y19" s="18">
        <f>EXACT(SUBSTITUTE(A19," ",""),SUBSTITUTE(M19&amp;N19&amp;O19&amp;P19&amp;Q19," ",""))</f>
        <v/>
      </c>
    </row>
    <row r="20">
      <c r="A20" s="15" t="inlineStr">
        <is>
          <t>INSERT INTO MNG_DEAL_LIST_DSP_TBL VALUES(4 , 8 , 16 , 'N' );</t>
        </is>
      </c>
      <c r="B20" s="16" t="n"/>
      <c r="C20" s="15" t="inlineStr">
        <is>
          <t xml:space="preserve">4 </t>
        </is>
      </c>
      <c r="D20" s="15" t="inlineStr">
        <is>
          <t xml:space="preserve"> 8 </t>
        </is>
      </c>
      <c r="E20" s="15" t="inlineStr">
        <is>
          <t xml:space="preserve"> 16 </t>
        </is>
      </c>
      <c r="F20" s="15" t="inlineStr">
        <is>
          <t xml:space="preserve"> 'N' </t>
        </is>
      </c>
      <c r="H20" s="17" t="inlineStr">
        <is>
          <t>4</t>
        </is>
      </c>
      <c r="I20" s="17" t="inlineStr">
        <is>
          <t>8</t>
        </is>
      </c>
      <c r="J20" s="17" t="inlineStr">
        <is>
          <t>16</t>
        </is>
      </c>
      <c r="K20" s="17" t="inlineStr">
        <is>
          <t>N</t>
        </is>
      </c>
      <c r="M20" s="15" t="inlineStr">
        <is>
          <t>INSERT INTO</t>
        </is>
      </c>
      <c r="N20" s="15" t="inlineStr">
        <is>
          <t>MNG_DEAL_LIST_DSP_TBL</t>
        </is>
      </c>
      <c r="O20" s="15" t="inlineStr">
        <is>
          <t>VALUES(</t>
        </is>
      </c>
      <c r="P20" s="15" t="inlineStr">
        <is>
          <t xml:space="preserve">4 , 8 , 16 , 'N' </t>
        </is>
      </c>
      <c r="Q20" s="15" t="inlineStr">
        <is>
          <t>);</t>
        </is>
      </c>
      <c r="S20" s="18">
        <f>EXACT(TRIM(C20),H20&amp;"")</f>
        <v/>
      </c>
      <c r="T20" s="18">
        <f>EXACT(TRIM(D20),I20&amp;"")</f>
        <v/>
      </c>
      <c r="U20" s="18">
        <f>EXACT(TRIM(E20),J20&amp;"")</f>
        <v/>
      </c>
      <c r="V20" s="18">
        <f>EXACT(TRIM(F20),"'"&amp;K20&amp;"'")</f>
        <v/>
      </c>
      <c r="W20" s="18">
        <f>AND(S20:V20)</f>
        <v/>
      </c>
      <c r="X20" s="19">
        <f>TRIM(IF(S20,"",$S$3&amp;" ")&amp;IF(T20,"",$T$3&amp;" ")&amp;IF(U20,"",$U$3&amp;" ")&amp;IF(V20,"",$V$3&amp;" "))</f>
        <v/>
      </c>
      <c r="Y20" s="18">
        <f>EXACT(SUBSTITUTE(A20," ",""),SUBSTITUTE(M20&amp;N20&amp;O20&amp;P20&amp;Q20," ",""))</f>
        <v/>
      </c>
    </row>
    <row r="21">
      <c r="A21" s="15" t="inlineStr">
        <is>
          <t>INSERT INTO MNG_DEAL_LIST_DSP_TBL VALUES(4 , 10 , 16 , 'N' );</t>
        </is>
      </c>
      <c r="B21" s="16" t="n"/>
      <c r="C21" s="15" t="inlineStr">
        <is>
          <t xml:space="preserve">4 </t>
        </is>
      </c>
      <c r="D21" s="15" t="inlineStr">
        <is>
          <t xml:space="preserve"> 10 </t>
        </is>
      </c>
      <c r="E21" s="15" t="inlineStr">
        <is>
          <t xml:space="preserve"> 16 </t>
        </is>
      </c>
      <c r="F21" s="15" t="inlineStr">
        <is>
          <t xml:space="preserve"> 'N' </t>
        </is>
      </c>
      <c r="H21" s="17" t="inlineStr">
        <is>
          <t>4</t>
        </is>
      </c>
      <c r="I21" s="17" t="inlineStr">
        <is>
          <t>10</t>
        </is>
      </c>
      <c r="J21" s="17" t="inlineStr">
        <is>
          <t>16</t>
        </is>
      </c>
      <c r="K21" s="17" t="inlineStr">
        <is>
          <t>N</t>
        </is>
      </c>
      <c r="M21" s="15" t="inlineStr">
        <is>
          <t>INSERT INTO</t>
        </is>
      </c>
      <c r="N21" s="15" t="inlineStr">
        <is>
          <t>MNG_DEAL_LIST_DSP_TBL</t>
        </is>
      </c>
      <c r="O21" s="15" t="inlineStr">
        <is>
          <t>VALUES(</t>
        </is>
      </c>
      <c r="P21" s="15" t="inlineStr">
        <is>
          <t xml:space="preserve">4 , 10 , 16 , 'N' </t>
        </is>
      </c>
      <c r="Q21" s="15" t="inlineStr">
        <is>
          <t>);</t>
        </is>
      </c>
      <c r="S21" s="18">
        <f>EXACT(TRIM(C21),H21&amp;"")</f>
        <v/>
      </c>
      <c r="T21" s="18">
        <f>EXACT(TRIM(D21),I21&amp;"")</f>
        <v/>
      </c>
      <c r="U21" s="18">
        <f>EXACT(TRIM(E21),J21&amp;"")</f>
        <v/>
      </c>
      <c r="V21" s="18">
        <f>EXACT(TRIM(F21),"'"&amp;K21&amp;"'")</f>
        <v/>
      </c>
      <c r="W21" s="18">
        <f>AND(S21:V21)</f>
        <v/>
      </c>
      <c r="X21" s="19">
        <f>TRIM(IF(S21,"",$S$3&amp;" ")&amp;IF(T21,"",$T$3&amp;" ")&amp;IF(U21,"",$U$3&amp;" ")&amp;IF(V21,"",$V$3&amp;" "))</f>
        <v/>
      </c>
      <c r="Y21" s="18">
        <f>EXACT(SUBSTITUTE(A21," ",""),SUBSTITUTE(M21&amp;N21&amp;O21&amp;P21&amp;Q21," ",""))</f>
        <v/>
      </c>
    </row>
    <row r="22">
      <c r="A22" s="15" t="inlineStr">
        <is>
          <t>INSERT INTO MNG_DEAL_LIST_DSP_TBL VALUES(4 , 11 , 16 , 'N' );</t>
        </is>
      </c>
      <c r="B22" s="16" t="n"/>
      <c r="C22" s="15" t="inlineStr">
        <is>
          <t xml:space="preserve">4 </t>
        </is>
      </c>
      <c r="D22" s="15" t="inlineStr">
        <is>
          <t xml:space="preserve"> 11 </t>
        </is>
      </c>
      <c r="E22" s="15" t="inlineStr">
        <is>
          <t xml:space="preserve"> 16 </t>
        </is>
      </c>
      <c r="F22" s="15" t="inlineStr">
        <is>
          <t xml:space="preserve"> 'N' </t>
        </is>
      </c>
      <c r="H22" s="17" t="inlineStr">
        <is>
          <t>4</t>
        </is>
      </c>
      <c r="I22" s="17" t="inlineStr">
        <is>
          <t>11</t>
        </is>
      </c>
      <c r="J22" s="17" t="inlineStr">
        <is>
          <t>16</t>
        </is>
      </c>
      <c r="K22" s="17" t="inlineStr">
        <is>
          <t>N</t>
        </is>
      </c>
      <c r="M22" s="15" t="inlineStr">
        <is>
          <t>INSERT INTO</t>
        </is>
      </c>
      <c r="N22" s="15" t="inlineStr">
        <is>
          <t>MNG_DEAL_LIST_DSP_TBL</t>
        </is>
      </c>
      <c r="O22" s="15" t="inlineStr">
        <is>
          <t>VALUES(</t>
        </is>
      </c>
      <c r="P22" s="15" t="inlineStr">
        <is>
          <t xml:space="preserve">4 , 11 , 16 , 'N' </t>
        </is>
      </c>
      <c r="Q22" s="15" t="inlineStr">
        <is>
          <t>);</t>
        </is>
      </c>
      <c r="S22" s="18">
        <f>EXACT(TRIM(C22),H22&amp;"")</f>
        <v/>
      </c>
      <c r="T22" s="18">
        <f>EXACT(TRIM(D22),I22&amp;"")</f>
        <v/>
      </c>
      <c r="U22" s="18">
        <f>EXACT(TRIM(E22),J22&amp;"")</f>
        <v/>
      </c>
      <c r="V22" s="18">
        <f>EXACT(TRIM(F22),"'"&amp;K22&amp;"'")</f>
        <v/>
      </c>
      <c r="W22" s="18">
        <f>AND(S22:V22)</f>
        <v/>
      </c>
      <c r="X22" s="19">
        <f>TRIM(IF(S22,"",$S$3&amp;" ")&amp;IF(T22,"",$T$3&amp;" ")&amp;IF(U22,"",$U$3&amp;" ")&amp;IF(V22,"",$V$3&amp;" "))</f>
        <v/>
      </c>
      <c r="Y22" s="18">
        <f>EXACT(SUBSTITUTE(A22," ",""),SUBSTITUTE(M22&amp;N22&amp;O22&amp;P22&amp;Q22," ",""))</f>
        <v/>
      </c>
    </row>
    <row r="23">
      <c r="A23" s="15" t="inlineStr">
        <is>
          <t>INSERT INTO MNG_DEAL_LIST_DSP_TBL VALUES(4 , 14 , 16 , 'N' );</t>
        </is>
      </c>
      <c r="B23" s="16" t="n"/>
      <c r="C23" s="15" t="inlineStr">
        <is>
          <t xml:space="preserve">4 </t>
        </is>
      </c>
      <c r="D23" s="15" t="inlineStr">
        <is>
          <t xml:space="preserve"> 14 </t>
        </is>
      </c>
      <c r="E23" s="15" t="inlineStr">
        <is>
          <t xml:space="preserve"> 16 </t>
        </is>
      </c>
      <c r="F23" s="15" t="inlineStr">
        <is>
          <t xml:space="preserve"> 'N' </t>
        </is>
      </c>
      <c r="H23" s="17" t="inlineStr">
        <is>
          <t>4</t>
        </is>
      </c>
      <c r="I23" s="17" t="inlineStr">
        <is>
          <t>14</t>
        </is>
      </c>
      <c r="J23" s="17" t="inlineStr">
        <is>
          <t>16</t>
        </is>
      </c>
      <c r="K23" s="17" t="inlineStr">
        <is>
          <t>N</t>
        </is>
      </c>
      <c r="M23" s="15" t="inlineStr">
        <is>
          <t>INSERT INTO</t>
        </is>
      </c>
      <c r="N23" s="15" t="inlineStr">
        <is>
          <t>MNG_DEAL_LIST_DSP_TBL</t>
        </is>
      </c>
      <c r="O23" s="15" t="inlineStr">
        <is>
          <t>VALUES(</t>
        </is>
      </c>
      <c r="P23" s="15" t="inlineStr">
        <is>
          <t xml:space="preserve">4 , 14 , 16 , 'N' </t>
        </is>
      </c>
      <c r="Q23" s="15" t="inlineStr">
        <is>
          <t>);</t>
        </is>
      </c>
      <c r="S23" s="18">
        <f>EXACT(TRIM(C23),H23&amp;"")</f>
        <v/>
      </c>
      <c r="T23" s="18">
        <f>EXACT(TRIM(D23),I23&amp;"")</f>
        <v/>
      </c>
      <c r="U23" s="18">
        <f>EXACT(TRIM(E23),J23&amp;"")</f>
        <v/>
      </c>
      <c r="V23" s="18">
        <f>EXACT(TRIM(F23),"'"&amp;K23&amp;"'")</f>
        <v/>
      </c>
      <c r="W23" s="18">
        <f>AND(S23:V23)</f>
        <v/>
      </c>
      <c r="X23" s="19">
        <f>TRIM(IF(S23,"",$S$3&amp;" ")&amp;IF(T23,"",$T$3&amp;" ")&amp;IF(U23,"",$U$3&amp;" ")&amp;IF(V23,"",$V$3&amp;" "))</f>
        <v/>
      </c>
      <c r="Y23" s="18">
        <f>EXACT(SUBSTITUTE(A23," ",""),SUBSTITUTE(M23&amp;N23&amp;O23&amp;P23&amp;Q23," ",""))</f>
        <v/>
      </c>
    </row>
    <row r="24">
      <c r="A24" s="15" t="inlineStr">
        <is>
          <t>INSERT INTO MNG_DEAL_LIST_DSP_TBL VALUES(4 , 15 , 16 , 'N' );</t>
        </is>
      </c>
      <c r="B24" s="16" t="n"/>
      <c r="C24" s="15" t="inlineStr">
        <is>
          <t xml:space="preserve">4 </t>
        </is>
      </c>
      <c r="D24" s="15" t="inlineStr">
        <is>
          <t xml:space="preserve"> 15 </t>
        </is>
      </c>
      <c r="E24" s="15" t="inlineStr">
        <is>
          <t xml:space="preserve"> 16 </t>
        </is>
      </c>
      <c r="F24" s="15" t="inlineStr">
        <is>
          <t xml:space="preserve"> 'N' </t>
        </is>
      </c>
      <c r="H24" s="17" t="inlineStr">
        <is>
          <t>4</t>
        </is>
      </c>
      <c r="I24" s="17" t="inlineStr">
        <is>
          <t>15</t>
        </is>
      </c>
      <c r="J24" s="17" t="inlineStr">
        <is>
          <t>16</t>
        </is>
      </c>
      <c r="K24" s="17" t="inlineStr">
        <is>
          <t>N</t>
        </is>
      </c>
      <c r="M24" s="15" t="inlineStr">
        <is>
          <t>INSERT INTO</t>
        </is>
      </c>
      <c r="N24" s="15" t="inlineStr">
        <is>
          <t>MNG_DEAL_LIST_DSP_TBL</t>
        </is>
      </c>
      <c r="O24" s="15" t="inlineStr">
        <is>
          <t>VALUES(</t>
        </is>
      </c>
      <c r="P24" s="15" t="inlineStr">
        <is>
          <t xml:space="preserve">4 , 15 , 16 , 'N' </t>
        </is>
      </c>
      <c r="Q24" s="15" t="inlineStr">
        <is>
          <t>);</t>
        </is>
      </c>
      <c r="S24" s="18">
        <f>EXACT(TRIM(C24),H24&amp;"")</f>
        <v/>
      </c>
      <c r="T24" s="18">
        <f>EXACT(TRIM(D24),I24&amp;"")</f>
        <v/>
      </c>
      <c r="U24" s="18">
        <f>EXACT(TRIM(E24),J24&amp;"")</f>
        <v/>
      </c>
      <c r="V24" s="18">
        <f>EXACT(TRIM(F24),"'"&amp;K24&amp;"'")</f>
        <v/>
      </c>
      <c r="W24" s="18">
        <f>AND(S24:V24)</f>
        <v/>
      </c>
      <c r="X24" s="19">
        <f>TRIM(IF(S24,"",$S$3&amp;" ")&amp;IF(T24,"",$T$3&amp;" ")&amp;IF(U24,"",$U$3&amp;" ")&amp;IF(V24,"",$V$3&amp;" "))</f>
        <v/>
      </c>
      <c r="Y24" s="18">
        <f>EXACT(SUBSTITUTE(A24," ",""),SUBSTITUTE(M24&amp;N24&amp;O24&amp;P24&amp;Q24," ",""))</f>
        <v/>
      </c>
    </row>
    <row r="25">
      <c r="A25" s="15" t="inlineStr">
        <is>
          <t>INSERT INTO MNG_DEAL_LIST_DSP_TBL VALUES(5 , 6 , 16 , 'N' );</t>
        </is>
      </c>
      <c r="B25" s="16" t="n"/>
      <c r="C25" s="15" t="inlineStr">
        <is>
          <t xml:space="preserve">5 </t>
        </is>
      </c>
      <c r="D25" s="15" t="inlineStr">
        <is>
          <t xml:space="preserve"> 6 </t>
        </is>
      </c>
      <c r="E25" s="15" t="inlineStr">
        <is>
          <t xml:space="preserve"> 16 </t>
        </is>
      </c>
      <c r="F25" s="15" t="inlineStr">
        <is>
          <t xml:space="preserve"> 'N' </t>
        </is>
      </c>
      <c r="H25" s="17" t="inlineStr">
        <is>
          <t>5</t>
        </is>
      </c>
      <c r="I25" s="17" t="inlineStr">
        <is>
          <t>6</t>
        </is>
      </c>
      <c r="J25" s="17" t="inlineStr">
        <is>
          <t>16</t>
        </is>
      </c>
      <c r="K25" s="17" t="inlineStr">
        <is>
          <t>N</t>
        </is>
      </c>
      <c r="M25" s="15" t="inlineStr">
        <is>
          <t>INSERT INTO</t>
        </is>
      </c>
      <c r="N25" s="15" t="inlineStr">
        <is>
          <t>MNG_DEAL_LIST_DSP_TBL</t>
        </is>
      </c>
      <c r="O25" s="15" t="inlineStr">
        <is>
          <t>VALUES(</t>
        </is>
      </c>
      <c r="P25" s="15" t="inlineStr">
        <is>
          <t xml:space="preserve">5 , 6 , 16 , 'N' </t>
        </is>
      </c>
      <c r="Q25" s="15" t="inlineStr">
        <is>
          <t>);</t>
        </is>
      </c>
      <c r="S25" s="18">
        <f>EXACT(TRIM(C25),H25&amp;"")</f>
        <v/>
      </c>
      <c r="T25" s="18">
        <f>EXACT(TRIM(D25),I25&amp;"")</f>
        <v/>
      </c>
      <c r="U25" s="18">
        <f>EXACT(TRIM(E25),J25&amp;"")</f>
        <v/>
      </c>
      <c r="V25" s="18">
        <f>EXACT(TRIM(F25),"'"&amp;K25&amp;"'")</f>
        <v/>
      </c>
      <c r="W25" s="18">
        <f>AND(S25:V25)</f>
        <v/>
      </c>
      <c r="X25" s="19">
        <f>TRIM(IF(S25,"",$S$3&amp;" ")&amp;IF(T25,"",$T$3&amp;" ")&amp;IF(U25,"",$U$3&amp;" ")&amp;IF(V25,"",$V$3&amp;" "))</f>
        <v/>
      </c>
      <c r="Y25" s="18">
        <f>EXACT(SUBSTITUTE(A25," ",""),SUBSTITUTE(M25&amp;N25&amp;O25&amp;P25&amp;Q25," ",""))</f>
        <v/>
      </c>
    </row>
    <row r="26">
      <c r="A26" s="15" t="inlineStr">
        <is>
          <t>INSERT INTO MNG_DEAL_LIST_DSP_TBL VALUES(5 , 7 , 16 , 'N' );</t>
        </is>
      </c>
      <c r="B26" s="16" t="n"/>
      <c r="C26" s="15" t="inlineStr">
        <is>
          <t xml:space="preserve">5 </t>
        </is>
      </c>
      <c r="D26" s="15" t="inlineStr">
        <is>
          <t xml:space="preserve"> 7 </t>
        </is>
      </c>
      <c r="E26" s="15" t="inlineStr">
        <is>
          <t xml:space="preserve"> 16 </t>
        </is>
      </c>
      <c r="F26" s="15" t="inlineStr">
        <is>
          <t xml:space="preserve"> 'N' </t>
        </is>
      </c>
      <c r="H26" s="17" t="inlineStr">
        <is>
          <t>5</t>
        </is>
      </c>
      <c r="I26" s="17" t="inlineStr">
        <is>
          <t>7</t>
        </is>
      </c>
      <c r="J26" s="17" t="inlineStr">
        <is>
          <t>16</t>
        </is>
      </c>
      <c r="K26" s="17" t="inlineStr">
        <is>
          <t>N</t>
        </is>
      </c>
      <c r="M26" s="15" t="inlineStr">
        <is>
          <t>INSERT INTO</t>
        </is>
      </c>
      <c r="N26" s="15" t="inlineStr">
        <is>
          <t>MNG_DEAL_LIST_DSP_TBL</t>
        </is>
      </c>
      <c r="O26" s="15" t="inlineStr">
        <is>
          <t>VALUES(</t>
        </is>
      </c>
      <c r="P26" s="15" t="inlineStr">
        <is>
          <t xml:space="preserve">5 , 7 , 16 , 'N' </t>
        </is>
      </c>
      <c r="Q26" s="15" t="inlineStr">
        <is>
          <t>);</t>
        </is>
      </c>
      <c r="S26" s="18">
        <f>EXACT(TRIM(C26),H26&amp;"")</f>
        <v/>
      </c>
      <c r="T26" s="18">
        <f>EXACT(TRIM(D26),I26&amp;"")</f>
        <v/>
      </c>
      <c r="U26" s="18">
        <f>EXACT(TRIM(E26),J26&amp;"")</f>
        <v/>
      </c>
      <c r="V26" s="18">
        <f>EXACT(TRIM(F26),"'"&amp;K26&amp;"'")</f>
        <v/>
      </c>
      <c r="W26" s="18">
        <f>AND(S26:V26)</f>
        <v/>
      </c>
      <c r="X26" s="19">
        <f>TRIM(IF(S26,"",$S$3&amp;" ")&amp;IF(T26,"",$T$3&amp;" ")&amp;IF(U26,"",$U$3&amp;" ")&amp;IF(V26,"",$V$3&amp;" "))</f>
        <v/>
      </c>
      <c r="Y26" s="18">
        <f>EXACT(SUBSTITUTE(A26," ",""),SUBSTITUTE(M26&amp;N26&amp;O26&amp;P26&amp;Q26," ",""))</f>
        <v/>
      </c>
    </row>
    <row r="27">
      <c r="A27" s="15" t="inlineStr">
        <is>
          <t>INSERT INTO MNG_DEAL_LIST_DSP_TBL VALUES(5 , 8 , 16 , 'N' );</t>
        </is>
      </c>
      <c r="B27" s="16" t="n"/>
      <c r="C27" s="15" t="inlineStr">
        <is>
          <t xml:space="preserve">5 </t>
        </is>
      </c>
      <c r="D27" s="15" t="inlineStr">
        <is>
          <t xml:space="preserve"> 8 </t>
        </is>
      </c>
      <c r="E27" s="15" t="inlineStr">
        <is>
          <t xml:space="preserve"> 16 </t>
        </is>
      </c>
      <c r="F27" s="15" t="inlineStr">
        <is>
          <t xml:space="preserve"> 'N' </t>
        </is>
      </c>
      <c r="H27" s="17" t="inlineStr">
        <is>
          <t>5</t>
        </is>
      </c>
      <c r="I27" s="17" t="inlineStr">
        <is>
          <t>8</t>
        </is>
      </c>
      <c r="J27" s="17" t="inlineStr">
        <is>
          <t>16</t>
        </is>
      </c>
      <c r="K27" s="17" t="inlineStr">
        <is>
          <t>N</t>
        </is>
      </c>
      <c r="M27" s="15" t="inlineStr">
        <is>
          <t>INSERT INTO</t>
        </is>
      </c>
      <c r="N27" s="15" t="inlineStr">
        <is>
          <t>MNG_DEAL_LIST_DSP_TBL</t>
        </is>
      </c>
      <c r="O27" s="15" t="inlineStr">
        <is>
          <t>VALUES(</t>
        </is>
      </c>
      <c r="P27" s="15" t="inlineStr">
        <is>
          <t xml:space="preserve">5 , 8 , 16 , 'N' </t>
        </is>
      </c>
      <c r="Q27" s="15" t="inlineStr">
        <is>
          <t>);</t>
        </is>
      </c>
      <c r="S27" s="18">
        <f>EXACT(TRIM(C27),H27&amp;"")</f>
        <v/>
      </c>
      <c r="T27" s="18">
        <f>EXACT(TRIM(D27),I27&amp;"")</f>
        <v/>
      </c>
      <c r="U27" s="18">
        <f>EXACT(TRIM(E27),J27&amp;"")</f>
        <v/>
      </c>
      <c r="V27" s="18">
        <f>EXACT(TRIM(F27),"'"&amp;K27&amp;"'")</f>
        <v/>
      </c>
      <c r="W27" s="18">
        <f>AND(S27:V27)</f>
        <v/>
      </c>
      <c r="X27" s="19">
        <f>TRIM(IF(S27,"",$S$3&amp;" ")&amp;IF(T27,"",$T$3&amp;" ")&amp;IF(U27,"",$U$3&amp;" ")&amp;IF(V27,"",$V$3&amp;" "))</f>
        <v/>
      </c>
      <c r="Y27" s="18">
        <f>EXACT(SUBSTITUTE(A27," ",""),SUBSTITUTE(M27&amp;N27&amp;O27&amp;P27&amp;Q27," ",""))</f>
        <v/>
      </c>
    </row>
    <row r="28">
      <c r="A28" s="15" t="inlineStr">
        <is>
          <t>INSERT INTO MNG_DEAL_LIST_DSP_TBL VALUES(5 , 10 , 16 , 'N' );</t>
        </is>
      </c>
      <c r="B28" s="16" t="n"/>
      <c r="C28" s="15" t="inlineStr">
        <is>
          <t xml:space="preserve">5 </t>
        </is>
      </c>
      <c r="D28" s="15" t="inlineStr">
        <is>
          <t xml:space="preserve"> 10 </t>
        </is>
      </c>
      <c r="E28" s="15" t="inlineStr">
        <is>
          <t xml:space="preserve"> 16 </t>
        </is>
      </c>
      <c r="F28" s="15" t="inlineStr">
        <is>
          <t xml:space="preserve"> 'N' </t>
        </is>
      </c>
      <c r="H28" s="17" t="inlineStr">
        <is>
          <t>5</t>
        </is>
      </c>
      <c r="I28" s="17" t="inlineStr">
        <is>
          <t>10</t>
        </is>
      </c>
      <c r="J28" s="17" t="inlineStr">
        <is>
          <t>16</t>
        </is>
      </c>
      <c r="K28" s="17" t="inlineStr">
        <is>
          <t>N</t>
        </is>
      </c>
      <c r="M28" s="15" t="inlineStr">
        <is>
          <t>INSERT INTO</t>
        </is>
      </c>
      <c r="N28" s="15" t="inlineStr">
        <is>
          <t>MNG_DEAL_LIST_DSP_TBL</t>
        </is>
      </c>
      <c r="O28" s="15" t="inlineStr">
        <is>
          <t>VALUES(</t>
        </is>
      </c>
      <c r="P28" s="15" t="inlineStr">
        <is>
          <t xml:space="preserve">5 , 10 , 16 , 'N' </t>
        </is>
      </c>
      <c r="Q28" s="15" t="inlineStr">
        <is>
          <t>);</t>
        </is>
      </c>
      <c r="S28" s="18">
        <f>EXACT(TRIM(C28),H28&amp;"")</f>
        <v/>
      </c>
      <c r="T28" s="18">
        <f>EXACT(TRIM(D28),I28&amp;"")</f>
        <v/>
      </c>
      <c r="U28" s="18">
        <f>EXACT(TRIM(E28),J28&amp;"")</f>
        <v/>
      </c>
      <c r="V28" s="18">
        <f>EXACT(TRIM(F28),"'"&amp;K28&amp;"'")</f>
        <v/>
      </c>
      <c r="W28" s="18">
        <f>AND(S28:V28)</f>
        <v/>
      </c>
      <c r="X28" s="19">
        <f>TRIM(IF(S28,"",$S$3&amp;" ")&amp;IF(T28,"",$T$3&amp;" ")&amp;IF(U28,"",$U$3&amp;" ")&amp;IF(V28,"",$V$3&amp;" "))</f>
        <v/>
      </c>
      <c r="Y28" s="18">
        <f>EXACT(SUBSTITUTE(A28," ",""),SUBSTITUTE(M28&amp;N28&amp;O28&amp;P28&amp;Q28," ",""))</f>
        <v/>
      </c>
    </row>
    <row r="29">
      <c r="A29" s="15" t="inlineStr">
        <is>
          <t>INSERT INTO MNG_DEAL_LIST_DSP_TBL VALUES(5 , 11 , 16 , 'N' );</t>
        </is>
      </c>
      <c r="B29" s="16" t="n"/>
      <c r="C29" s="15" t="inlineStr">
        <is>
          <t xml:space="preserve">5 </t>
        </is>
      </c>
      <c r="D29" s="15" t="inlineStr">
        <is>
          <t xml:space="preserve"> 11 </t>
        </is>
      </c>
      <c r="E29" s="15" t="inlineStr">
        <is>
          <t xml:space="preserve"> 16 </t>
        </is>
      </c>
      <c r="F29" s="15" t="inlineStr">
        <is>
          <t xml:space="preserve"> 'N' </t>
        </is>
      </c>
      <c r="H29" s="17" t="inlineStr">
        <is>
          <t>5</t>
        </is>
      </c>
      <c r="I29" s="17" t="inlineStr">
        <is>
          <t>11</t>
        </is>
      </c>
      <c r="J29" s="17" t="inlineStr">
        <is>
          <t>16</t>
        </is>
      </c>
      <c r="K29" s="17" t="inlineStr">
        <is>
          <t>N</t>
        </is>
      </c>
      <c r="M29" s="15" t="inlineStr">
        <is>
          <t>INSERT INTO</t>
        </is>
      </c>
      <c r="N29" s="15" t="inlineStr">
        <is>
          <t>MNG_DEAL_LIST_DSP_TBL</t>
        </is>
      </c>
      <c r="O29" s="15" t="inlineStr">
        <is>
          <t>VALUES(</t>
        </is>
      </c>
      <c r="P29" s="15" t="inlineStr">
        <is>
          <t xml:space="preserve">5 , 11 , 16 , 'N' </t>
        </is>
      </c>
      <c r="Q29" s="15" t="inlineStr">
        <is>
          <t>);</t>
        </is>
      </c>
      <c r="S29" s="18">
        <f>EXACT(TRIM(C29),H29&amp;"")</f>
        <v/>
      </c>
      <c r="T29" s="18">
        <f>EXACT(TRIM(D29),I29&amp;"")</f>
        <v/>
      </c>
      <c r="U29" s="18">
        <f>EXACT(TRIM(E29),J29&amp;"")</f>
        <v/>
      </c>
      <c r="V29" s="18">
        <f>EXACT(TRIM(F29),"'"&amp;K29&amp;"'")</f>
        <v/>
      </c>
      <c r="W29" s="18">
        <f>AND(S29:V29)</f>
        <v/>
      </c>
      <c r="X29" s="19">
        <f>TRIM(IF(S29,"",$S$3&amp;" ")&amp;IF(T29,"",$T$3&amp;" ")&amp;IF(U29,"",$U$3&amp;" ")&amp;IF(V29,"",$V$3&amp;" "))</f>
        <v/>
      </c>
      <c r="Y29" s="18">
        <f>EXACT(SUBSTITUTE(A29," ",""),SUBSTITUTE(M29&amp;N29&amp;O29&amp;P29&amp;Q29," ",""))</f>
        <v/>
      </c>
    </row>
    <row r="30">
      <c r="A30" s="15" t="inlineStr">
        <is>
          <t>INSERT INTO MNG_DEAL_LIST_DSP_TBL VALUES(5 , 14 , 16 , 'N' );</t>
        </is>
      </c>
      <c r="B30" s="16" t="n"/>
      <c r="C30" s="15" t="inlineStr">
        <is>
          <t xml:space="preserve">5 </t>
        </is>
      </c>
      <c r="D30" s="15" t="inlineStr">
        <is>
          <t xml:space="preserve"> 14 </t>
        </is>
      </c>
      <c r="E30" s="15" t="inlineStr">
        <is>
          <t xml:space="preserve"> 16 </t>
        </is>
      </c>
      <c r="F30" s="15" t="inlineStr">
        <is>
          <t xml:space="preserve"> 'N' </t>
        </is>
      </c>
      <c r="H30" s="17" t="inlineStr">
        <is>
          <t>5</t>
        </is>
      </c>
      <c r="I30" s="17" t="inlineStr">
        <is>
          <t>14</t>
        </is>
      </c>
      <c r="J30" s="17" t="inlineStr">
        <is>
          <t>16</t>
        </is>
      </c>
      <c r="K30" s="17" t="inlineStr">
        <is>
          <t>N</t>
        </is>
      </c>
      <c r="M30" s="15" t="inlineStr">
        <is>
          <t>INSERT INTO</t>
        </is>
      </c>
      <c r="N30" s="15" t="inlineStr">
        <is>
          <t>MNG_DEAL_LIST_DSP_TBL</t>
        </is>
      </c>
      <c r="O30" s="15" t="inlineStr">
        <is>
          <t>VALUES(</t>
        </is>
      </c>
      <c r="P30" s="15" t="inlineStr">
        <is>
          <t xml:space="preserve">5 , 14 , 16 , 'N' </t>
        </is>
      </c>
      <c r="Q30" s="15" t="inlineStr">
        <is>
          <t>);</t>
        </is>
      </c>
      <c r="S30" s="18">
        <f>EXACT(TRIM(C30),H30&amp;"")</f>
        <v/>
      </c>
      <c r="T30" s="18">
        <f>EXACT(TRIM(D30),I30&amp;"")</f>
        <v/>
      </c>
      <c r="U30" s="18">
        <f>EXACT(TRIM(E30),J30&amp;"")</f>
        <v/>
      </c>
      <c r="V30" s="18">
        <f>EXACT(TRIM(F30),"'"&amp;K30&amp;"'")</f>
        <v/>
      </c>
      <c r="W30" s="18">
        <f>AND(S30:V30)</f>
        <v/>
      </c>
      <c r="X30" s="19">
        <f>TRIM(IF(S30,"",$S$3&amp;" ")&amp;IF(T30,"",$T$3&amp;" ")&amp;IF(U30,"",$U$3&amp;" ")&amp;IF(V30,"",$V$3&amp;" "))</f>
        <v/>
      </c>
      <c r="Y30" s="18">
        <f>EXACT(SUBSTITUTE(A30," ",""),SUBSTITUTE(M30&amp;N30&amp;O30&amp;P30&amp;Q30," ",""))</f>
        <v/>
      </c>
    </row>
    <row r="31">
      <c r="A31" s="15" t="inlineStr">
        <is>
          <t>INSERT INTO MNG_DEAL_LIST_DSP_TBL VALUES(5 , 15 , 16 , 'N' );</t>
        </is>
      </c>
      <c r="B31" s="16" t="n"/>
      <c r="C31" s="15" t="inlineStr">
        <is>
          <t xml:space="preserve">5 </t>
        </is>
      </c>
      <c r="D31" s="15" t="inlineStr">
        <is>
          <t xml:space="preserve"> 15 </t>
        </is>
      </c>
      <c r="E31" s="15" t="inlineStr">
        <is>
          <t xml:space="preserve"> 16 </t>
        </is>
      </c>
      <c r="F31" s="15" t="inlineStr">
        <is>
          <t xml:space="preserve"> 'N' </t>
        </is>
      </c>
      <c r="H31" s="17" t="inlineStr">
        <is>
          <t>5</t>
        </is>
      </c>
      <c r="I31" s="17" t="inlineStr">
        <is>
          <t>15</t>
        </is>
      </c>
      <c r="J31" s="17" t="inlineStr">
        <is>
          <t>16</t>
        </is>
      </c>
      <c r="K31" s="17" t="inlineStr">
        <is>
          <t>N</t>
        </is>
      </c>
      <c r="M31" s="15" t="inlineStr">
        <is>
          <t>INSERT INTO</t>
        </is>
      </c>
      <c r="N31" s="15" t="inlineStr">
        <is>
          <t>MNG_DEAL_LIST_DSP_TBL</t>
        </is>
      </c>
      <c r="O31" s="15" t="inlineStr">
        <is>
          <t>VALUES(</t>
        </is>
      </c>
      <c r="P31" s="15" t="inlineStr">
        <is>
          <t xml:space="preserve">5 , 15 , 16 , 'N' </t>
        </is>
      </c>
      <c r="Q31" s="15" t="inlineStr">
        <is>
          <t>);</t>
        </is>
      </c>
      <c r="S31" s="18">
        <f>EXACT(TRIM(C31),H31&amp;"")</f>
        <v/>
      </c>
      <c r="T31" s="18">
        <f>EXACT(TRIM(D31),I31&amp;"")</f>
        <v/>
      </c>
      <c r="U31" s="18">
        <f>EXACT(TRIM(E31),J31&amp;"")</f>
        <v/>
      </c>
      <c r="V31" s="18">
        <f>EXACT(TRIM(F31),"'"&amp;K31&amp;"'")</f>
        <v/>
      </c>
      <c r="W31" s="18">
        <f>AND(S31:V31)</f>
        <v/>
      </c>
      <c r="X31" s="19">
        <f>TRIM(IF(S31,"",$S$3&amp;" ")&amp;IF(T31,"",$T$3&amp;" ")&amp;IF(U31,"",$U$3&amp;" ")&amp;IF(V31,"",$V$3&amp;" "))</f>
        <v/>
      </c>
      <c r="Y31" s="18">
        <f>EXACT(SUBSTITUTE(A31," ",""),SUBSTITUTE(M31&amp;N31&amp;O31&amp;P31&amp;Q31," ",""))</f>
        <v/>
      </c>
    </row>
    <row r="32">
      <c r="A32" s="15" t="inlineStr">
        <is>
          <t>INSERT INTO MNG_DEAL_LIST_DSP_TBL VALUES(9 , 6 , 1 , 'Y' );</t>
        </is>
      </c>
      <c r="B32" s="16" t="n"/>
      <c r="C32" s="15" t="inlineStr">
        <is>
          <t xml:space="preserve">9 </t>
        </is>
      </c>
      <c r="D32" s="15" t="inlineStr">
        <is>
          <t xml:space="preserve"> 6 </t>
        </is>
      </c>
      <c r="E32" s="15" t="inlineStr">
        <is>
          <t xml:space="preserve"> 1 </t>
        </is>
      </c>
      <c r="F32" s="15" t="inlineStr">
        <is>
          <t xml:space="preserve"> 'Y' </t>
        </is>
      </c>
      <c r="H32" s="17" t="inlineStr">
        <is>
          <t>9</t>
        </is>
      </c>
      <c r="I32" s="17" t="inlineStr">
        <is>
          <t>6</t>
        </is>
      </c>
      <c r="J32" s="17" t="inlineStr">
        <is>
          <t>1</t>
        </is>
      </c>
      <c r="K32" s="17" t="inlineStr">
        <is>
          <t>Y</t>
        </is>
      </c>
      <c r="M32" s="15" t="inlineStr">
        <is>
          <t>INSERT INTO</t>
        </is>
      </c>
      <c r="N32" s="15" t="inlineStr">
        <is>
          <t>MNG_DEAL_LIST_DSP_TBL</t>
        </is>
      </c>
      <c r="O32" s="15" t="inlineStr">
        <is>
          <t>VALUES(</t>
        </is>
      </c>
      <c r="P32" s="15" t="inlineStr">
        <is>
          <t xml:space="preserve">9 , 6 , 1 , 'Y' </t>
        </is>
      </c>
      <c r="Q32" s="15" t="inlineStr">
        <is>
          <t>);</t>
        </is>
      </c>
      <c r="S32" s="18">
        <f>EXACT(TRIM(C32),H32&amp;"")</f>
        <v/>
      </c>
      <c r="T32" s="18">
        <f>EXACT(TRIM(D32),I32&amp;"")</f>
        <v/>
      </c>
      <c r="U32" s="18">
        <f>EXACT(TRIM(E32),J32&amp;"")</f>
        <v/>
      </c>
      <c r="V32" s="18">
        <f>EXACT(TRIM(F32),"'"&amp;K32&amp;"'")</f>
        <v/>
      </c>
      <c r="W32" s="18">
        <f>AND(S32:V32)</f>
        <v/>
      </c>
      <c r="X32" s="19">
        <f>TRIM(IF(S32,"",$S$3&amp;" ")&amp;IF(T32,"",$T$3&amp;" ")&amp;IF(U32,"",$U$3&amp;" ")&amp;IF(V32,"",$V$3&amp;" "))</f>
        <v/>
      </c>
      <c r="Y32" s="18">
        <f>EXACT(SUBSTITUTE(A32," ",""),SUBSTITUTE(M32&amp;N32&amp;O32&amp;P32&amp;Q32," ",""))</f>
        <v/>
      </c>
    </row>
    <row r="33">
      <c r="A33" s="15" t="inlineStr">
        <is>
          <t>INSERT INTO MNG_DEAL_LIST_DSP_TBL VALUES(9 , 6 , 2 , 'N' );</t>
        </is>
      </c>
      <c r="B33" s="16" t="n"/>
      <c r="C33" s="15" t="inlineStr">
        <is>
          <t xml:space="preserve">9 </t>
        </is>
      </c>
      <c r="D33" s="15" t="inlineStr">
        <is>
          <t xml:space="preserve"> 6 </t>
        </is>
      </c>
      <c r="E33" s="15" t="inlineStr">
        <is>
          <t xml:space="preserve"> 2 </t>
        </is>
      </c>
      <c r="F33" s="15" t="inlineStr">
        <is>
          <t xml:space="preserve"> 'N' </t>
        </is>
      </c>
      <c r="H33" s="17" t="inlineStr">
        <is>
          <t>9</t>
        </is>
      </c>
      <c r="I33" s="17" t="inlineStr">
        <is>
          <t>6</t>
        </is>
      </c>
      <c r="J33" s="17" t="inlineStr">
        <is>
          <t>2</t>
        </is>
      </c>
      <c r="K33" s="17" t="inlineStr">
        <is>
          <t>N</t>
        </is>
      </c>
      <c r="M33" s="15" t="inlineStr">
        <is>
          <t>INSERT INTO</t>
        </is>
      </c>
      <c r="N33" s="15" t="inlineStr">
        <is>
          <t>MNG_DEAL_LIST_DSP_TBL</t>
        </is>
      </c>
      <c r="O33" s="15" t="inlineStr">
        <is>
          <t>VALUES(</t>
        </is>
      </c>
      <c r="P33" s="15" t="inlineStr">
        <is>
          <t xml:space="preserve">9 , 6 , 2 , 'N' </t>
        </is>
      </c>
      <c r="Q33" s="15" t="inlineStr">
        <is>
          <t>);</t>
        </is>
      </c>
      <c r="S33" s="18">
        <f>EXACT(TRIM(C33),H33&amp;"")</f>
        <v/>
      </c>
      <c r="T33" s="18">
        <f>EXACT(TRIM(D33),I33&amp;"")</f>
        <v/>
      </c>
      <c r="U33" s="18">
        <f>EXACT(TRIM(E33),J33&amp;"")</f>
        <v/>
      </c>
      <c r="V33" s="18">
        <f>EXACT(TRIM(F33),"'"&amp;K33&amp;"'")</f>
        <v/>
      </c>
      <c r="W33" s="18">
        <f>AND(S33:V33)</f>
        <v/>
      </c>
      <c r="X33" s="19">
        <f>TRIM(IF(S33,"",$S$3&amp;" ")&amp;IF(T33,"",$T$3&amp;" ")&amp;IF(U33,"",$U$3&amp;" ")&amp;IF(V33,"",$V$3&amp;" "))</f>
        <v/>
      </c>
      <c r="Y33" s="18">
        <f>EXACT(SUBSTITUTE(A33," ",""),SUBSTITUTE(M33&amp;N33&amp;O33&amp;P33&amp;Q33," ",""))</f>
        <v/>
      </c>
    </row>
    <row r="34">
      <c r="A34" s="15" t="inlineStr">
        <is>
          <t>INSERT INTO MNG_DEAL_LIST_DSP_TBL VALUES(9 , 6 , 3 , 'N' );</t>
        </is>
      </c>
      <c r="B34" s="16" t="n"/>
      <c r="C34" s="15" t="inlineStr">
        <is>
          <t xml:space="preserve">9 </t>
        </is>
      </c>
      <c r="D34" s="15" t="inlineStr">
        <is>
          <t xml:space="preserve"> 6 </t>
        </is>
      </c>
      <c r="E34" s="15" t="inlineStr">
        <is>
          <t xml:space="preserve"> 3 </t>
        </is>
      </c>
      <c r="F34" s="15" t="inlineStr">
        <is>
          <t xml:space="preserve"> 'N' </t>
        </is>
      </c>
      <c r="H34" s="17" t="inlineStr">
        <is>
          <t>9</t>
        </is>
      </c>
      <c r="I34" s="17" t="inlineStr">
        <is>
          <t>6</t>
        </is>
      </c>
      <c r="J34" s="17" t="inlineStr">
        <is>
          <t>3</t>
        </is>
      </c>
      <c r="K34" s="17" t="inlineStr">
        <is>
          <t>N</t>
        </is>
      </c>
      <c r="M34" s="15" t="inlineStr">
        <is>
          <t>INSERT INTO</t>
        </is>
      </c>
      <c r="N34" s="15" t="inlineStr">
        <is>
          <t>MNG_DEAL_LIST_DSP_TBL</t>
        </is>
      </c>
      <c r="O34" s="15" t="inlineStr">
        <is>
          <t>VALUES(</t>
        </is>
      </c>
      <c r="P34" s="15" t="inlineStr">
        <is>
          <t xml:space="preserve">9 , 6 , 3 , 'N' </t>
        </is>
      </c>
      <c r="Q34" s="15" t="inlineStr">
        <is>
          <t>);</t>
        </is>
      </c>
      <c r="S34" s="18">
        <f>EXACT(TRIM(C34),H34&amp;"")</f>
        <v/>
      </c>
      <c r="T34" s="18">
        <f>EXACT(TRIM(D34),I34&amp;"")</f>
        <v/>
      </c>
      <c r="U34" s="18">
        <f>EXACT(TRIM(E34),J34&amp;"")</f>
        <v/>
      </c>
      <c r="V34" s="18">
        <f>EXACT(TRIM(F34),"'"&amp;K34&amp;"'")</f>
        <v/>
      </c>
      <c r="W34" s="18">
        <f>AND(S34:V34)</f>
        <v/>
      </c>
      <c r="X34" s="19">
        <f>TRIM(IF(S34,"",$S$3&amp;" ")&amp;IF(T34,"",$T$3&amp;" ")&amp;IF(U34,"",$U$3&amp;" ")&amp;IF(V34,"",$V$3&amp;" "))</f>
        <v/>
      </c>
      <c r="Y34" s="18">
        <f>EXACT(SUBSTITUTE(A34," ",""),SUBSTITUTE(M34&amp;N34&amp;O34&amp;P34&amp;Q34," ",""))</f>
        <v/>
      </c>
    </row>
    <row r="35">
      <c r="A35" s="15" t="inlineStr">
        <is>
          <t>INSERT INTO MNG_DEAL_LIST_DSP_TBL VALUES(9 , 6 , 4 , 'Y' );</t>
        </is>
      </c>
      <c r="B35" s="16" t="n"/>
      <c r="C35" s="15" t="inlineStr">
        <is>
          <t xml:space="preserve">9 </t>
        </is>
      </c>
      <c r="D35" s="15" t="inlineStr">
        <is>
          <t xml:space="preserve"> 6 </t>
        </is>
      </c>
      <c r="E35" s="15" t="inlineStr">
        <is>
          <t xml:space="preserve"> 4 </t>
        </is>
      </c>
      <c r="F35" s="15" t="inlineStr">
        <is>
          <t xml:space="preserve"> 'Y' </t>
        </is>
      </c>
      <c r="H35" s="17" t="inlineStr">
        <is>
          <t>9</t>
        </is>
      </c>
      <c r="I35" s="17" t="inlineStr">
        <is>
          <t>6</t>
        </is>
      </c>
      <c r="J35" s="17" t="inlineStr">
        <is>
          <t>4</t>
        </is>
      </c>
      <c r="K35" s="17" t="inlineStr">
        <is>
          <t>Y</t>
        </is>
      </c>
      <c r="M35" s="15" t="inlineStr">
        <is>
          <t>INSERT INTO</t>
        </is>
      </c>
      <c r="N35" s="15" t="inlineStr">
        <is>
          <t>MNG_DEAL_LIST_DSP_TBL</t>
        </is>
      </c>
      <c r="O35" s="15" t="inlineStr">
        <is>
          <t>VALUES(</t>
        </is>
      </c>
      <c r="P35" s="15" t="inlineStr">
        <is>
          <t xml:space="preserve">9 , 6 , 4 , 'Y' </t>
        </is>
      </c>
      <c r="Q35" s="15" t="inlineStr">
        <is>
          <t>);</t>
        </is>
      </c>
      <c r="S35" s="18">
        <f>EXACT(TRIM(C35),H35&amp;"")</f>
        <v/>
      </c>
      <c r="T35" s="18">
        <f>EXACT(TRIM(D35),I35&amp;"")</f>
        <v/>
      </c>
      <c r="U35" s="18">
        <f>EXACT(TRIM(E35),J35&amp;"")</f>
        <v/>
      </c>
      <c r="V35" s="18">
        <f>EXACT(TRIM(F35),"'"&amp;K35&amp;"'")</f>
        <v/>
      </c>
      <c r="W35" s="18">
        <f>AND(S35:V35)</f>
        <v/>
      </c>
      <c r="X35" s="19">
        <f>TRIM(IF(S35,"",$S$3&amp;" ")&amp;IF(T35,"",$T$3&amp;" ")&amp;IF(U35,"",$U$3&amp;" ")&amp;IF(V35,"",$V$3&amp;" "))</f>
        <v/>
      </c>
      <c r="Y35" s="18">
        <f>EXACT(SUBSTITUTE(A35," ",""),SUBSTITUTE(M35&amp;N35&amp;O35&amp;P35&amp;Q35," ",""))</f>
        <v/>
      </c>
    </row>
    <row r="36">
      <c r="A36" s="15" t="inlineStr">
        <is>
          <t>INSERT INTO MNG_DEAL_LIST_DSP_TBL VALUES(9 , 6 , 5 , 'Y' );</t>
        </is>
      </c>
      <c r="B36" s="16" t="n"/>
      <c r="C36" s="15" t="inlineStr">
        <is>
          <t xml:space="preserve">9 </t>
        </is>
      </c>
      <c r="D36" s="15" t="inlineStr">
        <is>
          <t xml:space="preserve"> 6 </t>
        </is>
      </c>
      <c r="E36" s="15" t="inlineStr">
        <is>
          <t xml:space="preserve"> 5 </t>
        </is>
      </c>
      <c r="F36" s="15" t="inlineStr">
        <is>
          <t xml:space="preserve"> 'Y' </t>
        </is>
      </c>
      <c r="H36" s="17" t="inlineStr">
        <is>
          <t>9</t>
        </is>
      </c>
      <c r="I36" s="17" t="inlineStr">
        <is>
          <t>6</t>
        </is>
      </c>
      <c r="J36" s="17" t="inlineStr">
        <is>
          <t>5</t>
        </is>
      </c>
      <c r="K36" s="17" t="inlineStr">
        <is>
          <t>Y</t>
        </is>
      </c>
      <c r="M36" s="15" t="inlineStr">
        <is>
          <t>INSERT INTO</t>
        </is>
      </c>
      <c r="N36" s="15" t="inlineStr">
        <is>
          <t>MNG_DEAL_LIST_DSP_TBL</t>
        </is>
      </c>
      <c r="O36" s="15" t="inlineStr">
        <is>
          <t>VALUES(</t>
        </is>
      </c>
      <c r="P36" s="15" t="inlineStr">
        <is>
          <t xml:space="preserve">9 , 6 , 5 , 'Y' </t>
        </is>
      </c>
      <c r="Q36" s="15" t="inlineStr">
        <is>
          <t>);</t>
        </is>
      </c>
      <c r="S36" s="18">
        <f>EXACT(TRIM(C36),H36&amp;"")</f>
        <v/>
      </c>
      <c r="T36" s="18">
        <f>EXACT(TRIM(D36),I36&amp;"")</f>
        <v/>
      </c>
      <c r="U36" s="18">
        <f>EXACT(TRIM(E36),J36&amp;"")</f>
        <v/>
      </c>
      <c r="V36" s="18">
        <f>EXACT(TRIM(F36),"'"&amp;K36&amp;"'")</f>
        <v/>
      </c>
      <c r="W36" s="18">
        <f>AND(S36:V36)</f>
        <v/>
      </c>
      <c r="X36" s="19">
        <f>TRIM(IF(S36,"",$S$3&amp;" ")&amp;IF(T36,"",$T$3&amp;" ")&amp;IF(U36,"",$U$3&amp;" ")&amp;IF(V36,"",$V$3&amp;" "))</f>
        <v/>
      </c>
      <c r="Y36" s="18">
        <f>EXACT(SUBSTITUTE(A36," ",""),SUBSTITUTE(M36&amp;N36&amp;O36&amp;P36&amp;Q36," ",""))</f>
        <v/>
      </c>
    </row>
    <row r="37">
      <c r="A37" s="15" t="inlineStr">
        <is>
          <t>INSERT INTO MNG_DEAL_LIST_DSP_TBL VALUES(9 , 6 , 6 , 'Y' );</t>
        </is>
      </c>
      <c r="B37" s="16" t="n"/>
      <c r="C37" s="15" t="inlineStr">
        <is>
          <t xml:space="preserve">9 </t>
        </is>
      </c>
      <c r="D37" s="15" t="inlineStr">
        <is>
          <t xml:space="preserve"> 6 </t>
        </is>
      </c>
      <c r="E37" s="15" t="inlineStr">
        <is>
          <t xml:space="preserve"> 6 </t>
        </is>
      </c>
      <c r="F37" s="15" t="inlineStr">
        <is>
          <t xml:space="preserve"> 'Y' </t>
        </is>
      </c>
      <c r="H37" s="17" t="inlineStr">
        <is>
          <t>9</t>
        </is>
      </c>
      <c r="I37" s="17" t="inlineStr">
        <is>
          <t>6</t>
        </is>
      </c>
      <c r="J37" s="17" t="inlineStr">
        <is>
          <t>6</t>
        </is>
      </c>
      <c r="K37" s="17" t="inlineStr">
        <is>
          <t>Y</t>
        </is>
      </c>
      <c r="M37" s="15" t="inlineStr">
        <is>
          <t>INSERT INTO</t>
        </is>
      </c>
      <c r="N37" s="15" t="inlineStr">
        <is>
          <t>MNG_DEAL_LIST_DSP_TBL</t>
        </is>
      </c>
      <c r="O37" s="15" t="inlineStr">
        <is>
          <t>VALUES(</t>
        </is>
      </c>
      <c r="P37" s="15" t="inlineStr">
        <is>
          <t xml:space="preserve">9 , 6 , 6 , 'Y' </t>
        </is>
      </c>
      <c r="Q37" s="15" t="inlineStr">
        <is>
          <t>);</t>
        </is>
      </c>
      <c r="S37" s="18">
        <f>EXACT(TRIM(C37),H37&amp;"")</f>
        <v/>
      </c>
      <c r="T37" s="18">
        <f>EXACT(TRIM(D37),I37&amp;"")</f>
        <v/>
      </c>
      <c r="U37" s="18">
        <f>EXACT(TRIM(E37),J37&amp;"")</f>
        <v/>
      </c>
      <c r="V37" s="18">
        <f>EXACT(TRIM(F37),"'"&amp;K37&amp;"'")</f>
        <v/>
      </c>
      <c r="W37" s="18">
        <f>AND(S37:V37)</f>
        <v/>
      </c>
      <c r="X37" s="19">
        <f>TRIM(IF(S37,"",$S$3&amp;" ")&amp;IF(T37,"",$T$3&amp;" ")&amp;IF(U37,"",$U$3&amp;" ")&amp;IF(V37,"",$V$3&amp;" "))</f>
        <v/>
      </c>
      <c r="Y37" s="18">
        <f>EXACT(SUBSTITUTE(A37," ",""),SUBSTITUTE(M37&amp;N37&amp;O37&amp;P37&amp;Q37," ",""))</f>
        <v/>
      </c>
    </row>
    <row r="38">
      <c r="A38" s="15" t="inlineStr">
        <is>
          <t>INSERT INTO MNG_DEAL_LIST_DSP_TBL VALUES(9 , 6 , 7 , 'Y' );</t>
        </is>
      </c>
      <c r="B38" s="16" t="n"/>
      <c r="C38" s="15" t="inlineStr">
        <is>
          <t xml:space="preserve">9 </t>
        </is>
      </c>
      <c r="D38" s="15" t="inlineStr">
        <is>
          <t xml:space="preserve"> 6 </t>
        </is>
      </c>
      <c r="E38" s="15" t="inlineStr">
        <is>
          <t xml:space="preserve"> 7 </t>
        </is>
      </c>
      <c r="F38" s="15" t="inlineStr">
        <is>
          <t xml:space="preserve"> 'Y' </t>
        </is>
      </c>
      <c r="H38" s="17" t="inlineStr">
        <is>
          <t>9</t>
        </is>
      </c>
      <c r="I38" s="17" t="inlineStr">
        <is>
          <t>6</t>
        </is>
      </c>
      <c r="J38" s="17" t="inlineStr">
        <is>
          <t>7</t>
        </is>
      </c>
      <c r="K38" s="17" t="inlineStr">
        <is>
          <t>Y</t>
        </is>
      </c>
      <c r="M38" s="15" t="inlineStr">
        <is>
          <t>INSERT INTO</t>
        </is>
      </c>
      <c r="N38" s="15" t="inlineStr">
        <is>
          <t>MNG_DEAL_LIST_DSP_TBL</t>
        </is>
      </c>
      <c r="O38" s="15" t="inlineStr">
        <is>
          <t>VALUES(</t>
        </is>
      </c>
      <c r="P38" s="15" t="inlineStr">
        <is>
          <t xml:space="preserve">9 , 6 , 7 , 'Y' </t>
        </is>
      </c>
      <c r="Q38" s="15" t="inlineStr">
        <is>
          <t>);</t>
        </is>
      </c>
      <c r="S38" s="18">
        <f>EXACT(TRIM(C38),H38&amp;"")</f>
        <v/>
      </c>
      <c r="T38" s="18">
        <f>EXACT(TRIM(D38),I38&amp;"")</f>
        <v/>
      </c>
      <c r="U38" s="18">
        <f>EXACT(TRIM(E38),J38&amp;"")</f>
        <v/>
      </c>
      <c r="V38" s="18">
        <f>EXACT(TRIM(F38),"'"&amp;K38&amp;"'")</f>
        <v/>
      </c>
      <c r="W38" s="18">
        <f>AND(S38:V38)</f>
        <v/>
      </c>
      <c r="X38" s="19">
        <f>TRIM(IF(S38,"",$S$3&amp;" ")&amp;IF(T38,"",$T$3&amp;" ")&amp;IF(U38,"",$U$3&amp;" ")&amp;IF(V38,"",$V$3&amp;" "))</f>
        <v/>
      </c>
      <c r="Y38" s="18">
        <f>EXACT(SUBSTITUTE(A38," ",""),SUBSTITUTE(M38&amp;N38&amp;O38&amp;P38&amp;Q38," ",""))</f>
        <v/>
      </c>
    </row>
    <row r="39">
      <c r="A39" s="15" t="inlineStr">
        <is>
          <t>INSERT INTO MNG_DEAL_LIST_DSP_TBL VALUES(9 , 6 , 8 , 'Y' );</t>
        </is>
      </c>
      <c r="B39" s="16" t="n"/>
      <c r="C39" s="15" t="inlineStr">
        <is>
          <t xml:space="preserve">9 </t>
        </is>
      </c>
      <c r="D39" s="15" t="inlineStr">
        <is>
          <t xml:space="preserve"> 6 </t>
        </is>
      </c>
      <c r="E39" s="15" t="inlineStr">
        <is>
          <t xml:space="preserve"> 8 </t>
        </is>
      </c>
      <c r="F39" s="15" t="inlineStr">
        <is>
          <t xml:space="preserve"> 'Y' </t>
        </is>
      </c>
      <c r="H39" s="17" t="inlineStr">
        <is>
          <t>9</t>
        </is>
      </c>
      <c r="I39" s="17" t="inlineStr">
        <is>
          <t>6</t>
        </is>
      </c>
      <c r="J39" s="17" t="inlineStr">
        <is>
          <t>8</t>
        </is>
      </c>
      <c r="K39" s="17" t="inlineStr">
        <is>
          <t>Y</t>
        </is>
      </c>
      <c r="M39" s="15" t="inlineStr">
        <is>
          <t>INSERT INTO</t>
        </is>
      </c>
      <c r="N39" s="15" t="inlineStr">
        <is>
          <t>MNG_DEAL_LIST_DSP_TBL</t>
        </is>
      </c>
      <c r="O39" s="15" t="inlineStr">
        <is>
          <t>VALUES(</t>
        </is>
      </c>
      <c r="P39" s="15" t="inlineStr">
        <is>
          <t xml:space="preserve">9 , 6 , 8 , 'Y' </t>
        </is>
      </c>
      <c r="Q39" s="15" t="inlineStr">
        <is>
          <t>);</t>
        </is>
      </c>
      <c r="S39" s="18">
        <f>EXACT(TRIM(C39),H39&amp;"")</f>
        <v/>
      </c>
      <c r="T39" s="18">
        <f>EXACT(TRIM(D39),I39&amp;"")</f>
        <v/>
      </c>
      <c r="U39" s="18">
        <f>EXACT(TRIM(E39),J39&amp;"")</f>
        <v/>
      </c>
      <c r="V39" s="18">
        <f>EXACT(TRIM(F39),"'"&amp;K39&amp;"'")</f>
        <v/>
      </c>
      <c r="W39" s="18">
        <f>AND(S39:V39)</f>
        <v/>
      </c>
      <c r="X39" s="19">
        <f>TRIM(IF(S39,"",$S$3&amp;" ")&amp;IF(T39,"",$T$3&amp;" ")&amp;IF(U39,"",$U$3&amp;" ")&amp;IF(V39,"",$V$3&amp;" "))</f>
        <v/>
      </c>
      <c r="Y39" s="18">
        <f>EXACT(SUBSTITUTE(A39," ",""),SUBSTITUTE(M39&amp;N39&amp;O39&amp;P39&amp;Q39," ",""))</f>
        <v/>
      </c>
    </row>
    <row r="40">
      <c r="A40" s="15" t="inlineStr">
        <is>
          <t>INSERT INTO MNG_DEAL_LIST_DSP_TBL VALUES(9 , 6 , 9 , 'Y' );</t>
        </is>
      </c>
      <c r="B40" s="16" t="n"/>
      <c r="C40" s="15" t="inlineStr">
        <is>
          <t xml:space="preserve">9 </t>
        </is>
      </c>
      <c r="D40" s="15" t="inlineStr">
        <is>
          <t xml:space="preserve"> 6 </t>
        </is>
      </c>
      <c r="E40" s="15" t="inlineStr">
        <is>
          <t xml:space="preserve"> 9 </t>
        </is>
      </c>
      <c r="F40" s="15" t="inlineStr">
        <is>
          <t xml:space="preserve"> 'Y' </t>
        </is>
      </c>
      <c r="H40" s="17" t="inlineStr">
        <is>
          <t>9</t>
        </is>
      </c>
      <c r="I40" s="17" t="inlineStr">
        <is>
          <t>6</t>
        </is>
      </c>
      <c r="J40" s="17" t="inlineStr">
        <is>
          <t>9</t>
        </is>
      </c>
      <c r="K40" s="17" t="inlineStr">
        <is>
          <t>Y</t>
        </is>
      </c>
      <c r="M40" s="15" t="inlineStr">
        <is>
          <t>INSERT INTO</t>
        </is>
      </c>
      <c r="N40" s="15" t="inlineStr">
        <is>
          <t>MNG_DEAL_LIST_DSP_TBL</t>
        </is>
      </c>
      <c r="O40" s="15" t="inlineStr">
        <is>
          <t>VALUES(</t>
        </is>
      </c>
      <c r="P40" s="15" t="inlineStr">
        <is>
          <t xml:space="preserve">9 , 6 , 9 , 'Y' </t>
        </is>
      </c>
      <c r="Q40" s="15" t="inlineStr">
        <is>
          <t>);</t>
        </is>
      </c>
      <c r="S40" s="18">
        <f>EXACT(TRIM(C40),H40&amp;"")</f>
        <v/>
      </c>
      <c r="T40" s="18">
        <f>EXACT(TRIM(D40),I40&amp;"")</f>
        <v/>
      </c>
      <c r="U40" s="18">
        <f>EXACT(TRIM(E40),J40&amp;"")</f>
        <v/>
      </c>
      <c r="V40" s="18">
        <f>EXACT(TRIM(F40),"'"&amp;K40&amp;"'")</f>
        <v/>
      </c>
      <c r="W40" s="18">
        <f>AND(S40:V40)</f>
        <v/>
      </c>
      <c r="X40" s="19">
        <f>TRIM(IF(S40,"",$S$3&amp;" ")&amp;IF(T40,"",$T$3&amp;" ")&amp;IF(U40,"",$U$3&amp;" ")&amp;IF(V40,"",$V$3&amp;" "))</f>
        <v/>
      </c>
      <c r="Y40" s="18">
        <f>EXACT(SUBSTITUTE(A40," ",""),SUBSTITUTE(M40&amp;N40&amp;O40&amp;P40&amp;Q40," ",""))</f>
        <v/>
      </c>
    </row>
    <row r="41">
      <c r="A41" s="15" t="inlineStr">
        <is>
          <t>INSERT INTO MNG_DEAL_LIST_DSP_TBL VALUES(9 , 6 , 10 , 'N' );</t>
        </is>
      </c>
      <c r="B41" s="16" t="n"/>
      <c r="C41" s="15" t="inlineStr">
        <is>
          <t xml:space="preserve">9 </t>
        </is>
      </c>
      <c r="D41" s="15" t="inlineStr">
        <is>
          <t xml:space="preserve"> 6 </t>
        </is>
      </c>
      <c r="E41" s="15" t="inlineStr">
        <is>
          <t xml:space="preserve"> 10 </t>
        </is>
      </c>
      <c r="F41" s="15" t="inlineStr">
        <is>
          <t xml:space="preserve"> 'N' </t>
        </is>
      </c>
      <c r="H41" s="17" t="inlineStr">
        <is>
          <t>9</t>
        </is>
      </c>
      <c r="I41" s="17" t="inlineStr">
        <is>
          <t>6</t>
        </is>
      </c>
      <c r="J41" s="17" t="inlineStr">
        <is>
          <t>10</t>
        </is>
      </c>
      <c r="K41" s="17" t="inlineStr">
        <is>
          <t>N</t>
        </is>
      </c>
      <c r="M41" s="15" t="inlineStr">
        <is>
          <t>INSERT INTO</t>
        </is>
      </c>
      <c r="N41" s="15" t="inlineStr">
        <is>
          <t>MNG_DEAL_LIST_DSP_TBL</t>
        </is>
      </c>
      <c r="O41" s="15" t="inlineStr">
        <is>
          <t>VALUES(</t>
        </is>
      </c>
      <c r="P41" s="15" t="inlineStr">
        <is>
          <t xml:space="preserve">9 , 6 , 10 , 'N' </t>
        </is>
      </c>
      <c r="Q41" s="15" t="inlineStr">
        <is>
          <t>);</t>
        </is>
      </c>
      <c r="S41" s="18">
        <f>EXACT(TRIM(C41),H41&amp;"")</f>
        <v/>
      </c>
      <c r="T41" s="18">
        <f>EXACT(TRIM(D41),I41&amp;"")</f>
        <v/>
      </c>
      <c r="U41" s="18">
        <f>EXACT(TRIM(E41),J41&amp;"")</f>
        <v/>
      </c>
      <c r="V41" s="18">
        <f>EXACT(TRIM(F41),"'"&amp;K41&amp;"'")</f>
        <v/>
      </c>
      <c r="W41" s="18">
        <f>AND(S41:V41)</f>
        <v/>
      </c>
      <c r="X41" s="19">
        <f>TRIM(IF(S41,"",$S$3&amp;" ")&amp;IF(T41,"",$T$3&amp;" ")&amp;IF(U41,"",$U$3&amp;" ")&amp;IF(V41,"",$V$3&amp;" "))</f>
        <v/>
      </c>
      <c r="Y41" s="18">
        <f>EXACT(SUBSTITUTE(A41," ",""),SUBSTITUTE(M41&amp;N41&amp;O41&amp;P41&amp;Q41," ",""))</f>
        <v/>
      </c>
    </row>
    <row r="42">
      <c r="A42" s="15" t="inlineStr">
        <is>
          <t>INSERT INTO MNG_DEAL_LIST_DSP_TBL VALUES(9 , 6 , 11 , 'Y' );</t>
        </is>
      </c>
      <c r="B42" s="16" t="n"/>
      <c r="C42" s="15" t="inlineStr">
        <is>
          <t xml:space="preserve">9 </t>
        </is>
      </c>
      <c r="D42" s="15" t="inlineStr">
        <is>
          <t xml:space="preserve"> 6 </t>
        </is>
      </c>
      <c r="E42" s="15" t="inlineStr">
        <is>
          <t xml:space="preserve"> 11 </t>
        </is>
      </c>
      <c r="F42" s="15" t="inlineStr">
        <is>
          <t xml:space="preserve"> 'Y' </t>
        </is>
      </c>
      <c r="H42" s="17" t="inlineStr">
        <is>
          <t>9</t>
        </is>
      </c>
      <c r="I42" s="17" t="inlineStr">
        <is>
          <t>6</t>
        </is>
      </c>
      <c r="J42" s="17" t="inlineStr">
        <is>
          <t>11</t>
        </is>
      </c>
      <c r="K42" s="17" t="inlineStr">
        <is>
          <t>Y</t>
        </is>
      </c>
      <c r="M42" s="15" t="inlineStr">
        <is>
          <t>INSERT INTO</t>
        </is>
      </c>
      <c r="N42" s="15" t="inlineStr">
        <is>
          <t>MNG_DEAL_LIST_DSP_TBL</t>
        </is>
      </c>
      <c r="O42" s="15" t="inlineStr">
        <is>
          <t>VALUES(</t>
        </is>
      </c>
      <c r="P42" s="15" t="inlineStr">
        <is>
          <t xml:space="preserve">9 , 6 , 11 , 'Y' </t>
        </is>
      </c>
      <c r="Q42" s="15" t="inlineStr">
        <is>
          <t>);</t>
        </is>
      </c>
      <c r="S42" s="18">
        <f>EXACT(TRIM(C42),H42&amp;"")</f>
        <v/>
      </c>
      <c r="T42" s="18">
        <f>EXACT(TRIM(D42),I42&amp;"")</f>
        <v/>
      </c>
      <c r="U42" s="18">
        <f>EXACT(TRIM(E42),J42&amp;"")</f>
        <v/>
      </c>
      <c r="V42" s="18">
        <f>EXACT(TRIM(F42),"'"&amp;K42&amp;"'")</f>
        <v/>
      </c>
      <c r="W42" s="18">
        <f>AND(S42:V42)</f>
        <v/>
      </c>
      <c r="X42" s="19">
        <f>TRIM(IF(S42,"",$S$3&amp;" ")&amp;IF(T42,"",$T$3&amp;" ")&amp;IF(U42,"",$U$3&amp;" ")&amp;IF(V42,"",$V$3&amp;" "))</f>
        <v/>
      </c>
      <c r="Y42" s="18">
        <f>EXACT(SUBSTITUTE(A42," ",""),SUBSTITUTE(M42&amp;N42&amp;O42&amp;P42&amp;Q42," ",""))</f>
        <v/>
      </c>
    </row>
    <row r="43">
      <c r="A43" s="15" t="inlineStr">
        <is>
          <t>INSERT INTO MNG_DEAL_LIST_DSP_TBL VALUES(9 , 6 , 12 , 'Y' );</t>
        </is>
      </c>
      <c r="B43" s="16" t="n"/>
      <c r="C43" s="15" t="inlineStr">
        <is>
          <t xml:space="preserve">9 </t>
        </is>
      </c>
      <c r="D43" s="15" t="inlineStr">
        <is>
          <t xml:space="preserve"> 6 </t>
        </is>
      </c>
      <c r="E43" s="15" t="inlineStr">
        <is>
          <t xml:space="preserve"> 12 </t>
        </is>
      </c>
      <c r="F43" s="15" t="inlineStr">
        <is>
          <t xml:space="preserve"> 'Y' </t>
        </is>
      </c>
      <c r="H43" s="17" t="inlineStr">
        <is>
          <t>9</t>
        </is>
      </c>
      <c r="I43" s="17" t="inlineStr">
        <is>
          <t>6</t>
        </is>
      </c>
      <c r="J43" s="17" t="inlineStr">
        <is>
          <t>12</t>
        </is>
      </c>
      <c r="K43" s="17" t="inlineStr">
        <is>
          <t>Y</t>
        </is>
      </c>
      <c r="M43" s="15" t="inlineStr">
        <is>
          <t>INSERT INTO</t>
        </is>
      </c>
      <c r="N43" s="15" t="inlineStr">
        <is>
          <t>MNG_DEAL_LIST_DSP_TBL</t>
        </is>
      </c>
      <c r="O43" s="15" t="inlineStr">
        <is>
          <t>VALUES(</t>
        </is>
      </c>
      <c r="P43" s="15" t="inlineStr">
        <is>
          <t xml:space="preserve">9 , 6 , 12 , 'Y' </t>
        </is>
      </c>
      <c r="Q43" s="15" t="inlineStr">
        <is>
          <t>);</t>
        </is>
      </c>
      <c r="S43" s="18">
        <f>EXACT(TRIM(C43),H43&amp;"")</f>
        <v/>
      </c>
      <c r="T43" s="18">
        <f>EXACT(TRIM(D43),I43&amp;"")</f>
        <v/>
      </c>
      <c r="U43" s="18">
        <f>EXACT(TRIM(E43),J43&amp;"")</f>
        <v/>
      </c>
      <c r="V43" s="18">
        <f>EXACT(TRIM(F43),"'"&amp;K43&amp;"'")</f>
        <v/>
      </c>
      <c r="W43" s="18">
        <f>AND(S43:V43)</f>
        <v/>
      </c>
      <c r="X43" s="19">
        <f>TRIM(IF(S43,"",$S$3&amp;" ")&amp;IF(T43,"",$T$3&amp;" ")&amp;IF(U43,"",$U$3&amp;" ")&amp;IF(V43,"",$V$3&amp;" "))</f>
        <v/>
      </c>
      <c r="Y43" s="18">
        <f>EXACT(SUBSTITUTE(A43," ",""),SUBSTITUTE(M43&amp;N43&amp;O43&amp;P43&amp;Q43," ",""))</f>
        <v/>
      </c>
    </row>
    <row r="44">
      <c r="A44" s="15" t="inlineStr">
        <is>
          <t>INSERT INTO MNG_DEAL_LIST_DSP_TBL VALUES(9 , 6 , 13 , 'Y' );</t>
        </is>
      </c>
      <c r="B44" s="16" t="n"/>
      <c r="C44" s="15" t="inlineStr">
        <is>
          <t xml:space="preserve">9 </t>
        </is>
      </c>
      <c r="D44" s="15" t="inlineStr">
        <is>
          <t xml:space="preserve"> 6 </t>
        </is>
      </c>
      <c r="E44" s="15" t="inlineStr">
        <is>
          <t xml:space="preserve"> 13 </t>
        </is>
      </c>
      <c r="F44" s="15" t="inlineStr">
        <is>
          <t xml:space="preserve"> 'Y' </t>
        </is>
      </c>
      <c r="H44" s="17" t="inlineStr">
        <is>
          <t>9</t>
        </is>
      </c>
      <c r="I44" s="17" t="inlineStr">
        <is>
          <t>6</t>
        </is>
      </c>
      <c r="J44" s="17" t="inlineStr">
        <is>
          <t>13</t>
        </is>
      </c>
      <c r="K44" s="17" t="inlineStr">
        <is>
          <t>Y</t>
        </is>
      </c>
      <c r="M44" s="15" t="inlineStr">
        <is>
          <t>INSERT INTO</t>
        </is>
      </c>
      <c r="N44" s="15" t="inlineStr">
        <is>
          <t>MNG_DEAL_LIST_DSP_TBL</t>
        </is>
      </c>
      <c r="O44" s="15" t="inlineStr">
        <is>
          <t>VALUES(</t>
        </is>
      </c>
      <c r="P44" s="15" t="inlineStr">
        <is>
          <t xml:space="preserve">9 , 6 , 13 , 'Y' </t>
        </is>
      </c>
      <c r="Q44" s="15" t="inlineStr">
        <is>
          <t>);</t>
        </is>
      </c>
      <c r="S44" s="18">
        <f>EXACT(TRIM(C44),H44&amp;"")</f>
        <v/>
      </c>
      <c r="T44" s="18">
        <f>EXACT(TRIM(D44),I44&amp;"")</f>
        <v/>
      </c>
      <c r="U44" s="18">
        <f>EXACT(TRIM(E44),J44&amp;"")</f>
        <v/>
      </c>
      <c r="V44" s="18">
        <f>EXACT(TRIM(F44),"'"&amp;K44&amp;"'")</f>
        <v/>
      </c>
      <c r="W44" s="18">
        <f>AND(S44:V44)</f>
        <v/>
      </c>
      <c r="X44" s="19">
        <f>TRIM(IF(S44,"",$S$3&amp;" ")&amp;IF(T44,"",$T$3&amp;" ")&amp;IF(U44,"",$U$3&amp;" ")&amp;IF(V44,"",$V$3&amp;" "))</f>
        <v/>
      </c>
      <c r="Y44" s="18">
        <f>EXACT(SUBSTITUTE(A44," ",""),SUBSTITUTE(M44&amp;N44&amp;O44&amp;P44&amp;Q44," ",""))</f>
        <v/>
      </c>
    </row>
    <row r="45">
      <c r="A45" s="15" t="inlineStr">
        <is>
          <t>INSERT INTO MNG_DEAL_LIST_DSP_TBL VALUES(9 , 6 , 14 , 'Y' );</t>
        </is>
      </c>
      <c r="B45" s="16" t="n"/>
      <c r="C45" s="15" t="inlineStr">
        <is>
          <t xml:space="preserve">9 </t>
        </is>
      </c>
      <c r="D45" s="15" t="inlineStr">
        <is>
          <t xml:space="preserve"> 6 </t>
        </is>
      </c>
      <c r="E45" s="15" t="inlineStr">
        <is>
          <t xml:space="preserve"> 14 </t>
        </is>
      </c>
      <c r="F45" s="15" t="inlineStr">
        <is>
          <t xml:space="preserve"> 'Y' </t>
        </is>
      </c>
      <c r="H45" s="17" t="inlineStr">
        <is>
          <t>9</t>
        </is>
      </c>
      <c r="I45" s="17" t="inlineStr">
        <is>
          <t>6</t>
        </is>
      </c>
      <c r="J45" s="17" t="inlineStr">
        <is>
          <t>14</t>
        </is>
      </c>
      <c r="K45" s="17" t="inlineStr">
        <is>
          <t>Y</t>
        </is>
      </c>
      <c r="M45" s="15" t="inlineStr">
        <is>
          <t>INSERT INTO</t>
        </is>
      </c>
      <c r="N45" s="15" t="inlineStr">
        <is>
          <t>MNG_DEAL_LIST_DSP_TBL</t>
        </is>
      </c>
      <c r="O45" s="15" t="inlineStr">
        <is>
          <t>VALUES(</t>
        </is>
      </c>
      <c r="P45" s="15" t="inlineStr">
        <is>
          <t xml:space="preserve">9 , 6 , 14 , 'Y' </t>
        </is>
      </c>
      <c r="Q45" s="15" t="inlineStr">
        <is>
          <t>);</t>
        </is>
      </c>
      <c r="S45" s="18">
        <f>EXACT(TRIM(C45),H45&amp;"")</f>
        <v/>
      </c>
      <c r="T45" s="18">
        <f>EXACT(TRIM(D45),I45&amp;"")</f>
        <v/>
      </c>
      <c r="U45" s="18">
        <f>EXACT(TRIM(E45),J45&amp;"")</f>
        <v/>
      </c>
      <c r="V45" s="18">
        <f>EXACT(TRIM(F45),"'"&amp;K45&amp;"'")</f>
        <v/>
      </c>
      <c r="W45" s="18">
        <f>AND(S45:V45)</f>
        <v/>
      </c>
      <c r="X45" s="19">
        <f>TRIM(IF(S45,"",$S$3&amp;" ")&amp;IF(T45,"",$T$3&amp;" ")&amp;IF(U45,"",$U$3&amp;" ")&amp;IF(V45,"",$V$3&amp;" "))</f>
        <v/>
      </c>
      <c r="Y45" s="18">
        <f>EXACT(SUBSTITUTE(A45," ",""),SUBSTITUTE(M45&amp;N45&amp;O45&amp;P45&amp;Q45," ",""))</f>
        <v/>
      </c>
    </row>
    <row r="46">
      <c r="A46" s="15" t="inlineStr">
        <is>
          <t>INSERT INTO MNG_DEAL_LIST_DSP_TBL VALUES(9 , 6 , 15 , 'Y' );</t>
        </is>
      </c>
      <c r="B46" s="16" t="n"/>
      <c r="C46" s="15" t="inlineStr">
        <is>
          <t xml:space="preserve">9 </t>
        </is>
      </c>
      <c r="D46" s="15" t="inlineStr">
        <is>
          <t xml:space="preserve"> 6 </t>
        </is>
      </c>
      <c r="E46" s="15" t="inlineStr">
        <is>
          <t xml:space="preserve"> 15 </t>
        </is>
      </c>
      <c r="F46" s="15" t="inlineStr">
        <is>
          <t xml:space="preserve"> 'Y' </t>
        </is>
      </c>
      <c r="H46" s="17" t="inlineStr">
        <is>
          <t>9</t>
        </is>
      </c>
      <c r="I46" s="17" t="inlineStr">
        <is>
          <t>6</t>
        </is>
      </c>
      <c r="J46" s="17" t="inlineStr">
        <is>
          <t>15</t>
        </is>
      </c>
      <c r="K46" s="17" t="inlineStr">
        <is>
          <t>Y</t>
        </is>
      </c>
      <c r="M46" s="15" t="inlineStr">
        <is>
          <t>INSERT INTO</t>
        </is>
      </c>
      <c r="N46" s="15" t="inlineStr">
        <is>
          <t>MNG_DEAL_LIST_DSP_TBL</t>
        </is>
      </c>
      <c r="O46" s="15" t="inlineStr">
        <is>
          <t>VALUES(</t>
        </is>
      </c>
      <c r="P46" s="15" t="inlineStr">
        <is>
          <t xml:space="preserve">9 , 6 , 15 , 'Y' </t>
        </is>
      </c>
      <c r="Q46" s="15" t="inlineStr">
        <is>
          <t>);</t>
        </is>
      </c>
      <c r="S46" s="18">
        <f>EXACT(TRIM(C46),H46&amp;"")</f>
        <v/>
      </c>
      <c r="T46" s="18">
        <f>EXACT(TRIM(D46),I46&amp;"")</f>
        <v/>
      </c>
      <c r="U46" s="18">
        <f>EXACT(TRIM(E46),J46&amp;"")</f>
        <v/>
      </c>
      <c r="V46" s="18">
        <f>EXACT(TRIM(F46),"'"&amp;K46&amp;"'")</f>
        <v/>
      </c>
      <c r="W46" s="18">
        <f>AND(S46:V46)</f>
        <v/>
      </c>
      <c r="X46" s="19">
        <f>TRIM(IF(S46,"",$S$3&amp;" ")&amp;IF(T46,"",$T$3&amp;" ")&amp;IF(U46,"",$U$3&amp;" ")&amp;IF(V46,"",$V$3&amp;" "))</f>
        <v/>
      </c>
      <c r="Y46" s="18">
        <f>EXACT(SUBSTITUTE(A46," ",""),SUBSTITUTE(M46&amp;N46&amp;O46&amp;P46&amp;Q46," ",""))</f>
        <v/>
      </c>
    </row>
    <row r="47">
      <c r="A47" s="15" t="inlineStr">
        <is>
          <t>INSERT INTO MNG_DEAL_LIST_DSP_TBL VALUES(9 , 6 , 16 , 'Y' );</t>
        </is>
      </c>
      <c r="B47" s="16" t="n"/>
      <c r="C47" s="15" t="inlineStr">
        <is>
          <t xml:space="preserve">9 </t>
        </is>
      </c>
      <c r="D47" s="15" t="inlineStr">
        <is>
          <t xml:space="preserve"> 6 </t>
        </is>
      </c>
      <c r="E47" s="15" t="inlineStr">
        <is>
          <t xml:space="preserve"> 16 </t>
        </is>
      </c>
      <c r="F47" s="15" t="inlineStr">
        <is>
          <t xml:space="preserve"> 'Y' </t>
        </is>
      </c>
      <c r="H47" s="17" t="inlineStr">
        <is>
          <t>9</t>
        </is>
      </c>
      <c r="I47" s="17" t="inlineStr">
        <is>
          <t>6</t>
        </is>
      </c>
      <c r="J47" s="17" t="inlineStr">
        <is>
          <t>16</t>
        </is>
      </c>
      <c r="K47" s="17" t="inlineStr">
        <is>
          <t>Y</t>
        </is>
      </c>
      <c r="M47" s="15" t="inlineStr">
        <is>
          <t>INSERT INTO</t>
        </is>
      </c>
      <c r="N47" s="15" t="inlineStr">
        <is>
          <t>MNG_DEAL_LIST_DSP_TBL</t>
        </is>
      </c>
      <c r="O47" s="15" t="inlineStr">
        <is>
          <t>VALUES(</t>
        </is>
      </c>
      <c r="P47" s="15" t="inlineStr">
        <is>
          <t xml:space="preserve">9 , 6 , 16 , 'Y' </t>
        </is>
      </c>
      <c r="Q47" s="15" t="inlineStr">
        <is>
          <t>);</t>
        </is>
      </c>
      <c r="S47" s="18">
        <f>EXACT(TRIM(C47),H47&amp;"")</f>
        <v/>
      </c>
      <c r="T47" s="18">
        <f>EXACT(TRIM(D47),I47&amp;"")</f>
        <v/>
      </c>
      <c r="U47" s="18">
        <f>EXACT(TRIM(E47),J47&amp;"")</f>
        <v/>
      </c>
      <c r="V47" s="18">
        <f>EXACT(TRIM(F47),"'"&amp;K47&amp;"'")</f>
        <v/>
      </c>
      <c r="W47" s="18">
        <f>AND(S47:V47)</f>
        <v/>
      </c>
      <c r="X47" s="19">
        <f>TRIM(IF(S47,"",$S$3&amp;" ")&amp;IF(T47,"",$T$3&amp;" ")&amp;IF(U47,"",$U$3&amp;" ")&amp;IF(V47,"",$V$3&amp;" "))</f>
        <v/>
      </c>
      <c r="Y47" s="18">
        <f>EXACT(SUBSTITUTE(A47," ",""),SUBSTITUTE(M47&amp;N47&amp;O47&amp;P47&amp;Q47," ",""))</f>
        <v/>
      </c>
    </row>
    <row r="48">
      <c r="A48" s="15" t="inlineStr">
        <is>
          <t>INSERT INTO MNG_DEAL_LIST_DSP_TBL VALUES(9 , 7 , 1 , 'Y' );</t>
        </is>
      </c>
      <c r="B48" s="16" t="n"/>
      <c r="C48" s="15" t="inlineStr">
        <is>
          <t xml:space="preserve">9 </t>
        </is>
      </c>
      <c r="D48" s="15" t="inlineStr">
        <is>
          <t xml:space="preserve"> 7 </t>
        </is>
      </c>
      <c r="E48" s="15" t="inlineStr">
        <is>
          <t xml:space="preserve"> 1 </t>
        </is>
      </c>
      <c r="F48" s="15" t="inlineStr">
        <is>
          <t xml:space="preserve"> 'Y' </t>
        </is>
      </c>
      <c r="H48" s="17" t="inlineStr">
        <is>
          <t>9</t>
        </is>
      </c>
      <c r="I48" s="17" t="inlineStr">
        <is>
          <t>7</t>
        </is>
      </c>
      <c r="J48" s="17" t="inlineStr">
        <is>
          <t>1</t>
        </is>
      </c>
      <c r="K48" s="17" t="inlineStr">
        <is>
          <t>Y</t>
        </is>
      </c>
      <c r="M48" s="15" t="inlineStr">
        <is>
          <t>INSERT INTO</t>
        </is>
      </c>
      <c r="N48" s="15" t="inlineStr">
        <is>
          <t>MNG_DEAL_LIST_DSP_TBL</t>
        </is>
      </c>
      <c r="O48" s="15" t="inlineStr">
        <is>
          <t>VALUES(</t>
        </is>
      </c>
      <c r="P48" s="15" t="inlineStr">
        <is>
          <t xml:space="preserve">9 , 7 , 1 , 'Y' </t>
        </is>
      </c>
      <c r="Q48" s="15" t="inlineStr">
        <is>
          <t>);</t>
        </is>
      </c>
      <c r="S48" s="18">
        <f>EXACT(TRIM(C48),H48&amp;"")</f>
        <v/>
      </c>
      <c r="T48" s="18">
        <f>EXACT(TRIM(D48),I48&amp;"")</f>
        <v/>
      </c>
      <c r="U48" s="18">
        <f>EXACT(TRIM(E48),J48&amp;"")</f>
        <v/>
      </c>
      <c r="V48" s="18">
        <f>EXACT(TRIM(F48),"'"&amp;K48&amp;"'")</f>
        <v/>
      </c>
      <c r="W48" s="18">
        <f>AND(S48:V48)</f>
        <v/>
      </c>
      <c r="X48" s="19">
        <f>TRIM(IF(S48,"",$S$3&amp;" ")&amp;IF(T48,"",$T$3&amp;" ")&amp;IF(U48,"",$U$3&amp;" ")&amp;IF(V48,"",$V$3&amp;" "))</f>
        <v/>
      </c>
      <c r="Y48" s="18">
        <f>EXACT(SUBSTITUTE(A48," ",""),SUBSTITUTE(M48&amp;N48&amp;O48&amp;P48&amp;Q48," ",""))</f>
        <v/>
      </c>
    </row>
    <row r="49">
      <c r="A49" s="15" t="inlineStr">
        <is>
          <t>INSERT INTO MNG_DEAL_LIST_DSP_TBL VALUES(9 , 7 , 2 , 'N' );</t>
        </is>
      </c>
      <c r="B49" s="16" t="n"/>
      <c r="C49" s="15" t="inlineStr">
        <is>
          <t xml:space="preserve">9 </t>
        </is>
      </c>
      <c r="D49" s="15" t="inlineStr">
        <is>
          <t xml:space="preserve"> 7 </t>
        </is>
      </c>
      <c r="E49" s="15" t="inlineStr">
        <is>
          <t xml:space="preserve"> 2 </t>
        </is>
      </c>
      <c r="F49" s="15" t="inlineStr">
        <is>
          <t xml:space="preserve"> 'N' </t>
        </is>
      </c>
      <c r="H49" s="17" t="inlineStr">
        <is>
          <t>9</t>
        </is>
      </c>
      <c r="I49" s="17" t="inlineStr">
        <is>
          <t>7</t>
        </is>
      </c>
      <c r="J49" s="17" t="inlineStr">
        <is>
          <t>2</t>
        </is>
      </c>
      <c r="K49" s="17" t="inlineStr">
        <is>
          <t>N</t>
        </is>
      </c>
      <c r="M49" s="15" t="inlineStr">
        <is>
          <t>INSERT INTO</t>
        </is>
      </c>
      <c r="N49" s="15" t="inlineStr">
        <is>
          <t>MNG_DEAL_LIST_DSP_TBL</t>
        </is>
      </c>
      <c r="O49" s="15" t="inlineStr">
        <is>
          <t>VALUES(</t>
        </is>
      </c>
      <c r="P49" s="15" t="inlineStr">
        <is>
          <t xml:space="preserve">9 , 7 , 2 , 'N' </t>
        </is>
      </c>
      <c r="Q49" s="15" t="inlineStr">
        <is>
          <t>);</t>
        </is>
      </c>
      <c r="S49" s="18">
        <f>EXACT(TRIM(C49),H49&amp;"")</f>
        <v/>
      </c>
      <c r="T49" s="18">
        <f>EXACT(TRIM(D49),I49&amp;"")</f>
        <v/>
      </c>
      <c r="U49" s="18">
        <f>EXACT(TRIM(E49),J49&amp;"")</f>
        <v/>
      </c>
      <c r="V49" s="18">
        <f>EXACT(TRIM(F49),"'"&amp;K49&amp;"'")</f>
        <v/>
      </c>
      <c r="W49" s="18">
        <f>AND(S49:V49)</f>
        <v/>
      </c>
      <c r="X49" s="19">
        <f>TRIM(IF(S49,"",$S$3&amp;" ")&amp;IF(T49,"",$T$3&amp;" ")&amp;IF(U49,"",$U$3&amp;" ")&amp;IF(V49,"",$V$3&amp;" "))</f>
        <v/>
      </c>
      <c r="Y49" s="18">
        <f>EXACT(SUBSTITUTE(A49," ",""),SUBSTITUTE(M49&amp;N49&amp;O49&amp;P49&amp;Q49," ",""))</f>
        <v/>
      </c>
    </row>
    <row r="50">
      <c r="A50" s="15" t="inlineStr">
        <is>
          <t>INSERT INTO MNG_DEAL_LIST_DSP_TBL VALUES(9 , 7 , 3 , 'N' );</t>
        </is>
      </c>
      <c r="B50" s="16" t="n"/>
      <c r="C50" s="15" t="inlineStr">
        <is>
          <t xml:space="preserve">9 </t>
        </is>
      </c>
      <c r="D50" s="15" t="inlineStr">
        <is>
          <t xml:space="preserve"> 7 </t>
        </is>
      </c>
      <c r="E50" s="15" t="inlineStr">
        <is>
          <t xml:space="preserve"> 3 </t>
        </is>
      </c>
      <c r="F50" s="15" t="inlineStr">
        <is>
          <t xml:space="preserve"> 'N' </t>
        </is>
      </c>
      <c r="H50" s="17" t="inlineStr">
        <is>
          <t>9</t>
        </is>
      </c>
      <c r="I50" s="17" t="inlineStr">
        <is>
          <t>7</t>
        </is>
      </c>
      <c r="J50" s="17" t="inlineStr">
        <is>
          <t>3</t>
        </is>
      </c>
      <c r="K50" s="17" t="inlineStr">
        <is>
          <t>N</t>
        </is>
      </c>
      <c r="M50" s="15" t="inlineStr">
        <is>
          <t>INSERT INTO</t>
        </is>
      </c>
      <c r="N50" s="15" t="inlineStr">
        <is>
          <t>MNG_DEAL_LIST_DSP_TBL</t>
        </is>
      </c>
      <c r="O50" s="15" t="inlineStr">
        <is>
          <t>VALUES(</t>
        </is>
      </c>
      <c r="P50" s="15" t="inlineStr">
        <is>
          <t xml:space="preserve">9 , 7 , 3 , 'N' </t>
        </is>
      </c>
      <c r="Q50" s="15" t="inlineStr">
        <is>
          <t>);</t>
        </is>
      </c>
      <c r="S50" s="18">
        <f>EXACT(TRIM(C50),H50&amp;"")</f>
        <v/>
      </c>
      <c r="T50" s="18">
        <f>EXACT(TRIM(D50),I50&amp;"")</f>
        <v/>
      </c>
      <c r="U50" s="18">
        <f>EXACT(TRIM(E50),J50&amp;"")</f>
        <v/>
      </c>
      <c r="V50" s="18">
        <f>EXACT(TRIM(F50),"'"&amp;K50&amp;"'")</f>
        <v/>
      </c>
      <c r="W50" s="18">
        <f>AND(S50:V50)</f>
        <v/>
      </c>
      <c r="X50" s="19">
        <f>TRIM(IF(S50,"",$S$3&amp;" ")&amp;IF(T50,"",$T$3&amp;" ")&amp;IF(U50,"",$U$3&amp;" ")&amp;IF(V50,"",$V$3&amp;" "))</f>
        <v/>
      </c>
      <c r="Y50" s="18">
        <f>EXACT(SUBSTITUTE(A50," ",""),SUBSTITUTE(M50&amp;N50&amp;O50&amp;P50&amp;Q50," ",""))</f>
        <v/>
      </c>
    </row>
    <row r="51">
      <c r="A51" s="15" t="inlineStr">
        <is>
          <t>INSERT INTO MNG_DEAL_LIST_DSP_TBL VALUES(9 , 7 , 4 , 'Y' );</t>
        </is>
      </c>
      <c r="B51" s="16" t="n"/>
      <c r="C51" s="15" t="inlineStr">
        <is>
          <t xml:space="preserve">9 </t>
        </is>
      </c>
      <c r="D51" s="15" t="inlineStr">
        <is>
          <t xml:space="preserve"> 7 </t>
        </is>
      </c>
      <c r="E51" s="15" t="inlineStr">
        <is>
          <t xml:space="preserve"> 4 </t>
        </is>
      </c>
      <c r="F51" s="15" t="inlineStr">
        <is>
          <t xml:space="preserve"> 'Y' </t>
        </is>
      </c>
      <c r="H51" s="17" t="inlineStr">
        <is>
          <t>9</t>
        </is>
      </c>
      <c r="I51" s="17" t="inlineStr">
        <is>
          <t>7</t>
        </is>
      </c>
      <c r="J51" s="17" t="inlineStr">
        <is>
          <t>4</t>
        </is>
      </c>
      <c r="K51" s="17" t="inlineStr">
        <is>
          <t>Y</t>
        </is>
      </c>
      <c r="M51" s="15" t="inlineStr">
        <is>
          <t>INSERT INTO</t>
        </is>
      </c>
      <c r="N51" s="15" t="inlineStr">
        <is>
          <t>MNG_DEAL_LIST_DSP_TBL</t>
        </is>
      </c>
      <c r="O51" s="15" t="inlineStr">
        <is>
          <t>VALUES(</t>
        </is>
      </c>
      <c r="P51" s="15" t="inlineStr">
        <is>
          <t xml:space="preserve">9 , 7 , 4 , 'Y' </t>
        </is>
      </c>
      <c r="Q51" s="15" t="inlineStr">
        <is>
          <t>);</t>
        </is>
      </c>
      <c r="S51" s="18">
        <f>EXACT(TRIM(C51),H51&amp;"")</f>
        <v/>
      </c>
      <c r="T51" s="18">
        <f>EXACT(TRIM(D51),I51&amp;"")</f>
        <v/>
      </c>
      <c r="U51" s="18">
        <f>EXACT(TRIM(E51),J51&amp;"")</f>
        <v/>
      </c>
      <c r="V51" s="18">
        <f>EXACT(TRIM(F51),"'"&amp;K51&amp;"'")</f>
        <v/>
      </c>
      <c r="W51" s="18">
        <f>AND(S51:V51)</f>
        <v/>
      </c>
      <c r="X51" s="19">
        <f>TRIM(IF(S51,"",$S$3&amp;" ")&amp;IF(T51,"",$T$3&amp;" ")&amp;IF(U51,"",$U$3&amp;" ")&amp;IF(V51,"",$V$3&amp;" "))</f>
        <v/>
      </c>
      <c r="Y51" s="18">
        <f>EXACT(SUBSTITUTE(A51," ",""),SUBSTITUTE(M51&amp;N51&amp;O51&amp;P51&amp;Q51," ",""))</f>
        <v/>
      </c>
    </row>
    <row r="52">
      <c r="A52" s="15" t="inlineStr">
        <is>
          <t>INSERT INTO MNG_DEAL_LIST_DSP_TBL VALUES(9 , 7 , 5 , 'Y' );</t>
        </is>
      </c>
      <c r="B52" s="16" t="n"/>
      <c r="C52" s="15" t="inlineStr">
        <is>
          <t xml:space="preserve">9 </t>
        </is>
      </c>
      <c r="D52" s="15" t="inlineStr">
        <is>
          <t xml:space="preserve"> 7 </t>
        </is>
      </c>
      <c r="E52" s="15" t="inlineStr">
        <is>
          <t xml:space="preserve"> 5 </t>
        </is>
      </c>
      <c r="F52" s="15" t="inlineStr">
        <is>
          <t xml:space="preserve"> 'Y' </t>
        </is>
      </c>
      <c r="H52" s="17" t="inlineStr">
        <is>
          <t>9</t>
        </is>
      </c>
      <c r="I52" s="17" t="inlineStr">
        <is>
          <t>7</t>
        </is>
      </c>
      <c r="J52" s="17" t="inlineStr">
        <is>
          <t>5</t>
        </is>
      </c>
      <c r="K52" s="17" t="inlineStr">
        <is>
          <t>Y</t>
        </is>
      </c>
      <c r="M52" s="15" t="inlineStr">
        <is>
          <t>INSERT INTO</t>
        </is>
      </c>
      <c r="N52" s="15" t="inlineStr">
        <is>
          <t>MNG_DEAL_LIST_DSP_TBL</t>
        </is>
      </c>
      <c r="O52" s="15" t="inlineStr">
        <is>
          <t>VALUES(</t>
        </is>
      </c>
      <c r="P52" s="15" t="inlineStr">
        <is>
          <t xml:space="preserve">9 , 7 , 5 , 'Y' </t>
        </is>
      </c>
      <c r="Q52" s="15" t="inlineStr">
        <is>
          <t>);</t>
        </is>
      </c>
      <c r="S52" s="18">
        <f>EXACT(TRIM(C52),H52&amp;"")</f>
        <v/>
      </c>
      <c r="T52" s="18">
        <f>EXACT(TRIM(D52),I52&amp;"")</f>
        <v/>
      </c>
      <c r="U52" s="18">
        <f>EXACT(TRIM(E52),J52&amp;"")</f>
        <v/>
      </c>
      <c r="V52" s="18">
        <f>EXACT(TRIM(F52),"'"&amp;K52&amp;"'")</f>
        <v/>
      </c>
      <c r="W52" s="18">
        <f>AND(S52:V52)</f>
        <v/>
      </c>
      <c r="X52" s="19">
        <f>TRIM(IF(S52,"",$S$3&amp;" ")&amp;IF(T52,"",$T$3&amp;" ")&amp;IF(U52,"",$U$3&amp;" ")&amp;IF(V52,"",$V$3&amp;" "))</f>
        <v/>
      </c>
      <c r="Y52" s="18">
        <f>EXACT(SUBSTITUTE(A52," ",""),SUBSTITUTE(M52&amp;N52&amp;O52&amp;P52&amp;Q52," ",""))</f>
        <v/>
      </c>
    </row>
    <row r="53">
      <c r="A53" s="15" t="inlineStr">
        <is>
          <t>INSERT INTO MNG_DEAL_LIST_DSP_TBL VALUES(9 , 7 , 6 , 'Y' );</t>
        </is>
      </c>
      <c r="B53" s="16" t="n"/>
      <c r="C53" s="15" t="inlineStr">
        <is>
          <t xml:space="preserve">9 </t>
        </is>
      </c>
      <c r="D53" s="15" t="inlineStr">
        <is>
          <t xml:space="preserve"> 7 </t>
        </is>
      </c>
      <c r="E53" s="15" t="inlineStr">
        <is>
          <t xml:space="preserve"> 6 </t>
        </is>
      </c>
      <c r="F53" s="15" t="inlineStr">
        <is>
          <t xml:space="preserve"> 'Y' </t>
        </is>
      </c>
      <c r="H53" s="17" t="inlineStr">
        <is>
          <t>9</t>
        </is>
      </c>
      <c r="I53" s="17" t="inlineStr">
        <is>
          <t>7</t>
        </is>
      </c>
      <c r="J53" s="17" t="inlineStr">
        <is>
          <t>6</t>
        </is>
      </c>
      <c r="K53" s="17" t="inlineStr">
        <is>
          <t>Y</t>
        </is>
      </c>
      <c r="M53" s="15" t="inlineStr">
        <is>
          <t>INSERT INTO</t>
        </is>
      </c>
      <c r="N53" s="15" t="inlineStr">
        <is>
          <t>MNG_DEAL_LIST_DSP_TBL</t>
        </is>
      </c>
      <c r="O53" s="15" t="inlineStr">
        <is>
          <t>VALUES(</t>
        </is>
      </c>
      <c r="P53" s="15" t="inlineStr">
        <is>
          <t xml:space="preserve">9 , 7 , 6 , 'Y' </t>
        </is>
      </c>
      <c r="Q53" s="15" t="inlineStr">
        <is>
          <t>);</t>
        </is>
      </c>
      <c r="S53" s="18">
        <f>EXACT(TRIM(C53),H53&amp;"")</f>
        <v/>
      </c>
      <c r="T53" s="18">
        <f>EXACT(TRIM(D53),I53&amp;"")</f>
        <v/>
      </c>
      <c r="U53" s="18">
        <f>EXACT(TRIM(E53),J53&amp;"")</f>
        <v/>
      </c>
      <c r="V53" s="18">
        <f>EXACT(TRIM(F53),"'"&amp;K53&amp;"'")</f>
        <v/>
      </c>
      <c r="W53" s="18">
        <f>AND(S53:V53)</f>
        <v/>
      </c>
      <c r="X53" s="19">
        <f>TRIM(IF(S53,"",$S$3&amp;" ")&amp;IF(T53,"",$T$3&amp;" ")&amp;IF(U53,"",$U$3&amp;" ")&amp;IF(V53,"",$V$3&amp;" "))</f>
        <v/>
      </c>
      <c r="Y53" s="18">
        <f>EXACT(SUBSTITUTE(A53," ",""),SUBSTITUTE(M53&amp;N53&amp;O53&amp;P53&amp;Q53," ",""))</f>
        <v/>
      </c>
    </row>
    <row r="54">
      <c r="A54" s="15" t="inlineStr">
        <is>
          <t>INSERT INTO MNG_DEAL_LIST_DSP_TBL VALUES(9 , 7 , 7 , 'Y' );</t>
        </is>
      </c>
      <c r="B54" s="16" t="n"/>
      <c r="C54" s="15" t="inlineStr">
        <is>
          <t xml:space="preserve">9 </t>
        </is>
      </c>
      <c r="D54" s="15" t="inlineStr">
        <is>
          <t xml:space="preserve"> 7 </t>
        </is>
      </c>
      <c r="E54" s="15" t="inlineStr">
        <is>
          <t xml:space="preserve"> 7 </t>
        </is>
      </c>
      <c r="F54" s="15" t="inlineStr">
        <is>
          <t xml:space="preserve"> 'Y' </t>
        </is>
      </c>
      <c r="H54" s="17" t="inlineStr">
        <is>
          <t>9</t>
        </is>
      </c>
      <c r="I54" s="17" t="inlineStr">
        <is>
          <t>7</t>
        </is>
      </c>
      <c r="J54" s="17" t="inlineStr">
        <is>
          <t>7</t>
        </is>
      </c>
      <c r="K54" s="17" t="inlineStr">
        <is>
          <t>Y</t>
        </is>
      </c>
      <c r="M54" s="15" t="inlineStr">
        <is>
          <t>INSERT INTO</t>
        </is>
      </c>
      <c r="N54" s="15" t="inlineStr">
        <is>
          <t>MNG_DEAL_LIST_DSP_TBL</t>
        </is>
      </c>
      <c r="O54" s="15" t="inlineStr">
        <is>
          <t>VALUES(</t>
        </is>
      </c>
      <c r="P54" s="15" t="inlineStr">
        <is>
          <t xml:space="preserve">9 , 7 , 7 , 'Y' </t>
        </is>
      </c>
      <c r="Q54" s="15" t="inlineStr">
        <is>
          <t>);</t>
        </is>
      </c>
      <c r="S54" s="18">
        <f>EXACT(TRIM(C54),H54&amp;"")</f>
        <v/>
      </c>
      <c r="T54" s="18">
        <f>EXACT(TRIM(D54),I54&amp;"")</f>
        <v/>
      </c>
      <c r="U54" s="18">
        <f>EXACT(TRIM(E54),J54&amp;"")</f>
        <v/>
      </c>
      <c r="V54" s="18">
        <f>EXACT(TRIM(F54),"'"&amp;K54&amp;"'")</f>
        <v/>
      </c>
      <c r="W54" s="18">
        <f>AND(S54:V54)</f>
        <v/>
      </c>
      <c r="X54" s="19">
        <f>TRIM(IF(S54,"",$S$3&amp;" ")&amp;IF(T54,"",$T$3&amp;" ")&amp;IF(U54,"",$U$3&amp;" ")&amp;IF(V54,"",$V$3&amp;" "))</f>
        <v/>
      </c>
      <c r="Y54" s="18">
        <f>EXACT(SUBSTITUTE(A54," ",""),SUBSTITUTE(M54&amp;N54&amp;O54&amp;P54&amp;Q54," ",""))</f>
        <v/>
      </c>
    </row>
    <row r="55">
      <c r="A55" s="15" t="inlineStr">
        <is>
          <t>INSERT INTO MNG_DEAL_LIST_DSP_TBL VALUES(9 , 7 , 8 , 'Y' );</t>
        </is>
      </c>
      <c r="B55" s="16" t="n"/>
      <c r="C55" s="15" t="inlineStr">
        <is>
          <t xml:space="preserve">9 </t>
        </is>
      </c>
      <c r="D55" s="15" t="inlineStr">
        <is>
          <t xml:space="preserve"> 7 </t>
        </is>
      </c>
      <c r="E55" s="15" t="inlineStr">
        <is>
          <t xml:space="preserve"> 8 </t>
        </is>
      </c>
      <c r="F55" s="15" t="inlineStr">
        <is>
          <t xml:space="preserve"> 'Y' </t>
        </is>
      </c>
      <c r="H55" s="17" t="inlineStr">
        <is>
          <t>9</t>
        </is>
      </c>
      <c r="I55" s="17" t="inlineStr">
        <is>
          <t>7</t>
        </is>
      </c>
      <c r="J55" s="17" t="inlineStr">
        <is>
          <t>8</t>
        </is>
      </c>
      <c r="K55" s="17" t="inlineStr">
        <is>
          <t>Y</t>
        </is>
      </c>
      <c r="M55" s="15" t="inlineStr">
        <is>
          <t>INSERT INTO</t>
        </is>
      </c>
      <c r="N55" s="15" t="inlineStr">
        <is>
          <t>MNG_DEAL_LIST_DSP_TBL</t>
        </is>
      </c>
      <c r="O55" s="15" t="inlineStr">
        <is>
          <t>VALUES(</t>
        </is>
      </c>
      <c r="P55" s="15" t="inlineStr">
        <is>
          <t xml:space="preserve">9 , 7 , 8 , 'Y' </t>
        </is>
      </c>
      <c r="Q55" s="15" t="inlineStr">
        <is>
          <t>);</t>
        </is>
      </c>
      <c r="S55" s="18">
        <f>EXACT(TRIM(C55),H55&amp;"")</f>
        <v/>
      </c>
      <c r="T55" s="18">
        <f>EXACT(TRIM(D55),I55&amp;"")</f>
        <v/>
      </c>
      <c r="U55" s="18">
        <f>EXACT(TRIM(E55),J55&amp;"")</f>
        <v/>
      </c>
      <c r="V55" s="18">
        <f>EXACT(TRIM(F55),"'"&amp;K55&amp;"'")</f>
        <v/>
      </c>
      <c r="W55" s="18">
        <f>AND(S55:V55)</f>
        <v/>
      </c>
      <c r="X55" s="19">
        <f>TRIM(IF(S55,"",$S$3&amp;" ")&amp;IF(T55,"",$T$3&amp;" ")&amp;IF(U55,"",$U$3&amp;" ")&amp;IF(V55,"",$V$3&amp;" "))</f>
        <v/>
      </c>
      <c r="Y55" s="18">
        <f>EXACT(SUBSTITUTE(A55," ",""),SUBSTITUTE(M55&amp;N55&amp;O55&amp;P55&amp;Q55," ",""))</f>
        <v/>
      </c>
    </row>
    <row r="56">
      <c r="A56" s="15" t="inlineStr">
        <is>
          <t>INSERT INTO MNG_DEAL_LIST_DSP_TBL VALUES(9 , 7 , 9 , 'Y' );</t>
        </is>
      </c>
      <c r="B56" s="16" t="n"/>
      <c r="C56" s="15" t="inlineStr">
        <is>
          <t xml:space="preserve">9 </t>
        </is>
      </c>
      <c r="D56" s="15" t="inlineStr">
        <is>
          <t xml:space="preserve"> 7 </t>
        </is>
      </c>
      <c r="E56" s="15" t="inlineStr">
        <is>
          <t xml:space="preserve"> 9 </t>
        </is>
      </c>
      <c r="F56" s="15" t="inlineStr">
        <is>
          <t xml:space="preserve"> 'Y' </t>
        </is>
      </c>
      <c r="H56" s="17" t="inlineStr">
        <is>
          <t>9</t>
        </is>
      </c>
      <c r="I56" s="17" t="inlineStr">
        <is>
          <t>7</t>
        </is>
      </c>
      <c r="J56" s="17" t="inlineStr">
        <is>
          <t>9</t>
        </is>
      </c>
      <c r="K56" s="17" t="inlineStr">
        <is>
          <t>Y</t>
        </is>
      </c>
      <c r="M56" s="15" t="inlineStr">
        <is>
          <t>INSERT INTO</t>
        </is>
      </c>
      <c r="N56" s="15" t="inlineStr">
        <is>
          <t>MNG_DEAL_LIST_DSP_TBL</t>
        </is>
      </c>
      <c r="O56" s="15" t="inlineStr">
        <is>
          <t>VALUES(</t>
        </is>
      </c>
      <c r="P56" s="15" t="inlineStr">
        <is>
          <t xml:space="preserve">9 , 7 , 9 , 'Y' </t>
        </is>
      </c>
      <c r="Q56" s="15" t="inlineStr">
        <is>
          <t>);</t>
        </is>
      </c>
      <c r="S56" s="18">
        <f>EXACT(TRIM(C56),H56&amp;"")</f>
        <v/>
      </c>
      <c r="T56" s="18">
        <f>EXACT(TRIM(D56),I56&amp;"")</f>
        <v/>
      </c>
      <c r="U56" s="18">
        <f>EXACT(TRIM(E56),J56&amp;"")</f>
        <v/>
      </c>
      <c r="V56" s="18">
        <f>EXACT(TRIM(F56),"'"&amp;K56&amp;"'")</f>
        <v/>
      </c>
      <c r="W56" s="18">
        <f>AND(S56:V56)</f>
        <v/>
      </c>
      <c r="X56" s="19">
        <f>TRIM(IF(S56,"",$S$3&amp;" ")&amp;IF(T56,"",$T$3&amp;" ")&amp;IF(U56,"",$U$3&amp;" ")&amp;IF(V56,"",$V$3&amp;" "))</f>
        <v/>
      </c>
      <c r="Y56" s="18">
        <f>EXACT(SUBSTITUTE(A56," ",""),SUBSTITUTE(M56&amp;N56&amp;O56&amp;P56&amp;Q56," ",""))</f>
        <v/>
      </c>
    </row>
    <row r="57">
      <c r="A57" s="15" t="inlineStr">
        <is>
          <t>INSERT INTO MNG_DEAL_LIST_DSP_TBL VALUES(9 , 7 , 10 , 'N' );</t>
        </is>
      </c>
      <c r="B57" s="16" t="n"/>
      <c r="C57" s="15" t="inlineStr">
        <is>
          <t xml:space="preserve">9 </t>
        </is>
      </c>
      <c r="D57" s="15" t="inlineStr">
        <is>
          <t xml:space="preserve"> 7 </t>
        </is>
      </c>
      <c r="E57" s="15" t="inlineStr">
        <is>
          <t xml:space="preserve"> 10 </t>
        </is>
      </c>
      <c r="F57" s="15" t="inlineStr">
        <is>
          <t xml:space="preserve"> 'N' </t>
        </is>
      </c>
      <c r="H57" s="17" t="inlineStr">
        <is>
          <t>9</t>
        </is>
      </c>
      <c r="I57" s="17" t="inlineStr">
        <is>
          <t>7</t>
        </is>
      </c>
      <c r="J57" s="17" t="inlineStr">
        <is>
          <t>10</t>
        </is>
      </c>
      <c r="K57" s="17" t="inlineStr">
        <is>
          <t>N</t>
        </is>
      </c>
      <c r="M57" s="15" t="inlineStr">
        <is>
          <t>INSERT INTO</t>
        </is>
      </c>
      <c r="N57" s="15" t="inlineStr">
        <is>
          <t>MNG_DEAL_LIST_DSP_TBL</t>
        </is>
      </c>
      <c r="O57" s="15" t="inlineStr">
        <is>
          <t>VALUES(</t>
        </is>
      </c>
      <c r="P57" s="15" t="inlineStr">
        <is>
          <t xml:space="preserve">9 , 7 , 10 , 'N' </t>
        </is>
      </c>
      <c r="Q57" s="15" t="inlineStr">
        <is>
          <t>);</t>
        </is>
      </c>
      <c r="S57" s="18">
        <f>EXACT(TRIM(C57),H57&amp;"")</f>
        <v/>
      </c>
      <c r="T57" s="18">
        <f>EXACT(TRIM(D57),I57&amp;"")</f>
        <v/>
      </c>
      <c r="U57" s="18">
        <f>EXACT(TRIM(E57),J57&amp;"")</f>
        <v/>
      </c>
      <c r="V57" s="18">
        <f>EXACT(TRIM(F57),"'"&amp;K57&amp;"'")</f>
        <v/>
      </c>
      <c r="W57" s="18">
        <f>AND(S57:V57)</f>
        <v/>
      </c>
      <c r="X57" s="19">
        <f>TRIM(IF(S57,"",$S$3&amp;" ")&amp;IF(T57,"",$T$3&amp;" ")&amp;IF(U57,"",$U$3&amp;" ")&amp;IF(V57,"",$V$3&amp;" "))</f>
        <v/>
      </c>
      <c r="Y57" s="18">
        <f>EXACT(SUBSTITUTE(A57," ",""),SUBSTITUTE(M57&amp;N57&amp;O57&amp;P57&amp;Q57," ",""))</f>
        <v/>
      </c>
    </row>
    <row r="58">
      <c r="A58" s="15" t="inlineStr">
        <is>
          <t>INSERT INTO MNG_DEAL_LIST_DSP_TBL VALUES(9 , 7 , 11 , 'Y' );</t>
        </is>
      </c>
      <c r="B58" s="16" t="n"/>
      <c r="C58" s="15" t="inlineStr">
        <is>
          <t xml:space="preserve">9 </t>
        </is>
      </c>
      <c r="D58" s="15" t="inlineStr">
        <is>
          <t xml:space="preserve"> 7 </t>
        </is>
      </c>
      <c r="E58" s="15" t="inlineStr">
        <is>
          <t xml:space="preserve"> 11 </t>
        </is>
      </c>
      <c r="F58" s="15" t="inlineStr">
        <is>
          <t xml:space="preserve"> 'Y' </t>
        </is>
      </c>
      <c r="H58" s="17" t="inlineStr">
        <is>
          <t>9</t>
        </is>
      </c>
      <c r="I58" s="17" t="inlineStr">
        <is>
          <t>7</t>
        </is>
      </c>
      <c r="J58" s="17" t="inlineStr">
        <is>
          <t>11</t>
        </is>
      </c>
      <c r="K58" s="17" t="inlineStr">
        <is>
          <t>Y</t>
        </is>
      </c>
      <c r="M58" s="15" t="inlineStr">
        <is>
          <t>INSERT INTO</t>
        </is>
      </c>
      <c r="N58" s="15" t="inlineStr">
        <is>
          <t>MNG_DEAL_LIST_DSP_TBL</t>
        </is>
      </c>
      <c r="O58" s="15" t="inlineStr">
        <is>
          <t>VALUES(</t>
        </is>
      </c>
      <c r="P58" s="15" t="inlineStr">
        <is>
          <t xml:space="preserve">9 , 7 , 11 , 'Y' </t>
        </is>
      </c>
      <c r="Q58" s="15" t="inlineStr">
        <is>
          <t>);</t>
        </is>
      </c>
      <c r="S58" s="18">
        <f>EXACT(TRIM(C58),H58&amp;"")</f>
        <v/>
      </c>
      <c r="T58" s="18">
        <f>EXACT(TRIM(D58),I58&amp;"")</f>
        <v/>
      </c>
      <c r="U58" s="18">
        <f>EXACT(TRIM(E58),J58&amp;"")</f>
        <v/>
      </c>
      <c r="V58" s="18">
        <f>EXACT(TRIM(F58),"'"&amp;K58&amp;"'")</f>
        <v/>
      </c>
      <c r="W58" s="18">
        <f>AND(S58:V58)</f>
        <v/>
      </c>
      <c r="X58" s="19">
        <f>TRIM(IF(S58,"",$S$3&amp;" ")&amp;IF(T58,"",$T$3&amp;" ")&amp;IF(U58,"",$U$3&amp;" ")&amp;IF(V58,"",$V$3&amp;" "))</f>
        <v/>
      </c>
      <c r="Y58" s="18">
        <f>EXACT(SUBSTITUTE(A58," ",""),SUBSTITUTE(M58&amp;N58&amp;O58&amp;P58&amp;Q58," ",""))</f>
        <v/>
      </c>
    </row>
    <row r="59">
      <c r="A59" s="15" t="inlineStr">
        <is>
          <t>INSERT INTO MNG_DEAL_LIST_DSP_TBL VALUES(9 , 7 , 12 , 'Y' );</t>
        </is>
      </c>
      <c r="B59" s="16" t="n"/>
      <c r="C59" s="15" t="inlineStr">
        <is>
          <t xml:space="preserve">9 </t>
        </is>
      </c>
      <c r="D59" s="15" t="inlineStr">
        <is>
          <t xml:space="preserve"> 7 </t>
        </is>
      </c>
      <c r="E59" s="15" t="inlineStr">
        <is>
          <t xml:space="preserve"> 12 </t>
        </is>
      </c>
      <c r="F59" s="15" t="inlineStr">
        <is>
          <t xml:space="preserve"> 'Y' </t>
        </is>
      </c>
      <c r="H59" s="17" t="inlineStr">
        <is>
          <t>9</t>
        </is>
      </c>
      <c r="I59" s="17" t="inlineStr">
        <is>
          <t>7</t>
        </is>
      </c>
      <c r="J59" s="17" t="inlineStr">
        <is>
          <t>12</t>
        </is>
      </c>
      <c r="K59" s="17" t="inlineStr">
        <is>
          <t>Y</t>
        </is>
      </c>
      <c r="M59" s="15" t="inlineStr">
        <is>
          <t>INSERT INTO</t>
        </is>
      </c>
      <c r="N59" s="15" t="inlineStr">
        <is>
          <t>MNG_DEAL_LIST_DSP_TBL</t>
        </is>
      </c>
      <c r="O59" s="15" t="inlineStr">
        <is>
          <t>VALUES(</t>
        </is>
      </c>
      <c r="P59" s="15" t="inlineStr">
        <is>
          <t xml:space="preserve">9 , 7 , 12 , 'Y' </t>
        </is>
      </c>
      <c r="Q59" s="15" t="inlineStr">
        <is>
          <t>);</t>
        </is>
      </c>
      <c r="S59" s="18">
        <f>EXACT(TRIM(C59),H59&amp;"")</f>
        <v/>
      </c>
      <c r="T59" s="18">
        <f>EXACT(TRIM(D59),I59&amp;"")</f>
        <v/>
      </c>
      <c r="U59" s="18">
        <f>EXACT(TRIM(E59),J59&amp;"")</f>
        <v/>
      </c>
      <c r="V59" s="18">
        <f>EXACT(TRIM(F59),"'"&amp;K59&amp;"'")</f>
        <v/>
      </c>
      <c r="W59" s="18">
        <f>AND(S59:V59)</f>
        <v/>
      </c>
      <c r="X59" s="19">
        <f>TRIM(IF(S59,"",$S$3&amp;" ")&amp;IF(T59,"",$T$3&amp;" ")&amp;IF(U59,"",$U$3&amp;" ")&amp;IF(V59,"",$V$3&amp;" "))</f>
        <v/>
      </c>
      <c r="Y59" s="18">
        <f>EXACT(SUBSTITUTE(A59," ",""),SUBSTITUTE(M59&amp;N59&amp;O59&amp;P59&amp;Q59," ",""))</f>
        <v/>
      </c>
    </row>
    <row r="60">
      <c r="A60" s="15" t="inlineStr">
        <is>
          <t>INSERT INTO MNG_DEAL_LIST_DSP_TBL VALUES(9 , 7 , 13 , 'Y' );</t>
        </is>
      </c>
      <c r="B60" s="16" t="n"/>
      <c r="C60" s="15" t="inlineStr">
        <is>
          <t xml:space="preserve">9 </t>
        </is>
      </c>
      <c r="D60" s="15" t="inlineStr">
        <is>
          <t xml:space="preserve"> 7 </t>
        </is>
      </c>
      <c r="E60" s="15" t="inlineStr">
        <is>
          <t xml:space="preserve"> 13 </t>
        </is>
      </c>
      <c r="F60" s="15" t="inlineStr">
        <is>
          <t xml:space="preserve"> 'Y' </t>
        </is>
      </c>
      <c r="H60" s="17" t="inlineStr">
        <is>
          <t>9</t>
        </is>
      </c>
      <c r="I60" s="17" t="inlineStr">
        <is>
          <t>7</t>
        </is>
      </c>
      <c r="J60" s="17" t="inlineStr">
        <is>
          <t>13</t>
        </is>
      </c>
      <c r="K60" s="17" t="inlineStr">
        <is>
          <t>Y</t>
        </is>
      </c>
      <c r="M60" s="15" t="inlineStr">
        <is>
          <t>INSERT INTO</t>
        </is>
      </c>
      <c r="N60" s="15" t="inlineStr">
        <is>
          <t>MNG_DEAL_LIST_DSP_TBL</t>
        </is>
      </c>
      <c r="O60" s="15" t="inlineStr">
        <is>
          <t>VALUES(</t>
        </is>
      </c>
      <c r="P60" s="15" t="inlineStr">
        <is>
          <t xml:space="preserve">9 , 7 , 13 , 'Y' </t>
        </is>
      </c>
      <c r="Q60" s="15" t="inlineStr">
        <is>
          <t>);</t>
        </is>
      </c>
      <c r="S60" s="18">
        <f>EXACT(TRIM(C60),H60&amp;"")</f>
        <v/>
      </c>
      <c r="T60" s="18">
        <f>EXACT(TRIM(D60),I60&amp;"")</f>
        <v/>
      </c>
      <c r="U60" s="18">
        <f>EXACT(TRIM(E60),J60&amp;"")</f>
        <v/>
      </c>
      <c r="V60" s="18">
        <f>EXACT(TRIM(F60),"'"&amp;K60&amp;"'")</f>
        <v/>
      </c>
      <c r="W60" s="18">
        <f>AND(S60:V60)</f>
        <v/>
      </c>
      <c r="X60" s="19">
        <f>TRIM(IF(S60,"",$S$3&amp;" ")&amp;IF(T60,"",$T$3&amp;" ")&amp;IF(U60,"",$U$3&amp;" ")&amp;IF(V60,"",$V$3&amp;" "))</f>
        <v/>
      </c>
      <c r="Y60" s="18">
        <f>EXACT(SUBSTITUTE(A60," ",""),SUBSTITUTE(M60&amp;N60&amp;O60&amp;P60&amp;Q60," ",""))</f>
        <v/>
      </c>
    </row>
    <row r="61">
      <c r="A61" s="15" t="inlineStr">
        <is>
          <t>INSERT INTO MNG_DEAL_LIST_DSP_TBL VALUES(9 , 7 , 14 , 'Y' );</t>
        </is>
      </c>
      <c r="B61" s="16" t="n"/>
      <c r="C61" s="15" t="inlineStr">
        <is>
          <t xml:space="preserve">9 </t>
        </is>
      </c>
      <c r="D61" s="15" t="inlineStr">
        <is>
          <t xml:space="preserve"> 7 </t>
        </is>
      </c>
      <c r="E61" s="15" t="inlineStr">
        <is>
          <t xml:space="preserve"> 14 </t>
        </is>
      </c>
      <c r="F61" s="15" t="inlineStr">
        <is>
          <t xml:space="preserve"> 'Y' </t>
        </is>
      </c>
      <c r="H61" s="17" t="inlineStr">
        <is>
          <t>9</t>
        </is>
      </c>
      <c r="I61" s="17" t="inlineStr">
        <is>
          <t>7</t>
        </is>
      </c>
      <c r="J61" s="17" t="inlineStr">
        <is>
          <t>14</t>
        </is>
      </c>
      <c r="K61" s="17" t="inlineStr">
        <is>
          <t>Y</t>
        </is>
      </c>
      <c r="M61" s="15" t="inlineStr">
        <is>
          <t>INSERT INTO</t>
        </is>
      </c>
      <c r="N61" s="15" t="inlineStr">
        <is>
          <t>MNG_DEAL_LIST_DSP_TBL</t>
        </is>
      </c>
      <c r="O61" s="15" t="inlineStr">
        <is>
          <t>VALUES(</t>
        </is>
      </c>
      <c r="P61" s="15" t="inlineStr">
        <is>
          <t xml:space="preserve">9 , 7 , 14 , 'Y' </t>
        </is>
      </c>
      <c r="Q61" s="15" t="inlineStr">
        <is>
          <t>);</t>
        </is>
      </c>
      <c r="S61" s="18">
        <f>EXACT(TRIM(C61),H61&amp;"")</f>
        <v/>
      </c>
      <c r="T61" s="18">
        <f>EXACT(TRIM(D61),I61&amp;"")</f>
        <v/>
      </c>
      <c r="U61" s="18">
        <f>EXACT(TRIM(E61),J61&amp;"")</f>
        <v/>
      </c>
      <c r="V61" s="18">
        <f>EXACT(TRIM(F61),"'"&amp;K61&amp;"'")</f>
        <v/>
      </c>
      <c r="W61" s="18">
        <f>AND(S61:V61)</f>
        <v/>
      </c>
      <c r="X61" s="19">
        <f>TRIM(IF(S61,"",$S$3&amp;" ")&amp;IF(T61,"",$T$3&amp;" ")&amp;IF(U61,"",$U$3&amp;" ")&amp;IF(V61,"",$V$3&amp;" "))</f>
        <v/>
      </c>
      <c r="Y61" s="18">
        <f>EXACT(SUBSTITUTE(A61," ",""),SUBSTITUTE(M61&amp;N61&amp;O61&amp;P61&amp;Q61," ",""))</f>
        <v/>
      </c>
    </row>
    <row r="62">
      <c r="A62" s="15" t="inlineStr">
        <is>
          <t>INSERT INTO MNG_DEAL_LIST_DSP_TBL VALUES(9 , 7 , 15 , 'Y' );</t>
        </is>
      </c>
      <c r="B62" s="16" t="n"/>
      <c r="C62" s="15" t="inlineStr">
        <is>
          <t xml:space="preserve">9 </t>
        </is>
      </c>
      <c r="D62" s="15" t="inlineStr">
        <is>
          <t xml:space="preserve"> 7 </t>
        </is>
      </c>
      <c r="E62" s="15" t="inlineStr">
        <is>
          <t xml:space="preserve"> 15 </t>
        </is>
      </c>
      <c r="F62" s="15" t="inlineStr">
        <is>
          <t xml:space="preserve"> 'Y' </t>
        </is>
      </c>
      <c r="H62" s="17" t="inlineStr">
        <is>
          <t>9</t>
        </is>
      </c>
      <c r="I62" s="17" t="inlineStr">
        <is>
          <t>7</t>
        </is>
      </c>
      <c r="J62" s="17" t="inlineStr">
        <is>
          <t>15</t>
        </is>
      </c>
      <c r="K62" s="17" t="inlineStr">
        <is>
          <t>Y</t>
        </is>
      </c>
      <c r="M62" s="15" t="inlineStr">
        <is>
          <t>INSERT INTO</t>
        </is>
      </c>
      <c r="N62" s="15" t="inlineStr">
        <is>
          <t>MNG_DEAL_LIST_DSP_TBL</t>
        </is>
      </c>
      <c r="O62" s="15" t="inlineStr">
        <is>
          <t>VALUES(</t>
        </is>
      </c>
      <c r="P62" s="15" t="inlineStr">
        <is>
          <t xml:space="preserve">9 , 7 , 15 , 'Y' </t>
        </is>
      </c>
      <c r="Q62" s="15" t="inlineStr">
        <is>
          <t>);</t>
        </is>
      </c>
      <c r="S62" s="18">
        <f>EXACT(TRIM(C62),H62&amp;"")</f>
        <v/>
      </c>
      <c r="T62" s="18">
        <f>EXACT(TRIM(D62),I62&amp;"")</f>
        <v/>
      </c>
      <c r="U62" s="18">
        <f>EXACT(TRIM(E62),J62&amp;"")</f>
        <v/>
      </c>
      <c r="V62" s="18">
        <f>EXACT(TRIM(F62),"'"&amp;K62&amp;"'")</f>
        <v/>
      </c>
      <c r="W62" s="18">
        <f>AND(S62:V62)</f>
        <v/>
      </c>
      <c r="X62" s="19">
        <f>TRIM(IF(S62,"",$S$3&amp;" ")&amp;IF(T62,"",$T$3&amp;" ")&amp;IF(U62,"",$U$3&amp;" ")&amp;IF(V62,"",$V$3&amp;" "))</f>
        <v/>
      </c>
      <c r="Y62" s="18">
        <f>EXACT(SUBSTITUTE(A62," ",""),SUBSTITUTE(M62&amp;N62&amp;O62&amp;P62&amp;Q62," ",""))</f>
        <v/>
      </c>
    </row>
    <row r="63">
      <c r="A63" s="15" t="inlineStr">
        <is>
          <t>INSERT INTO MNG_DEAL_LIST_DSP_TBL VALUES(9 , 7 , 16 , 'Y' );</t>
        </is>
      </c>
      <c r="B63" s="16" t="n"/>
      <c r="C63" s="15" t="inlineStr">
        <is>
          <t xml:space="preserve">9 </t>
        </is>
      </c>
      <c r="D63" s="15" t="inlineStr">
        <is>
          <t xml:space="preserve"> 7 </t>
        </is>
      </c>
      <c r="E63" s="15" t="inlineStr">
        <is>
          <t xml:space="preserve"> 16 </t>
        </is>
      </c>
      <c r="F63" s="15" t="inlineStr">
        <is>
          <t xml:space="preserve"> 'Y' </t>
        </is>
      </c>
      <c r="H63" s="17" t="inlineStr">
        <is>
          <t>9</t>
        </is>
      </c>
      <c r="I63" s="17" t="inlineStr">
        <is>
          <t>7</t>
        </is>
      </c>
      <c r="J63" s="17" t="inlineStr">
        <is>
          <t>16</t>
        </is>
      </c>
      <c r="K63" s="17" t="inlineStr">
        <is>
          <t>Y</t>
        </is>
      </c>
      <c r="M63" s="15" t="inlineStr">
        <is>
          <t>INSERT INTO</t>
        </is>
      </c>
      <c r="N63" s="15" t="inlineStr">
        <is>
          <t>MNG_DEAL_LIST_DSP_TBL</t>
        </is>
      </c>
      <c r="O63" s="15" t="inlineStr">
        <is>
          <t>VALUES(</t>
        </is>
      </c>
      <c r="P63" s="15" t="inlineStr">
        <is>
          <t xml:space="preserve">9 , 7 , 16 , 'Y' </t>
        </is>
      </c>
      <c r="Q63" s="15" t="inlineStr">
        <is>
          <t>);</t>
        </is>
      </c>
      <c r="S63" s="18">
        <f>EXACT(TRIM(C63),H63&amp;"")</f>
        <v/>
      </c>
      <c r="T63" s="18">
        <f>EXACT(TRIM(D63),I63&amp;"")</f>
        <v/>
      </c>
      <c r="U63" s="18">
        <f>EXACT(TRIM(E63),J63&amp;"")</f>
        <v/>
      </c>
      <c r="V63" s="18">
        <f>EXACT(TRIM(F63),"'"&amp;K63&amp;"'")</f>
        <v/>
      </c>
      <c r="W63" s="18">
        <f>AND(S63:V63)</f>
        <v/>
      </c>
      <c r="X63" s="19">
        <f>TRIM(IF(S63,"",$S$3&amp;" ")&amp;IF(T63,"",$T$3&amp;" ")&amp;IF(U63,"",$U$3&amp;" ")&amp;IF(V63,"",$V$3&amp;" "))</f>
        <v/>
      </c>
      <c r="Y63" s="18">
        <f>EXACT(SUBSTITUTE(A63," ",""),SUBSTITUTE(M63&amp;N63&amp;O63&amp;P63&amp;Q63," ",""))</f>
        <v/>
      </c>
    </row>
    <row r="64">
      <c r="A64" s="15" t="inlineStr">
        <is>
          <t>INSERT INTO MNG_DEAL_LIST_DSP_TBL VALUES(9 , 8 , 1 , 'Y' );</t>
        </is>
      </c>
      <c r="B64" s="16" t="n"/>
      <c r="C64" s="15" t="inlineStr">
        <is>
          <t xml:space="preserve">9 </t>
        </is>
      </c>
      <c r="D64" s="15" t="inlineStr">
        <is>
          <t xml:space="preserve"> 8 </t>
        </is>
      </c>
      <c r="E64" s="15" t="inlineStr">
        <is>
          <t xml:space="preserve"> 1 </t>
        </is>
      </c>
      <c r="F64" s="15" t="inlineStr">
        <is>
          <t xml:space="preserve"> 'Y' </t>
        </is>
      </c>
      <c r="H64" s="17" t="inlineStr">
        <is>
          <t>9</t>
        </is>
      </c>
      <c r="I64" s="17" t="inlineStr">
        <is>
          <t>8</t>
        </is>
      </c>
      <c r="J64" s="17" t="inlineStr">
        <is>
          <t>1</t>
        </is>
      </c>
      <c r="K64" s="17" t="inlineStr">
        <is>
          <t>Y</t>
        </is>
      </c>
      <c r="M64" s="15" t="inlineStr">
        <is>
          <t>INSERT INTO</t>
        </is>
      </c>
      <c r="N64" s="15" t="inlineStr">
        <is>
          <t>MNG_DEAL_LIST_DSP_TBL</t>
        </is>
      </c>
      <c r="O64" s="15" t="inlineStr">
        <is>
          <t>VALUES(</t>
        </is>
      </c>
      <c r="P64" s="15" t="inlineStr">
        <is>
          <t xml:space="preserve">9 , 8 , 1 , 'Y' </t>
        </is>
      </c>
      <c r="Q64" s="15" t="inlineStr">
        <is>
          <t>);</t>
        </is>
      </c>
      <c r="S64" s="18">
        <f>EXACT(TRIM(C64),H64&amp;"")</f>
        <v/>
      </c>
      <c r="T64" s="18">
        <f>EXACT(TRIM(D64),I64&amp;"")</f>
        <v/>
      </c>
      <c r="U64" s="18">
        <f>EXACT(TRIM(E64),J64&amp;"")</f>
        <v/>
      </c>
      <c r="V64" s="18">
        <f>EXACT(TRIM(F64),"'"&amp;K64&amp;"'")</f>
        <v/>
      </c>
      <c r="W64" s="18">
        <f>AND(S64:V64)</f>
        <v/>
      </c>
      <c r="X64" s="19">
        <f>TRIM(IF(S64,"",$S$3&amp;" ")&amp;IF(T64,"",$T$3&amp;" ")&amp;IF(U64,"",$U$3&amp;" ")&amp;IF(V64,"",$V$3&amp;" "))</f>
        <v/>
      </c>
      <c r="Y64" s="18">
        <f>EXACT(SUBSTITUTE(A64," ",""),SUBSTITUTE(M64&amp;N64&amp;O64&amp;P64&amp;Q64," ",""))</f>
        <v/>
      </c>
    </row>
    <row r="65">
      <c r="A65" s="15" t="inlineStr">
        <is>
          <t>INSERT INTO MNG_DEAL_LIST_DSP_TBL VALUES(9 , 8 , 2 , 'N' );</t>
        </is>
      </c>
      <c r="B65" s="16" t="n"/>
      <c r="C65" s="15" t="inlineStr">
        <is>
          <t xml:space="preserve">9 </t>
        </is>
      </c>
      <c r="D65" s="15" t="inlineStr">
        <is>
          <t xml:space="preserve"> 8 </t>
        </is>
      </c>
      <c r="E65" s="15" t="inlineStr">
        <is>
          <t xml:space="preserve"> 2 </t>
        </is>
      </c>
      <c r="F65" s="15" t="inlineStr">
        <is>
          <t xml:space="preserve"> 'N' </t>
        </is>
      </c>
      <c r="H65" s="17" t="inlineStr">
        <is>
          <t>9</t>
        </is>
      </c>
      <c r="I65" s="17" t="inlineStr">
        <is>
          <t>8</t>
        </is>
      </c>
      <c r="J65" s="17" t="inlineStr">
        <is>
          <t>2</t>
        </is>
      </c>
      <c r="K65" s="17" t="inlineStr">
        <is>
          <t>N</t>
        </is>
      </c>
      <c r="M65" s="15" t="inlineStr">
        <is>
          <t>INSERT INTO</t>
        </is>
      </c>
      <c r="N65" s="15" t="inlineStr">
        <is>
          <t>MNG_DEAL_LIST_DSP_TBL</t>
        </is>
      </c>
      <c r="O65" s="15" t="inlineStr">
        <is>
          <t>VALUES(</t>
        </is>
      </c>
      <c r="P65" s="15" t="inlineStr">
        <is>
          <t xml:space="preserve">9 , 8 , 2 , 'N' </t>
        </is>
      </c>
      <c r="Q65" s="15" t="inlineStr">
        <is>
          <t>);</t>
        </is>
      </c>
      <c r="S65" s="18">
        <f>EXACT(TRIM(C65),H65&amp;"")</f>
        <v/>
      </c>
      <c r="T65" s="18">
        <f>EXACT(TRIM(D65),I65&amp;"")</f>
        <v/>
      </c>
      <c r="U65" s="18">
        <f>EXACT(TRIM(E65),J65&amp;"")</f>
        <v/>
      </c>
      <c r="V65" s="18">
        <f>EXACT(TRIM(F65),"'"&amp;K65&amp;"'")</f>
        <v/>
      </c>
      <c r="W65" s="18">
        <f>AND(S65:V65)</f>
        <v/>
      </c>
      <c r="X65" s="19">
        <f>TRIM(IF(S65,"",$S$3&amp;" ")&amp;IF(T65,"",$T$3&amp;" ")&amp;IF(U65,"",$U$3&amp;" ")&amp;IF(V65,"",$V$3&amp;" "))</f>
        <v/>
      </c>
      <c r="Y65" s="18">
        <f>EXACT(SUBSTITUTE(A65," ",""),SUBSTITUTE(M65&amp;N65&amp;O65&amp;P65&amp;Q65," ",""))</f>
        <v/>
      </c>
    </row>
    <row r="66">
      <c r="A66" s="15" t="inlineStr">
        <is>
          <t>INSERT INTO MNG_DEAL_LIST_DSP_TBL VALUES(9 , 8 , 3 , 'N' );</t>
        </is>
      </c>
      <c r="B66" s="16" t="n"/>
      <c r="C66" s="15" t="inlineStr">
        <is>
          <t xml:space="preserve">9 </t>
        </is>
      </c>
      <c r="D66" s="15" t="inlineStr">
        <is>
          <t xml:space="preserve"> 8 </t>
        </is>
      </c>
      <c r="E66" s="15" t="inlineStr">
        <is>
          <t xml:space="preserve"> 3 </t>
        </is>
      </c>
      <c r="F66" s="15" t="inlineStr">
        <is>
          <t xml:space="preserve"> 'N' </t>
        </is>
      </c>
      <c r="H66" s="17" t="inlineStr">
        <is>
          <t>9</t>
        </is>
      </c>
      <c r="I66" s="17" t="inlineStr">
        <is>
          <t>8</t>
        </is>
      </c>
      <c r="J66" s="17" t="inlineStr">
        <is>
          <t>3</t>
        </is>
      </c>
      <c r="K66" s="17" t="inlineStr">
        <is>
          <t>N</t>
        </is>
      </c>
      <c r="M66" s="15" t="inlineStr">
        <is>
          <t>INSERT INTO</t>
        </is>
      </c>
      <c r="N66" s="15" t="inlineStr">
        <is>
          <t>MNG_DEAL_LIST_DSP_TBL</t>
        </is>
      </c>
      <c r="O66" s="15" t="inlineStr">
        <is>
          <t>VALUES(</t>
        </is>
      </c>
      <c r="P66" s="15" t="inlineStr">
        <is>
          <t xml:space="preserve">9 , 8 , 3 , 'N' </t>
        </is>
      </c>
      <c r="Q66" s="15" t="inlineStr">
        <is>
          <t>);</t>
        </is>
      </c>
      <c r="S66" s="18">
        <f>EXACT(TRIM(C66),H66&amp;"")</f>
        <v/>
      </c>
      <c r="T66" s="18">
        <f>EXACT(TRIM(D66),I66&amp;"")</f>
        <v/>
      </c>
      <c r="U66" s="18">
        <f>EXACT(TRIM(E66),J66&amp;"")</f>
        <v/>
      </c>
      <c r="V66" s="18">
        <f>EXACT(TRIM(F66),"'"&amp;K66&amp;"'")</f>
        <v/>
      </c>
      <c r="W66" s="18">
        <f>AND(S66:V66)</f>
        <v/>
      </c>
      <c r="X66" s="19">
        <f>TRIM(IF(S66,"",$S$3&amp;" ")&amp;IF(T66,"",$T$3&amp;" ")&amp;IF(U66,"",$U$3&amp;" ")&amp;IF(V66,"",$V$3&amp;" "))</f>
        <v/>
      </c>
      <c r="Y66" s="18">
        <f>EXACT(SUBSTITUTE(A66," ",""),SUBSTITUTE(M66&amp;N66&amp;O66&amp;P66&amp;Q66," ",""))</f>
        <v/>
      </c>
    </row>
    <row r="67">
      <c r="A67" s="15" t="inlineStr">
        <is>
          <t>INSERT INTO MNG_DEAL_LIST_DSP_TBL VALUES(9 , 8 , 4 , 'Y' );</t>
        </is>
      </c>
      <c r="B67" s="16" t="n"/>
      <c r="C67" s="15" t="inlineStr">
        <is>
          <t xml:space="preserve">9 </t>
        </is>
      </c>
      <c r="D67" s="15" t="inlineStr">
        <is>
          <t xml:space="preserve"> 8 </t>
        </is>
      </c>
      <c r="E67" s="15" t="inlineStr">
        <is>
          <t xml:space="preserve"> 4 </t>
        </is>
      </c>
      <c r="F67" s="15" t="inlineStr">
        <is>
          <t xml:space="preserve"> 'Y' </t>
        </is>
      </c>
      <c r="H67" s="17" t="inlineStr">
        <is>
          <t>9</t>
        </is>
      </c>
      <c r="I67" s="17" t="inlineStr">
        <is>
          <t>8</t>
        </is>
      </c>
      <c r="J67" s="17" t="inlineStr">
        <is>
          <t>4</t>
        </is>
      </c>
      <c r="K67" s="17" t="inlineStr">
        <is>
          <t>Y</t>
        </is>
      </c>
      <c r="M67" s="15" t="inlineStr">
        <is>
          <t>INSERT INTO</t>
        </is>
      </c>
      <c r="N67" s="15" t="inlineStr">
        <is>
          <t>MNG_DEAL_LIST_DSP_TBL</t>
        </is>
      </c>
      <c r="O67" s="15" t="inlineStr">
        <is>
          <t>VALUES(</t>
        </is>
      </c>
      <c r="P67" s="15" t="inlineStr">
        <is>
          <t xml:space="preserve">9 , 8 , 4 , 'Y' </t>
        </is>
      </c>
      <c r="Q67" s="15" t="inlineStr">
        <is>
          <t>);</t>
        </is>
      </c>
      <c r="S67" s="18">
        <f>EXACT(TRIM(C67),H67&amp;"")</f>
        <v/>
      </c>
      <c r="T67" s="18">
        <f>EXACT(TRIM(D67),I67&amp;"")</f>
        <v/>
      </c>
      <c r="U67" s="18">
        <f>EXACT(TRIM(E67),J67&amp;"")</f>
        <v/>
      </c>
      <c r="V67" s="18">
        <f>EXACT(TRIM(F67),"'"&amp;K67&amp;"'")</f>
        <v/>
      </c>
      <c r="W67" s="18">
        <f>AND(S67:V67)</f>
        <v/>
      </c>
      <c r="X67" s="19">
        <f>TRIM(IF(S67,"",$S$3&amp;" ")&amp;IF(T67,"",$T$3&amp;" ")&amp;IF(U67,"",$U$3&amp;" ")&amp;IF(V67,"",$V$3&amp;" "))</f>
        <v/>
      </c>
      <c r="Y67" s="18">
        <f>EXACT(SUBSTITUTE(A67," ",""),SUBSTITUTE(M67&amp;N67&amp;O67&amp;P67&amp;Q67," ",""))</f>
        <v/>
      </c>
    </row>
    <row r="68">
      <c r="A68" s="15" t="inlineStr">
        <is>
          <t>INSERT INTO MNG_DEAL_LIST_DSP_TBL VALUES(9 , 8 , 5 , 'Y' );</t>
        </is>
      </c>
      <c r="B68" s="16" t="n"/>
      <c r="C68" s="15" t="inlineStr">
        <is>
          <t xml:space="preserve">9 </t>
        </is>
      </c>
      <c r="D68" s="15" t="inlineStr">
        <is>
          <t xml:space="preserve"> 8 </t>
        </is>
      </c>
      <c r="E68" s="15" t="inlineStr">
        <is>
          <t xml:space="preserve"> 5 </t>
        </is>
      </c>
      <c r="F68" s="15" t="inlineStr">
        <is>
          <t xml:space="preserve"> 'Y' </t>
        </is>
      </c>
      <c r="H68" s="17" t="inlineStr">
        <is>
          <t>9</t>
        </is>
      </c>
      <c r="I68" s="17" t="inlineStr">
        <is>
          <t>8</t>
        </is>
      </c>
      <c r="J68" s="17" t="inlineStr">
        <is>
          <t>5</t>
        </is>
      </c>
      <c r="K68" s="17" t="inlineStr">
        <is>
          <t>Y</t>
        </is>
      </c>
      <c r="M68" s="15" t="inlineStr">
        <is>
          <t>INSERT INTO</t>
        </is>
      </c>
      <c r="N68" s="15" t="inlineStr">
        <is>
          <t>MNG_DEAL_LIST_DSP_TBL</t>
        </is>
      </c>
      <c r="O68" s="15" t="inlineStr">
        <is>
          <t>VALUES(</t>
        </is>
      </c>
      <c r="P68" s="15" t="inlineStr">
        <is>
          <t xml:space="preserve">9 , 8 , 5 , 'Y' </t>
        </is>
      </c>
      <c r="Q68" s="15" t="inlineStr">
        <is>
          <t>);</t>
        </is>
      </c>
      <c r="S68" s="18">
        <f>EXACT(TRIM(C68),H68&amp;"")</f>
        <v/>
      </c>
      <c r="T68" s="18">
        <f>EXACT(TRIM(D68),I68&amp;"")</f>
        <v/>
      </c>
      <c r="U68" s="18">
        <f>EXACT(TRIM(E68),J68&amp;"")</f>
        <v/>
      </c>
      <c r="V68" s="18">
        <f>EXACT(TRIM(F68),"'"&amp;K68&amp;"'")</f>
        <v/>
      </c>
      <c r="W68" s="18">
        <f>AND(S68:V68)</f>
        <v/>
      </c>
      <c r="X68" s="19">
        <f>TRIM(IF(S68,"",$S$3&amp;" ")&amp;IF(T68,"",$T$3&amp;" ")&amp;IF(U68,"",$U$3&amp;" ")&amp;IF(V68,"",$V$3&amp;" "))</f>
        <v/>
      </c>
      <c r="Y68" s="18">
        <f>EXACT(SUBSTITUTE(A68," ",""),SUBSTITUTE(M68&amp;N68&amp;O68&amp;P68&amp;Q68," ",""))</f>
        <v/>
      </c>
    </row>
    <row r="69">
      <c r="A69" s="15" t="inlineStr">
        <is>
          <t>INSERT INTO MNG_DEAL_LIST_DSP_TBL VALUES(9 , 8 , 6 , 'Y' );</t>
        </is>
      </c>
      <c r="B69" s="16" t="n"/>
      <c r="C69" s="15" t="inlineStr">
        <is>
          <t xml:space="preserve">9 </t>
        </is>
      </c>
      <c r="D69" s="15" t="inlineStr">
        <is>
          <t xml:space="preserve"> 8 </t>
        </is>
      </c>
      <c r="E69" s="15" t="inlineStr">
        <is>
          <t xml:space="preserve"> 6 </t>
        </is>
      </c>
      <c r="F69" s="15" t="inlineStr">
        <is>
          <t xml:space="preserve"> 'Y' </t>
        </is>
      </c>
      <c r="H69" s="17" t="inlineStr">
        <is>
          <t>9</t>
        </is>
      </c>
      <c r="I69" s="17" t="inlineStr">
        <is>
          <t>8</t>
        </is>
      </c>
      <c r="J69" s="17" t="inlineStr">
        <is>
          <t>6</t>
        </is>
      </c>
      <c r="K69" s="17" t="inlineStr">
        <is>
          <t>Y</t>
        </is>
      </c>
      <c r="M69" s="15" t="inlineStr">
        <is>
          <t>INSERT INTO</t>
        </is>
      </c>
      <c r="N69" s="15" t="inlineStr">
        <is>
          <t>MNG_DEAL_LIST_DSP_TBL</t>
        </is>
      </c>
      <c r="O69" s="15" t="inlineStr">
        <is>
          <t>VALUES(</t>
        </is>
      </c>
      <c r="P69" s="15" t="inlineStr">
        <is>
          <t xml:space="preserve">9 , 8 , 6 , 'Y' </t>
        </is>
      </c>
      <c r="Q69" s="15" t="inlineStr">
        <is>
          <t>);</t>
        </is>
      </c>
      <c r="S69" s="18">
        <f>EXACT(TRIM(C69),H69&amp;"")</f>
        <v/>
      </c>
      <c r="T69" s="18">
        <f>EXACT(TRIM(D69),I69&amp;"")</f>
        <v/>
      </c>
      <c r="U69" s="18">
        <f>EXACT(TRIM(E69),J69&amp;"")</f>
        <v/>
      </c>
      <c r="V69" s="18">
        <f>EXACT(TRIM(F69),"'"&amp;K69&amp;"'")</f>
        <v/>
      </c>
      <c r="W69" s="18">
        <f>AND(S69:V69)</f>
        <v/>
      </c>
      <c r="X69" s="19">
        <f>TRIM(IF(S69,"",$S$3&amp;" ")&amp;IF(T69,"",$T$3&amp;" ")&amp;IF(U69,"",$U$3&amp;" ")&amp;IF(V69,"",$V$3&amp;" "))</f>
        <v/>
      </c>
      <c r="Y69" s="18">
        <f>EXACT(SUBSTITUTE(A69," ",""),SUBSTITUTE(M69&amp;N69&amp;O69&amp;P69&amp;Q69," ",""))</f>
        <v/>
      </c>
    </row>
    <row r="70">
      <c r="A70" s="15" t="inlineStr">
        <is>
          <t>INSERT INTO MNG_DEAL_LIST_DSP_TBL VALUES(9 , 8 , 7 , 'Y' );</t>
        </is>
      </c>
      <c r="B70" s="16" t="n"/>
      <c r="C70" s="15" t="inlineStr">
        <is>
          <t xml:space="preserve">9 </t>
        </is>
      </c>
      <c r="D70" s="15" t="inlineStr">
        <is>
          <t xml:space="preserve"> 8 </t>
        </is>
      </c>
      <c r="E70" s="15" t="inlineStr">
        <is>
          <t xml:space="preserve"> 7 </t>
        </is>
      </c>
      <c r="F70" s="15" t="inlineStr">
        <is>
          <t xml:space="preserve"> 'Y' </t>
        </is>
      </c>
      <c r="H70" s="17" t="inlineStr">
        <is>
          <t>9</t>
        </is>
      </c>
      <c r="I70" s="17" t="inlineStr">
        <is>
          <t>8</t>
        </is>
      </c>
      <c r="J70" s="17" t="inlineStr">
        <is>
          <t>7</t>
        </is>
      </c>
      <c r="K70" s="17" t="inlineStr">
        <is>
          <t>Y</t>
        </is>
      </c>
      <c r="M70" s="15" t="inlineStr">
        <is>
          <t>INSERT INTO</t>
        </is>
      </c>
      <c r="N70" s="15" t="inlineStr">
        <is>
          <t>MNG_DEAL_LIST_DSP_TBL</t>
        </is>
      </c>
      <c r="O70" s="15" t="inlineStr">
        <is>
          <t>VALUES(</t>
        </is>
      </c>
      <c r="P70" s="15" t="inlineStr">
        <is>
          <t xml:space="preserve">9 , 8 , 7 , 'Y' </t>
        </is>
      </c>
      <c r="Q70" s="15" t="inlineStr">
        <is>
          <t>);</t>
        </is>
      </c>
      <c r="S70" s="18">
        <f>EXACT(TRIM(C70),H70&amp;"")</f>
        <v/>
      </c>
      <c r="T70" s="18">
        <f>EXACT(TRIM(D70),I70&amp;"")</f>
        <v/>
      </c>
      <c r="U70" s="18">
        <f>EXACT(TRIM(E70),J70&amp;"")</f>
        <v/>
      </c>
      <c r="V70" s="18">
        <f>EXACT(TRIM(F70),"'"&amp;K70&amp;"'")</f>
        <v/>
      </c>
      <c r="W70" s="18">
        <f>AND(S70:V70)</f>
        <v/>
      </c>
      <c r="X70" s="19">
        <f>TRIM(IF(S70,"",$S$3&amp;" ")&amp;IF(T70,"",$T$3&amp;" ")&amp;IF(U70,"",$U$3&amp;" ")&amp;IF(V70,"",$V$3&amp;" "))</f>
        <v/>
      </c>
      <c r="Y70" s="18">
        <f>EXACT(SUBSTITUTE(A70," ",""),SUBSTITUTE(M70&amp;N70&amp;O70&amp;P70&amp;Q70," ",""))</f>
        <v/>
      </c>
    </row>
    <row r="71">
      <c r="A71" s="15" t="inlineStr">
        <is>
          <t>INSERT INTO MNG_DEAL_LIST_DSP_TBL VALUES(9 , 8 , 8 , 'Y' );</t>
        </is>
      </c>
      <c r="B71" s="16" t="n"/>
      <c r="C71" s="15" t="inlineStr">
        <is>
          <t xml:space="preserve">9 </t>
        </is>
      </c>
      <c r="D71" s="15" t="inlineStr">
        <is>
          <t xml:space="preserve"> 8 </t>
        </is>
      </c>
      <c r="E71" s="15" t="inlineStr">
        <is>
          <t xml:space="preserve"> 8 </t>
        </is>
      </c>
      <c r="F71" s="15" t="inlineStr">
        <is>
          <t xml:space="preserve"> 'Y' </t>
        </is>
      </c>
      <c r="H71" s="17" t="inlineStr">
        <is>
          <t>9</t>
        </is>
      </c>
      <c r="I71" s="17" t="inlineStr">
        <is>
          <t>8</t>
        </is>
      </c>
      <c r="J71" s="17" t="inlineStr">
        <is>
          <t>8</t>
        </is>
      </c>
      <c r="K71" s="17" t="inlineStr">
        <is>
          <t>Y</t>
        </is>
      </c>
      <c r="M71" s="15" t="inlineStr">
        <is>
          <t>INSERT INTO</t>
        </is>
      </c>
      <c r="N71" s="15" t="inlineStr">
        <is>
          <t>MNG_DEAL_LIST_DSP_TBL</t>
        </is>
      </c>
      <c r="O71" s="15" t="inlineStr">
        <is>
          <t>VALUES(</t>
        </is>
      </c>
      <c r="P71" s="15" t="inlineStr">
        <is>
          <t xml:space="preserve">9 , 8 , 8 , 'Y' </t>
        </is>
      </c>
      <c r="Q71" s="15" t="inlineStr">
        <is>
          <t>);</t>
        </is>
      </c>
      <c r="S71" s="18">
        <f>EXACT(TRIM(C71),H71&amp;"")</f>
        <v/>
      </c>
      <c r="T71" s="18">
        <f>EXACT(TRIM(D71),I71&amp;"")</f>
        <v/>
      </c>
      <c r="U71" s="18">
        <f>EXACT(TRIM(E71),J71&amp;"")</f>
        <v/>
      </c>
      <c r="V71" s="18">
        <f>EXACT(TRIM(F71),"'"&amp;K71&amp;"'")</f>
        <v/>
      </c>
      <c r="W71" s="18">
        <f>AND(S71:V71)</f>
        <v/>
      </c>
      <c r="X71" s="19">
        <f>TRIM(IF(S71,"",$S$3&amp;" ")&amp;IF(T71,"",$T$3&amp;" ")&amp;IF(U71,"",$U$3&amp;" ")&amp;IF(V71,"",$V$3&amp;" "))</f>
        <v/>
      </c>
      <c r="Y71" s="18">
        <f>EXACT(SUBSTITUTE(A71," ",""),SUBSTITUTE(M71&amp;N71&amp;O71&amp;P71&amp;Q71," ",""))</f>
        <v/>
      </c>
    </row>
    <row r="72">
      <c r="A72" s="15" t="inlineStr">
        <is>
          <t>INSERT INTO MNG_DEAL_LIST_DSP_TBL VALUES(9 , 8 , 9 , 'Y' );</t>
        </is>
      </c>
      <c r="B72" s="16" t="n"/>
      <c r="C72" s="15" t="inlineStr">
        <is>
          <t xml:space="preserve">9 </t>
        </is>
      </c>
      <c r="D72" s="15" t="inlineStr">
        <is>
          <t xml:space="preserve"> 8 </t>
        </is>
      </c>
      <c r="E72" s="15" t="inlineStr">
        <is>
          <t xml:space="preserve"> 9 </t>
        </is>
      </c>
      <c r="F72" s="15" t="inlineStr">
        <is>
          <t xml:space="preserve"> 'Y' </t>
        </is>
      </c>
      <c r="H72" s="17" t="inlineStr">
        <is>
          <t>9</t>
        </is>
      </c>
      <c r="I72" s="17" t="inlineStr">
        <is>
          <t>8</t>
        </is>
      </c>
      <c r="J72" s="17" t="inlineStr">
        <is>
          <t>9</t>
        </is>
      </c>
      <c r="K72" s="17" t="inlineStr">
        <is>
          <t>Y</t>
        </is>
      </c>
      <c r="M72" s="15" t="inlineStr">
        <is>
          <t>INSERT INTO</t>
        </is>
      </c>
      <c r="N72" s="15" t="inlineStr">
        <is>
          <t>MNG_DEAL_LIST_DSP_TBL</t>
        </is>
      </c>
      <c r="O72" s="15" t="inlineStr">
        <is>
          <t>VALUES(</t>
        </is>
      </c>
      <c r="P72" s="15" t="inlineStr">
        <is>
          <t xml:space="preserve">9 , 8 , 9 , 'Y' </t>
        </is>
      </c>
      <c r="Q72" s="15" t="inlineStr">
        <is>
          <t>);</t>
        </is>
      </c>
      <c r="S72" s="18">
        <f>EXACT(TRIM(C72),H72&amp;"")</f>
        <v/>
      </c>
      <c r="T72" s="18">
        <f>EXACT(TRIM(D72),I72&amp;"")</f>
        <v/>
      </c>
      <c r="U72" s="18">
        <f>EXACT(TRIM(E72),J72&amp;"")</f>
        <v/>
      </c>
      <c r="V72" s="18">
        <f>EXACT(TRIM(F72),"'"&amp;K72&amp;"'")</f>
        <v/>
      </c>
      <c r="W72" s="18">
        <f>AND(S72:V72)</f>
        <v/>
      </c>
      <c r="X72" s="19">
        <f>TRIM(IF(S72,"",$S$3&amp;" ")&amp;IF(T72,"",$T$3&amp;" ")&amp;IF(U72,"",$U$3&amp;" ")&amp;IF(V72,"",$V$3&amp;" "))</f>
        <v/>
      </c>
      <c r="Y72" s="18">
        <f>EXACT(SUBSTITUTE(A72," ",""),SUBSTITUTE(M72&amp;N72&amp;O72&amp;P72&amp;Q72," ",""))</f>
        <v/>
      </c>
    </row>
    <row r="73">
      <c r="A73" s="15" t="inlineStr">
        <is>
          <t>INSERT INTO MNG_DEAL_LIST_DSP_TBL VALUES(9 , 8 , 10 , 'N' );</t>
        </is>
      </c>
      <c r="B73" s="16" t="n"/>
      <c r="C73" s="15" t="inlineStr">
        <is>
          <t xml:space="preserve">9 </t>
        </is>
      </c>
      <c r="D73" s="15" t="inlineStr">
        <is>
          <t xml:space="preserve"> 8 </t>
        </is>
      </c>
      <c r="E73" s="15" t="inlineStr">
        <is>
          <t xml:space="preserve"> 10 </t>
        </is>
      </c>
      <c r="F73" s="15" t="inlineStr">
        <is>
          <t xml:space="preserve"> 'N' </t>
        </is>
      </c>
      <c r="H73" s="17" t="inlineStr">
        <is>
          <t>9</t>
        </is>
      </c>
      <c r="I73" s="17" t="inlineStr">
        <is>
          <t>8</t>
        </is>
      </c>
      <c r="J73" s="17" t="inlineStr">
        <is>
          <t>10</t>
        </is>
      </c>
      <c r="K73" s="17" t="inlineStr">
        <is>
          <t>N</t>
        </is>
      </c>
      <c r="M73" s="15" t="inlineStr">
        <is>
          <t>INSERT INTO</t>
        </is>
      </c>
      <c r="N73" s="15" t="inlineStr">
        <is>
          <t>MNG_DEAL_LIST_DSP_TBL</t>
        </is>
      </c>
      <c r="O73" s="15" t="inlineStr">
        <is>
          <t>VALUES(</t>
        </is>
      </c>
      <c r="P73" s="15" t="inlineStr">
        <is>
          <t xml:space="preserve">9 , 8 , 10 , 'N' </t>
        </is>
      </c>
      <c r="Q73" s="15" t="inlineStr">
        <is>
          <t>);</t>
        </is>
      </c>
      <c r="S73" s="18">
        <f>EXACT(TRIM(C73),H73&amp;"")</f>
        <v/>
      </c>
      <c r="T73" s="18">
        <f>EXACT(TRIM(D73),I73&amp;"")</f>
        <v/>
      </c>
      <c r="U73" s="18">
        <f>EXACT(TRIM(E73),J73&amp;"")</f>
        <v/>
      </c>
      <c r="V73" s="18">
        <f>EXACT(TRIM(F73),"'"&amp;K73&amp;"'")</f>
        <v/>
      </c>
      <c r="W73" s="18">
        <f>AND(S73:V73)</f>
        <v/>
      </c>
      <c r="X73" s="19">
        <f>TRIM(IF(S73,"",$S$3&amp;" ")&amp;IF(T73,"",$T$3&amp;" ")&amp;IF(U73,"",$U$3&amp;" ")&amp;IF(V73,"",$V$3&amp;" "))</f>
        <v/>
      </c>
      <c r="Y73" s="18">
        <f>EXACT(SUBSTITUTE(A73," ",""),SUBSTITUTE(M73&amp;N73&amp;O73&amp;P73&amp;Q73," ",""))</f>
        <v/>
      </c>
    </row>
    <row r="74">
      <c r="A74" s="15" t="inlineStr">
        <is>
          <t>INSERT INTO MNG_DEAL_LIST_DSP_TBL VALUES(9 , 8 , 11 , 'Y' );</t>
        </is>
      </c>
      <c r="B74" s="16" t="n"/>
      <c r="C74" s="15" t="inlineStr">
        <is>
          <t xml:space="preserve">9 </t>
        </is>
      </c>
      <c r="D74" s="15" t="inlineStr">
        <is>
          <t xml:space="preserve"> 8 </t>
        </is>
      </c>
      <c r="E74" s="15" t="inlineStr">
        <is>
          <t xml:space="preserve"> 11 </t>
        </is>
      </c>
      <c r="F74" s="15" t="inlineStr">
        <is>
          <t xml:space="preserve"> 'Y' </t>
        </is>
      </c>
      <c r="H74" s="17" t="inlineStr">
        <is>
          <t>9</t>
        </is>
      </c>
      <c r="I74" s="17" t="inlineStr">
        <is>
          <t>8</t>
        </is>
      </c>
      <c r="J74" s="17" t="inlineStr">
        <is>
          <t>11</t>
        </is>
      </c>
      <c r="K74" s="17" t="inlineStr">
        <is>
          <t>Y</t>
        </is>
      </c>
      <c r="M74" s="15" t="inlineStr">
        <is>
          <t>INSERT INTO</t>
        </is>
      </c>
      <c r="N74" s="15" t="inlineStr">
        <is>
          <t>MNG_DEAL_LIST_DSP_TBL</t>
        </is>
      </c>
      <c r="O74" s="15" t="inlineStr">
        <is>
          <t>VALUES(</t>
        </is>
      </c>
      <c r="P74" s="15" t="inlineStr">
        <is>
          <t xml:space="preserve">9 , 8 , 11 , 'Y' </t>
        </is>
      </c>
      <c r="Q74" s="15" t="inlineStr">
        <is>
          <t>);</t>
        </is>
      </c>
      <c r="S74" s="18">
        <f>EXACT(TRIM(C74),H74&amp;"")</f>
        <v/>
      </c>
      <c r="T74" s="18">
        <f>EXACT(TRIM(D74),I74&amp;"")</f>
        <v/>
      </c>
      <c r="U74" s="18">
        <f>EXACT(TRIM(E74),J74&amp;"")</f>
        <v/>
      </c>
      <c r="V74" s="18">
        <f>EXACT(TRIM(F74),"'"&amp;K74&amp;"'")</f>
        <v/>
      </c>
      <c r="W74" s="18">
        <f>AND(S74:V74)</f>
        <v/>
      </c>
      <c r="X74" s="19">
        <f>TRIM(IF(S74,"",$S$3&amp;" ")&amp;IF(T74,"",$T$3&amp;" ")&amp;IF(U74,"",$U$3&amp;" ")&amp;IF(V74,"",$V$3&amp;" "))</f>
        <v/>
      </c>
      <c r="Y74" s="18">
        <f>EXACT(SUBSTITUTE(A74," ",""),SUBSTITUTE(M74&amp;N74&amp;O74&amp;P74&amp;Q74," ",""))</f>
        <v/>
      </c>
    </row>
    <row r="75">
      <c r="A75" s="15" t="inlineStr">
        <is>
          <t>INSERT INTO MNG_DEAL_LIST_DSP_TBL VALUES(9 , 8 , 12 , 'Y' );</t>
        </is>
      </c>
      <c r="B75" s="16" t="n"/>
      <c r="C75" s="15" t="inlineStr">
        <is>
          <t xml:space="preserve">9 </t>
        </is>
      </c>
      <c r="D75" s="15" t="inlineStr">
        <is>
          <t xml:space="preserve"> 8 </t>
        </is>
      </c>
      <c r="E75" s="15" t="inlineStr">
        <is>
          <t xml:space="preserve"> 12 </t>
        </is>
      </c>
      <c r="F75" s="15" t="inlineStr">
        <is>
          <t xml:space="preserve"> 'Y' </t>
        </is>
      </c>
      <c r="H75" s="17" t="inlineStr">
        <is>
          <t>9</t>
        </is>
      </c>
      <c r="I75" s="17" t="inlineStr">
        <is>
          <t>8</t>
        </is>
      </c>
      <c r="J75" s="17" t="inlineStr">
        <is>
          <t>12</t>
        </is>
      </c>
      <c r="K75" s="17" t="inlineStr">
        <is>
          <t>Y</t>
        </is>
      </c>
      <c r="M75" s="15" t="inlineStr">
        <is>
          <t>INSERT INTO</t>
        </is>
      </c>
      <c r="N75" s="15" t="inlineStr">
        <is>
          <t>MNG_DEAL_LIST_DSP_TBL</t>
        </is>
      </c>
      <c r="O75" s="15" t="inlineStr">
        <is>
          <t>VALUES(</t>
        </is>
      </c>
      <c r="P75" s="15" t="inlineStr">
        <is>
          <t xml:space="preserve">9 , 8 , 12 , 'Y' </t>
        </is>
      </c>
      <c r="Q75" s="15" t="inlineStr">
        <is>
          <t>);</t>
        </is>
      </c>
      <c r="S75" s="18">
        <f>EXACT(TRIM(C75),H75&amp;"")</f>
        <v/>
      </c>
      <c r="T75" s="18">
        <f>EXACT(TRIM(D75),I75&amp;"")</f>
        <v/>
      </c>
      <c r="U75" s="18">
        <f>EXACT(TRIM(E75),J75&amp;"")</f>
        <v/>
      </c>
      <c r="V75" s="18">
        <f>EXACT(TRIM(F75),"'"&amp;K75&amp;"'")</f>
        <v/>
      </c>
      <c r="W75" s="18">
        <f>AND(S75:V75)</f>
        <v/>
      </c>
      <c r="X75" s="19">
        <f>TRIM(IF(S75,"",$S$3&amp;" ")&amp;IF(T75,"",$T$3&amp;" ")&amp;IF(U75,"",$U$3&amp;" ")&amp;IF(V75,"",$V$3&amp;" "))</f>
        <v/>
      </c>
      <c r="Y75" s="18">
        <f>EXACT(SUBSTITUTE(A75," ",""),SUBSTITUTE(M75&amp;N75&amp;O75&amp;P75&amp;Q75," ",""))</f>
        <v/>
      </c>
    </row>
    <row r="76">
      <c r="A76" s="15" t="inlineStr">
        <is>
          <t>INSERT INTO MNG_DEAL_LIST_DSP_TBL VALUES(9 , 8 , 13 , 'Y' );</t>
        </is>
      </c>
      <c r="B76" s="16" t="n"/>
      <c r="C76" s="15" t="inlineStr">
        <is>
          <t xml:space="preserve">9 </t>
        </is>
      </c>
      <c r="D76" s="15" t="inlineStr">
        <is>
          <t xml:space="preserve"> 8 </t>
        </is>
      </c>
      <c r="E76" s="15" t="inlineStr">
        <is>
          <t xml:space="preserve"> 13 </t>
        </is>
      </c>
      <c r="F76" s="15" t="inlineStr">
        <is>
          <t xml:space="preserve"> 'Y' </t>
        </is>
      </c>
      <c r="H76" s="17" t="inlineStr">
        <is>
          <t>9</t>
        </is>
      </c>
      <c r="I76" s="17" t="inlineStr">
        <is>
          <t>8</t>
        </is>
      </c>
      <c r="J76" s="17" t="inlineStr">
        <is>
          <t>13</t>
        </is>
      </c>
      <c r="K76" s="17" t="inlineStr">
        <is>
          <t>Y</t>
        </is>
      </c>
      <c r="M76" s="15" t="inlineStr">
        <is>
          <t>INSERT INTO</t>
        </is>
      </c>
      <c r="N76" s="15" t="inlineStr">
        <is>
          <t>MNG_DEAL_LIST_DSP_TBL</t>
        </is>
      </c>
      <c r="O76" s="15" t="inlineStr">
        <is>
          <t>VALUES(</t>
        </is>
      </c>
      <c r="P76" s="15" t="inlineStr">
        <is>
          <t xml:space="preserve">9 , 8 , 13 , 'Y' </t>
        </is>
      </c>
      <c r="Q76" s="15" t="inlineStr">
        <is>
          <t>);</t>
        </is>
      </c>
      <c r="S76" s="18">
        <f>EXACT(TRIM(C76),H76&amp;"")</f>
        <v/>
      </c>
      <c r="T76" s="18">
        <f>EXACT(TRIM(D76),I76&amp;"")</f>
        <v/>
      </c>
      <c r="U76" s="18">
        <f>EXACT(TRIM(E76),J76&amp;"")</f>
        <v/>
      </c>
      <c r="V76" s="18">
        <f>EXACT(TRIM(F76),"'"&amp;K76&amp;"'")</f>
        <v/>
      </c>
      <c r="W76" s="18">
        <f>AND(S76:V76)</f>
        <v/>
      </c>
      <c r="X76" s="19">
        <f>TRIM(IF(S76,"",$S$3&amp;" ")&amp;IF(T76,"",$T$3&amp;" ")&amp;IF(U76,"",$U$3&amp;" ")&amp;IF(V76,"",$V$3&amp;" "))</f>
        <v/>
      </c>
      <c r="Y76" s="18">
        <f>EXACT(SUBSTITUTE(A76," ",""),SUBSTITUTE(M76&amp;N76&amp;O76&amp;P76&amp;Q76," ",""))</f>
        <v/>
      </c>
    </row>
    <row r="77">
      <c r="A77" s="15" t="inlineStr">
        <is>
          <t>INSERT INTO MNG_DEAL_LIST_DSP_TBL VALUES(9 , 8 , 14 , 'Y' );</t>
        </is>
      </c>
      <c r="B77" s="16" t="n"/>
      <c r="C77" s="15" t="inlineStr">
        <is>
          <t xml:space="preserve">9 </t>
        </is>
      </c>
      <c r="D77" s="15" t="inlineStr">
        <is>
          <t xml:space="preserve"> 8 </t>
        </is>
      </c>
      <c r="E77" s="15" t="inlineStr">
        <is>
          <t xml:space="preserve"> 14 </t>
        </is>
      </c>
      <c r="F77" s="15" t="inlineStr">
        <is>
          <t xml:space="preserve"> 'Y' </t>
        </is>
      </c>
      <c r="H77" s="17" t="inlineStr">
        <is>
          <t>9</t>
        </is>
      </c>
      <c r="I77" s="17" t="inlineStr">
        <is>
          <t>8</t>
        </is>
      </c>
      <c r="J77" s="17" t="inlineStr">
        <is>
          <t>14</t>
        </is>
      </c>
      <c r="K77" s="17" t="inlineStr">
        <is>
          <t>Y</t>
        </is>
      </c>
      <c r="M77" s="15" t="inlineStr">
        <is>
          <t>INSERT INTO</t>
        </is>
      </c>
      <c r="N77" s="15" t="inlineStr">
        <is>
          <t>MNG_DEAL_LIST_DSP_TBL</t>
        </is>
      </c>
      <c r="O77" s="15" t="inlineStr">
        <is>
          <t>VALUES(</t>
        </is>
      </c>
      <c r="P77" s="15" t="inlineStr">
        <is>
          <t xml:space="preserve">9 , 8 , 14 , 'Y' </t>
        </is>
      </c>
      <c r="Q77" s="15" t="inlineStr">
        <is>
          <t>);</t>
        </is>
      </c>
      <c r="S77" s="18">
        <f>EXACT(TRIM(C77),H77&amp;"")</f>
        <v/>
      </c>
      <c r="T77" s="18">
        <f>EXACT(TRIM(D77),I77&amp;"")</f>
        <v/>
      </c>
      <c r="U77" s="18">
        <f>EXACT(TRIM(E77),J77&amp;"")</f>
        <v/>
      </c>
      <c r="V77" s="18">
        <f>EXACT(TRIM(F77),"'"&amp;K77&amp;"'")</f>
        <v/>
      </c>
      <c r="W77" s="18">
        <f>AND(S77:V77)</f>
        <v/>
      </c>
      <c r="X77" s="19">
        <f>TRIM(IF(S77,"",$S$3&amp;" ")&amp;IF(T77,"",$T$3&amp;" ")&amp;IF(U77,"",$U$3&amp;" ")&amp;IF(V77,"",$V$3&amp;" "))</f>
        <v/>
      </c>
      <c r="Y77" s="18">
        <f>EXACT(SUBSTITUTE(A77," ",""),SUBSTITUTE(M77&amp;N77&amp;O77&amp;P77&amp;Q77," ",""))</f>
        <v/>
      </c>
    </row>
    <row r="78">
      <c r="A78" s="15" t="inlineStr">
        <is>
          <t>INSERT INTO MNG_DEAL_LIST_DSP_TBL VALUES(9 , 8 , 15 , 'Y' );</t>
        </is>
      </c>
      <c r="B78" s="16" t="n"/>
      <c r="C78" s="15" t="inlineStr">
        <is>
          <t xml:space="preserve">9 </t>
        </is>
      </c>
      <c r="D78" s="15" t="inlineStr">
        <is>
          <t xml:space="preserve"> 8 </t>
        </is>
      </c>
      <c r="E78" s="15" t="inlineStr">
        <is>
          <t xml:space="preserve"> 15 </t>
        </is>
      </c>
      <c r="F78" s="15" t="inlineStr">
        <is>
          <t xml:space="preserve"> 'Y' </t>
        </is>
      </c>
      <c r="H78" s="17" t="inlineStr">
        <is>
          <t>9</t>
        </is>
      </c>
      <c r="I78" s="17" t="inlineStr">
        <is>
          <t>8</t>
        </is>
      </c>
      <c r="J78" s="17" t="inlineStr">
        <is>
          <t>15</t>
        </is>
      </c>
      <c r="K78" s="17" t="inlineStr">
        <is>
          <t>Y</t>
        </is>
      </c>
      <c r="M78" s="15" t="inlineStr">
        <is>
          <t>INSERT INTO</t>
        </is>
      </c>
      <c r="N78" s="15" t="inlineStr">
        <is>
          <t>MNG_DEAL_LIST_DSP_TBL</t>
        </is>
      </c>
      <c r="O78" s="15" t="inlineStr">
        <is>
          <t>VALUES(</t>
        </is>
      </c>
      <c r="P78" s="15" t="inlineStr">
        <is>
          <t xml:space="preserve">9 , 8 , 15 , 'Y' </t>
        </is>
      </c>
      <c r="Q78" s="15" t="inlineStr">
        <is>
          <t>);</t>
        </is>
      </c>
      <c r="S78" s="18">
        <f>EXACT(TRIM(C78),H78&amp;"")</f>
        <v/>
      </c>
      <c r="T78" s="18">
        <f>EXACT(TRIM(D78),I78&amp;"")</f>
        <v/>
      </c>
      <c r="U78" s="18">
        <f>EXACT(TRIM(E78),J78&amp;"")</f>
        <v/>
      </c>
      <c r="V78" s="18">
        <f>EXACT(TRIM(F78),"'"&amp;K78&amp;"'")</f>
        <v/>
      </c>
      <c r="W78" s="18">
        <f>AND(S78:V78)</f>
        <v/>
      </c>
      <c r="X78" s="19">
        <f>TRIM(IF(S78,"",$S$3&amp;" ")&amp;IF(T78,"",$T$3&amp;" ")&amp;IF(U78,"",$U$3&amp;" ")&amp;IF(V78,"",$V$3&amp;" "))</f>
        <v/>
      </c>
      <c r="Y78" s="18">
        <f>EXACT(SUBSTITUTE(A78," ",""),SUBSTITUTE(M78&amp;N78&amp;O78&amp;P78&amp;Q78," ",""))</f>
        <v/>
      </c>
    </row>
    <row r="79">
      <c r="A79" s="15" t="inlineStr">
        <is>
          <t>INSERT INTO MNG_DEAL_LIST_DSP_TBL VALUES(9 , 8 , 16 , 'Y' );</t>
        </is>
      </c>
      <c r="B79" s="16" t="n"/>
      <c r="C79" s="15" t="inlineStr">
        <is>
          <t xml:space="preserve">9 </t>
        </is>
      </c>
      <c r="D79" s="15" t="inlineStr">
        <is>
          <t xml:space="preserve"> 8 </t>
        </is>
      </c>
      <c r="E79" s="15" t="inlineStr">
        <is>
          <t xml:space="preserve"> 16 </t>
        </is>
      </c>
      <c r="F79" s="15" t="inlineStr">
        <is>
          <t xml:space="preserve"> 'Y' </t>
        </is>
      </c>
      <c r="H79" s="17" t="inlineStr">
        <is>
          <t>9</t>
        </is>
      </c>
      <c r="I79" s="17" t="inlineStr">
        <is>
          <t>8</t>
        </is>
      </c>
      <c r="J79" s="17" t="inlineStr">
        <is>
          <t>16</t>
        </is>
      </c>
      <c r="K79" s="17" t="inlineStr">
        <is>
          <t>Y</t>
        </is>
      </c>
      <c r="M79" s="15" t="inlineStr">
        <is>
          <t>INSERT INTO</t>
        </is>
      </c>
      <c r="N79" s="15" t="inlineStr">
        <is>
          <t>MNG_DEAL_LIST_DSP_TBL</t>
        </is>
      </c>
      <c r="O79" s="15" t="inlineStr">
        <is>
          <t>VALUES(</t>
        </is>
      </c>
      <c r="P79" s="15" t="inlineStr">
        <is>
          <t xml:space="preserve">9 , 8 , 16 , 'Y' </t>
        </is>
      </c>
      <c r="Q79" s="15" t="inlineStr">
        <is>
          <t>);</t>
        </is>
      </c>
      <c r="S79" s="18">
        <f>EXACT(TRIM(C79),H79&amp;"")</f>
        <v/>
      </c>
      <c r="T79" s="18">
        <f>EXACT(TRIM(D79),I79&amp;"")</f>
        <v/>
      </c>
      <c r="U79" s="18">
        <f>EXACT(TRIM(E79),J79&amp;"")</f>
        <v/>
      </c>
      <c r="V79" s="18">
        <f>EXACT(TRIM(F79),"'"&amp;K79&amp;"'")</f>
        <v/>
      </c>
      <c r="W79" s="18">
        <f>AND(S79:V79)</f>
        <v/>
      </c>
      <c r="X79" s="19">
        <f>TRIM(IF(S79,"",$S$3&amp;" ")&amp;IF(T79,"",$T$3&amp;" ")&amp;IF(U79,"",$U$3&amp;" ")&amp;IF(V79,"",$V$3&amp;" "))</f>
        <v/>
      </c>
      <c r="Y79" s="18">
        <f>EXACT(SUBSTITUTE(A79," ",""),SUBSTITUTE(M79&amp;N79&amp;O79&amp;P79&amp;Q79," ",""))</f>
        <v/>
      </c>
    </row>
    <row r="80">
      <c r="A80" s="15" t="inlineStr">
        <is>
          <t>INSERT INTO MNG_DEAL_LIST_DSP_TBL VALUES(9 , 10 , 1 , 'Y' );</t>
        </is>
      </c>
      <c r="B80" s="16" t="n"/>
      <c r="C80" s="15" t="inlineStr">
        <is>
          <t xml:space="preserve">9 </t>
        </is>
      </c>
      <c r="D80" s="15" t="inlineStr">
        <is>
          <t xml:space="preserve"> 10 </t>
        </is>
      </c>
      <c r="E80" s="15" t="inlineStr">
        <is>
          <t xml:space="preserve"> 1 </t>
        </is>
      </c>
      <c r="F80" s="15" t="inlineStr">
        <is>
          <t xml:space="preserve"> 'Y' </t>
        </is>
      </c>
      <c r="H80" s="17" t="inlineStr">
        <is>
          <t>9</t>
        </is>
      </c>
      <c r="I80" s="17" t="inlineStr">
        <is>
          <t>10</t>
        </is>
      </c>
      <c r="J80" s="17" t="inlineStr">
        <is>
          <t>1</t>
        </is>
      </c>
      <c r="K80" s="17" t="inlineStr">
        <is>
          <t>Y</t>
        </is>
      </c>
      <c r="M80" s="15" t="inlineStr">
        <is>
          <t>INSERT INTO</t>
        </is>
      </c>
      <c r="N80" s="15" t="inlineStr">
        <is>
          <t>MNG_DEAL_LIST_DSP_TBL</t>
        </is>
      </c>
      <c r="O80" s="15" t="inlineStr">
        <is>
          <t>VALUES(</t>
        </is>
      </c>
      <c r="P80" s="15" t="inlineStr">
        <is>
          <t xml:space="preserve">9 , 10 , 1 , 'Y' </t>
        </is>
      </c>
      <c r="Q80" s="15" t="inlineStr">
        <is>
          <t>);</t>
        </is>
      </c>
      <c r="S80" s="18">
        <f>EXACT(TRIM(C80),H80&amp;"")</f>
        <v/>
      </c>
      <c r="T80" s="18">
        <f>EXACT(TRIM(D80),I80&amp;"")</f>
        <v/>
      </c>
      <c r="U80" s="18">
        <f>EXACT(TRIM(E80),J80&amp;"")</f>
        <v/>
      </c>
      <c r="V80" s="18">
        <f>EXACT(TRIM(F80),"'"&amp;K80&amp;"'")</f>
        <v/>
      </c>
      <c r="W80" s="18">
        <f>AND(S80:V80)</f>
        <v/>
      </c>
      <c r="X80" s="19">
        <f>TRIM(IF(S80,"",$S$3&amp;" ")&amp;IF(T80,"",$T$3&amp;" ")&amp;IF(U80,"",$U$3&amp;" ")&amp;IF(V80,"",$V$3&amp;" "))</f>
        <v/>
      </c>
      <c r="Y80" s="18">
        <f>EXACT(SUBSTITUTE(A80," ",""),SUBSTITUTE(M80&amp;N80&amp;O80&amp;P80&amp;Q80," ",""))</f>
        <v/>
      </c>
    </row>
    <row r="81">
      <c r="A81" s="15" t="inlineStr">
        <is>
          <t>INSERT INTO MNG_DEAL_LIST_DSP_TBL VALUES(9 , 10 , 2 , 'N' );</t>
        </is>
      </c>
      <c r="B81" s="16" t="n"/>
      <c r="C81" s="15" t="inlineStr">
        <is>
          <t xml:space="preserve">9 </t>
        </is>
      </c>
      <c r="D81" s="15" t="inlineStr">
        <is>
          <t xml:space="preserve"> 10 </t>
        </is>
      </c>
      <c r="E81" s="15" t="inlineStr">
        <is>
          <t xml:space="preserve"> 2 </t>
        </is>
      </c>
      <c r="F81" s="15" t="inlineStr">
        <is>
          <t xml:space="preserve"> 'N' </t>
        </is>
      </c>
      <c r="H81" s="17" t="inlineStr">
        <is>
          <t>9</t>
        </is>
      </c>
      <c r="I81" s="17" t="inlineStr">
        <is>
          <t>10</t>
        </is>
      </c>
      <c r="J81" s="17" t="inlineStr">
        <is>
          <t>2</t>
        </is>
      </c>
      <c r="K81" s="17" t="inlineStr">
        <is>
          <t>N</t>
        </is>
      </c>
      <c r="M81" s="15" t="inlineStr">
        <is>
          <t>INSERT INTO</t>
        </is>
      </c>
      <c r="N81" s="15" t="inlineStr">
        <is>
          <t>MNG_DEAL_LIST_DSP_TBL</t>
        </is>
      </c>
      <c r="O81" s="15" t="inlineStr">
        <is>
          <t>VALUES(</t>
        </is>
      </c>
      <c r="P81" s="15" t="inlineStr">
        <is>
          <t xml:space="preserve">9 , 10 , 2 , 'N' </t>
        </is>
      </c>
      <c r="Q81" s="15" t="inlineStr">
        <is>
          <t>);</t>
        </is>
      </c>
      <c r="S81" s="18">
        <f>EXACT(TRIM(C81),H81&amp;"")</f>
        <v/>
      </c>
      <c r="T81" s="18">
        <f>EXACT(TRIM(D81),I81&amp;"")</f>
        <v/>
      </c>
      <c r="U81" s="18">
        <f>EXACT(TRIM(E81),J81&amp;"")</f>
        <v/>
      </c>
      <c r="V81" s="18">
        <f>EXACT(TRIM(F81),"'"&amp;K81&amp;"'")</f>
        <v/>
      </c>
      <c r="W81" s="18">
        <f>AND(S81:V81)</f>
        <v/>
      </c>
      <c r="X81" s="19">
        <f>TRIM(IF(S81,"",$S$3&amp;" ")&amp;IF(T81,"",$T$3&amp;" ")&amp;IF(U81,"",$U$3&amp;" ")&amp;IF(V81,"",$V$3&amp;" "))</f>
        <v/>
      </c>
      <c r="Y81" s="18">
        <f>EXACT(SUBSTITUTE(A81," ",""),SUBSTITUTE(M81&amp;N81&amp;O81&amp;P81&amp;Q81," ",""))</f>
        <v/>
      </c>
    </row>
    <row r="82">
      <c r="A82" s="15" t="inlineStr">
        <is>
          <t>INSERT INTO MNG_DEAL_LIST_DSP_TBL VALUES(9 , 10 , 3 , 'N' );</t>
        </is>
      </c>
      <c r="B82" s="16" t="n"/>
      <c r="C82" s="15" t="inlineStr">
        <is>
          <t xml:space="preserve">9 </t>
        </is>
      </c>
      <c r="D82" s="15" t="inlineStr">
        <is>
          <t xml:space="preserve"> 10 </t>
        </is>
      </c>
      <c r="E82" s="15" t="inlineStr">
        <is>
          <t xml:space="preserve"> 3 </t>
        </is>
      </c>
      <c r="F82" s="15" t="inlineStr">
        <is>
          <t xml:space="preserve"> 'N' </t>
        </is>
      </c>
      <c r="H82" s="17" t="inlineStr">
        <is>
          <t>9</t>
        </is>
      </c>
      <c r="I82" s="17" t="inlineStr">
        <is>
          <t>10</t>
        </is>
      </c>
      <c r="J82" s="17" t="inlineStr">
        <is>
          <t>3</t>
        </is>
      </c>
      <c r="K82" s="17" t="inlineStr">
        <is>
          <t>N</t>
        </is>
      </c>
      <c r="M82" s="15" t="inlineStr">
        <is>
          <t>INSERT INTO</t>
        </is>
      </c>
      <c r="N82" s="15" t="inlineStr">
        <is>
          <t>MNG_DEAL_LIST_DSP_TBL</t>
        </is>
      </c>
      <c r="O82" s="15" t="inlineStr">
        <is>
          <t>VALUES(</t>
        </is>
      </c>
      <c r="P82" s="15" t="inlineStr">
        <is>
          <t xml:space="preserve">9 , 10 , 3 , 'N' </t>
        </is>
      </c>
      <c r="Q82" s="15" t="inlineStr">
        <is>
          <t>);</t>
        </is>
      </c>
      <c r="S82" s="18">
        <f>EXACT(TRIM(C82),H82&amp;"")</f>
        <v/>
      </c>
      <c r="T82" s="18">
        <f>EXACT(TRIM(D82),I82&amp;"")</f>
        <v/>
      </c>
      <c r="U82" s="18">
        <f>EXACT(TRIM(E82),J82&amp;"")</f>
        <v/>
      </c>
      <c r="V82" s="18">
        <f>EXACT(TRIM(F82),"'"&amp;K82&amp;"'")</f>
        <v/>
      </c>
      <c r="W82" s="18">
        <f>AND(S82:V82)</f>
        <v/>
      </c>
      <c r="X82" s="19">
        <f>TRIM(IF(S82,"",$S$3&amp;" ")&amp;IF(T82,"",$T$3&amp;" ")&amp;IF(U82,"",$U$3&amp;" ")&amp;IF(V82,"",$V$3&amp;" "))</f>
        <v/>
      </c>
      <c r="Y82" s="18">
        <f>EXACT(SUBSTITUTE(A82," ",""),SUBSTITUTE(M82&amp;N82&amp;O82&amp;P82&amp;Q82," ",""))</f>
        <v/>
      </c>
    </row>
    <row r="83">
      <c r="A83" s="15" t="inlineStr">
        <is>
          <t>INSERT INTO MNG_DEAL_LIST_DSP_TBL VALUES(9 , 10 , 4 , 'Y' );</t>
        </is>
      </c>
      <c r="B83" s="16" t="n"/>
      <c r="C83" s="15" t="inlineStr">
        <is>
          <t xml:space="preserve">9 </t>
        </is>
      </c>
      <c r="D83" s="15" t="inlineStr">
        <is>
          <t xml:space="preserve"> 10 </t>
        </is>
      </c>
      <c r="E83" s="15" t="inlineStr">
        <is>
          <t xml:space="preserve"> 4 </t>
        </is>
      </c>
      <c r="F83" s="15" t="inlineStr">
        <is>
          <t xml:space="preserve"> 'Y' </t>
        </is>
      </c>
      <c r="H83" s="17" t="inlineStr">
        <is>
          <t>9</t>
        </is>
      </c>
      <c r="I83" s="17" t="inlineStr">
        <is>
          <t>10</t>
        </is>
      </c>
      <c r="J83" s="17" t="inlineStr">
        <is>
          <t>4</t>
        </is>
      </c>
      <c r="K83" s="17" t="inlineStr">
        <is>
          <t>Y</t>
        </is>
      </c>
      <c r="M83" s="15" t="inlineStr">
        <is>
          <t>INSERT INTO</t>
        </is>
      </c>
      <c r="N83" s="15" t="inlineStr">
        <is>
          <t>MNG_DEAL_LIST_DSP_TBL</t>
        </is>
      </c>
      <c r="O83" s="15" t="inlineStr">
        <is>
          <t>VALUES(</t>
        </is>
      </c>
      <c r="P83" s="15" t="inlineStr">
        <is>
          <t xml:space="preserve">9 , 10 , 4 , 'Y' </t>
        </is>
      </c>
      <c r="Q83" s="15" t="inlineStr">
        <is>
          <t>);</t>
        </is>
      </c>
      <c r="S83" s="18">
        <f>EXACT(TRIM(C83),H83&amp;"")</f>
        <v/>
      </c>
      <c r="T83" s="18">
        <f>EXACT(TRIM(D83),I83&amp;"")</f>
        <v/>
      </c>
      <c r="U83" s="18">
        <f>EXACT(TRIM(E83),J83&amp;"")</f>
        <v/>
      </c>
      <c r="V83" s="18">
        <f>EXACT(TRIM(F83),"'"&amp;K83&amp;"'")</f>
        <v/>
      </c>
      <c r="W83" s="18">
        <f>AND(S83:V83)</f>
        <v/>
      </c>
      <c r="X83" s="19">
        <f>TRIM(IF(S83,"",$S$3&amp;" ")&amp;IF(T83,"",$T$3&amp;" ")&amp;IF(U83,"",$U$3&amp;" ")&amp;IF(V83,"",$V$3&amp;" "))</f>
        <v/>
      </c>
      <c r="Y83" s="18">
        <f>EXACT(SUBSTITUTE(A83," ",""),SUBSTITUTE(M83&amp;N83&amp;O83&amp;P83&amp;Q83," ",""))</f>
        <v/>
      </c>
    </row>
    <row r="84">
      <c r="A84" s="15" t="inlineStr">
        <is>
          <t>INSERT INTO MNG_DEAL_LIST_DSP_TBL VALUES(9 , 10 , 5 , 'Y' );</t>
        </is>
      </c>
      <c r="B84" s="16" t="n"/>
      <c r="C84" s="15" t="inlineStr">
        <is>
          <t xml:space="preserve">9 </t>
        </is>
      </c>
      <c r="D84" s="15" t="inlineStr">
        <is>
          <t xml:space="preserve"> 10 </t>
        </is>
      </c>
      <c r="E84" s="15" t="inlineStr">
        <is>
          <t xml:space="preserve"> 5 </t>
        </is>
      </c>
      <c r="F84" s="15" t="inlineStr">
        <is>
          <t xml:space="preserve"> 'Y' </t>
        </is>
      </c>
      <c r="H84" s="17" t="inlineStr">
        <is>
          <t>9</t>
        </is>
      </c>
      <c r="I84" s="17" t="inlineStr">
        <is>
          <t>10</t>
        </is>
      </c>
      <c r="J84" s="17" t="inlineStr">
        <is>
          <t>5</t>
        </is>
      </c>
      <c r="K84" s="17" t="inlineStr">
        <is>
          <t>Y</t>
        </is>
      </c>
      <c r="M84" s="15" t="inlineStr">
        <is>
          <t>INSERT INTO</t>
        </is>
      </c>
      <c r="N84" s="15" t="inlineStr">
        <is>
          <t>MNG_DEAL_LIST_DSP_TBL</t>
        </is>
      </c>
      <c r="O84" s="15" t="inlineStr">
        <is>
          <t>VALUES(</t>
        </is>
      </c>
      <c r="P84" s="15" t="inlineStr">
        <is>
          <t xml:space="preserve">9 , 10 , 5 , 'Y' </t>
        </is>
      </c>
      <c r="Q84" s="15" t="inlineStr">
        <is>
          <t>);</t>
        </is>
      </c>
      <c r="S84" s="18">
        <f>EXACT(TRIM(C84),H84&amp;"")</f>
        <v/>
      </c>
      <c r="T84" s="18">
        <f>EXACT(TRIM(D84),I84&amp;"")</f>
        <v/>
      </c>
      <c r="U84" s="18">
        <f>EXACT(TRIM(E84),J84&amp;"")</f>
        <v/>
      </c>
      <c r="V84" s="18">
        <f>EXACT(TRIM(F84),"'"&amp;K84&amp;"'")</f>
        <v/>
      </c>
      <c r="W84" s="18">
        <f>AND(S84:V84)</f>
        <v/>
      </c>
      <c r="X84" s="19">
        <f>TRIM(IF(S84,"",$S$3&amp;" ")&amp;IF(T84,"",$T$3&amp;" ")&amp;IF(U84,"",$U$3&amp;" ")&amp;IF(V84,"",$V$3&amp;" "))</f>
        <v/>
      </c>
      <c r="Y84" s="18">
        <f>EXACT(SUBSTITUTE(A84," ",""),SUBSTITUTE(M84&amp;N84&amp;O84&amp;P84&amp;Q84," ",""))</f>
        <v/>
      </c>
    </row>
    <row r="85">
      <c r="A85" s="15" t="inlineStr">
        <is>
          <t>INSERT INTO MNG_DEAL_LIST_DSP_TBL VALUES(9 , 10 , 6 , 'Y' );</t>
        </is>
      </c>
      <c r="B85" s="16" t="n"/>
      <c r="C85" s="15" t="inlineStr">
        <is>
          <t xml:space="preserve">9 </t>
        </is>
      </c>
      <c r="D85" s="15" t="inlineStr">
        <is>
          <t xml:space="preserve"> 10 </t>
        </is>
      </c>
      <c r="E85" s="15" t="inlineStr">
        <is>
          <t xml:space="preserve"> 6 </t>
        </is>
      </c>
      <c r="F85" s="15" t="inlineStr">
        <is>
          <t xml:space="preserve"> 'Y' </t>
        </is>
      </c>
      <c r="H85" s="17" t="inlineStr">
        <is>
          <t>9</t>
        </is>
      </c>
      <c r="I85" s="17" t="inlineStr">
        <is>
          <t>10</t>
        </is>
      </c>
      <c r="J85" s="17" t="inlineStr">
        <is>
          <t>6</t>
        </is>
      </c>
      <c r="K85" s="17" t="inlineStr">
        <is>
          <t>Y</t>
        </is>
      </c>
      <c r="M85" s="15" t="inlineStr">
        <is>
          <t>INSERT INTO</t>
        </is>
      </c>
      <c r="N85" s="15" t="inlineStr">
        <is>
          <t>MNG_DEAL_LIST_DSP_TBL</t>
        </is>
      </c>
      <c r="O85" s="15" t="inlineStr">
        <is>
          <t>VALUES(</t>
        </is>
      </c>
      <c r="P85" s="15" t="inlineStr">
        <is>
          <t xml:space="preserve">9 , 10 , 6 , 'Y' </t>
        </is>
      </c>
      <c r="Q85" s="15" t="inlineStr">
        <is>
          <t>);</t>
        </is>
      </c>
      <c r="S85" s="18">
        <f>EXACT(TRIM(C85),H85&amp;"")</f>
        <v/>
      </c>
      <c r="T85" s="18">
        <f>EXACT(TRIM(D85),I85&amp;"")</f>
        <v/>
      </c>
      <c r="U85" s="18">
        <f>EXACT(TRIM(E85),J85&amp;"")</f>
        <v/>
      </c>
      <c r="V85" s="18">
        <f>EXACT(TRIM(F85),"'"&amp;K85&amp;"'")</f>
        <v/>
      </c>
      <c r="W85" s="18">
        <f>AND(S85:V85)</f>
        <v/>
      </c>
      <c r="X85" s="19">
        <f>TRIM(IF(S85,"",$S$3&amp;" ")&amp;IF(T85,"",$T$3&amp;" ")&amp;IF(U85,"",$U$3&amp;" ")&amp;IF(V85,"",$V$3&amp;" "))</f>
        <v/>
      </c>
      <c r="Y85" s="18">
        <f>EXACT(SUBSTITUTE(A85," ",""),SUBSTITUTE(M85&amp;N85&amp;O85&amp;P85&amp;Q85," ",""))</f>
        <v/>
      </c>
    </row>
    <row r="86">
      <c r="A86" s="15" t="inlineStr">
        <is>
          <t>INSERT INTO MNG_DEAL_LIST_DSP_TBL VALUES(9 , 10 , 7 , 'Y' );</t>
        </is>
      </c>
      <c r="B86" s="16" t="n"/>
      <c r="C86" s="15" t="inlineStr">
        <is>
          <t xml:space="preserve">9 </t>
        </is>
      </c>
      <c r="D86" s="15" t="inlineStr">
        <is>
          <t xml:space="preserve"> 10 </t>
        </is>
      </c>
      <c r="E86" s="15" t="inlineStr">
        <is>
          <t xml:space="preserve"> 7 </t>
        </is>
      </c>
      <c r="F86" s="15" t="inlineStr">
        <is>
          <t xml:space="preserve"> 'Y' </t>
        </is>
      </c>
      <c r="H86" s="17" t="inlineStr">
        <is>
          <t>9</t>
        </is>
      </c>
      <c r="I86" s="17" t="inlineStr">
        <is>
          <t>10</t>
        </is>
      </c>
      <c r="J86" s="17" t="inlineStr">
        <is>
          <t>7</t>
        </is>
      </c>
      <c r="K86" s="17" t="inlineStr">
        <is>
          <t>Y</t>
        </is>
      </c>
      <c r="M86" s="15" t="inlineStr">
        <is>
          <t>INSERT INTO</t>
        </is>
      </c>
      <c r="N86" s="15" t="inlineStr">
        <is>
          <t>MNG_DEAL_LIST_DSP_TBL</t>
        </is>
      </c>
      <c r="O86" s="15" t="inlineStr">
        <is>
          <t>VALUES(</t>
        </is>
      </c>
      <c r="P86" s="15" t="inlineStr">
        <is>
          <t xml:space="preserve">9 , 10 , 7 , 'Y' </t>
        </is>
      </c>
      <c r="Q86" s="15" t="inlineStr">
        <is>
          <t>);</t>
        </is>
      </c>
      <c r="S86" s="18">
        <f>EXACT(TRIM(C86),H86&amp;"")</f>
        <v/>
      </c>
      <c r="T86" s="18">
        <f>EXACT(TRIM(D86),I86&amp;"")</f>
        <v/>
      </c>
      <c r="U86" s="18">
        <f>EXACT(TRIM(E86),J86&amp;"")</f>
        <v/>
      </c>
      <c r="V86" s="18">
        <f>EXACT(TRIM(F86),"'"&amp;K86&amp;"'")</f>
        <v/>
      </c>
      <c r="W86" s="18">
        <f>AND(S86:V86)</f>
        <v/>
      </c>
      <c r="X86" s="19">
        <f>TRIM(IF(S86,"",$S$3&amp;" ")&amp;IF(T86,"",$T$3&amp;" ")&amp;IF(U86,"",$U$3&amp;" ")&amp;IF(V86,"",$V$3&amp;" "))</f>
        <v/>
      </c>
      <c r="Y86" s="18">
        <f>EXACT(SUBSTITUTE(A86," ",""),SUBSTITUTE(M86&amp;N86&amp;O86&amp;P86&amp;Q86," ",""))</f>
        <v/>
      </c>
    </row>
    <row r="87">
      <c r="A87" s="15" t="inlineStr">
        <is>
          <t>INSERT INTO MNG_DEAL_LIST_DSP_TBL VALUES(9 , 10 , 8 , 'Y' );</t>
        </is>
      </c>
      <c r="B87" s="16" t="n"/>
      <c r="C87" s="15" t="inlineStr">
        <is>
          <t xml:space="preserve">9 </t>
        </is>
      </c>
      <c r="D87" s="15" t="inlineStr">
        <is>
          <t xml:space="preserve"> 10 </t>
        </is>
      </c>
      <c r="E87" s="15" t="inlineStr">
        <is>
          <t xml:space="preserve"> 8 </t>
        </is>
      </c>
      <c r="F87" s="15" t="inlineStr">
        <is>
          <t xml:space="preserve"> 'Y' </t>
        </is>
      </c>
      <c r="H87" s="17" t="inlineStr">
        <is>
          <t>9</t>
        </is>
      </c>
      <c r="I87" s="17" t="inlineStr">
        <is>
          <t>10</t>
        </is>
      </c>
      <c r="J87" s="17" t="inlineStr">
        <is>
          <t>8</t>
        </is>
      </c>
      <c r="K87" s="17" t="inlineStr">
        <is>
          <t>Y</t>
        </is>
      </c>
      <c r="M87" s="15" t="inlineStr">
        <is>
          <t>INSERT INTO</t>
        </is>
      </c>
      <c r="N87" s="15" t="inlineStr">
        <is>
          <t>MNG_DEAL_LIST_DSP_TBL</t>
        </is>
      </c>
      <c r="O87" s="15" t="inlineStr">
        <is>
          <t>VALUES(</t>
        </is>
      </c>
      <c r="P87" s="15" t="inlineStr">
        <is>
          <t xml:space="preserve">9 , 10 , 8 , 'Y' </t>
        </is>
      </c>
      <c r="Q87" s="15" t="inlineStr">
        <is>
          <t>);</t>
        </is>
      </c>
      <c r="S87" s="18">
        <f>EXACT(TRIM(C87),H87&amp;"")</f>
        <v/>
      </c>
      <c r="T87" s="18">
        <f>EXACT(TRIM(D87),I87&amp;"")</f>
        <v/>
      </c>
      <c r="U87" s="18">
        <f>EXACT(TRIM(E87),J87&amp;"")</f>
        <v/>
      </c>
      <c r="V87" s="18">
        <f>EXACT(TRIM(F87),"'"&amp;K87&amp;"'")</f>
        <v/>
      </c>
      <c r="W87" s="18">
        <f>AND(S87:V87)</f>
        <v/>
      </c>
      <c r="X87" s="19">
        <f>TRIM(IF(S87,"",$S$3&amp;" ")&amp;IF(T87,"",$T$3&amp;" ")&amp;IF(U87,"",$U$3&amp;" ")&amp;IF(V87,"",$V$3&amp;" "))</f>
        <v/>
      </c>
      <c r="Y87" s="18">
        <f>EXACT(SUBSTITUTE(A87," ",""),SUBSTITUTE(M87&amp;N87&amp;O87&amp;P87&amp;Q87," ",""))</f>
        <v/>
      </c>
    </row>
    <row r="88">
      <c r="A88" s="15" t="inlineStr">
        <is>
          <t>INSERT INTO MNG_DEAL_LIST_DSP_TBL VALUES(9 , 10 , 9 , 'Y' );</t>
        </is>
      </c>
      <c r="B88" s="16" t="n"/>
      <c r="C88" s="15" t="inlineStr">
        <is>
          <t xml:space="preserve">9 </t>
        </is>
      </c>
      <c r="D88" s="15" t="inlineStr">
        <is>
          <t xml:space="preserve"> 10 </t>
        </is>
      </c>
      <c r="E88" s="15" t="inlineStr">
        <is>
          <t xml:space="preserve"> 9 </t>
        </is>
      </c>
      <c r="F88" s="15" t="inlineStr">
        <is>
          <t xml:space="preserve"> 'Y' </t>
        </is>
      </c>
      <c r="H88" s="17" t="inlineStr">
        <is>
          <t>9</t>
        </is>
      </c>
      <c r="I88" s="17" t="inlineStr">
        <is>
          <t>10</t>
        </is>
      </c>
      <c r="J88" s="17" t="inlineStr">
        <is>
          <t>9</t>
        </is>
      </c>
      <c r="K88" s="17" t="inlineStr">
        <is>
          <t>Y</t>
        </is>
      </c>
      <c r="M88" s="15" t="inlineStr">
        <is>
          <t>INSERT INTO</t>
        </is>
      </c>
      <c r="N88" s="15" t="inlineStr">
        <is>
          <t>MNG_DEAL_LIST_DSP_TBL</t>
        </is>
      </c>
      <c r="O88" s="15" t="inlineStr">
        <is>
          <t>VALUES(</t>
        </is>
      </c>
      <c r="P88" s="15" t="inlineStr">
        <is>
          <t xml:space="preserve">9 , 10 , 9 , 'Y' </t>
        </is>
      </c>
      <c r="Q88" s="15" t="inlineStr">
        <is>
          <t>);</t>
        </is>
      </c>
      <c r="S88" s="18">
        <f>EXACT(TRIM(C88),H88&amp;"")</f>
        <v/>
      </c>
      <c r="T88" s="18">
        <f>EXACT(TRIM(D88),I88&amp;"")</f>
        <v/>
      </c>
      <c r="U88" s="18">
        <f>EXACT(TRIM(E88),J88&amp;"")</f>
        <v/>
      </c>
      <c r="V88" s="18">
        <f>EXACT(TRIM(F88),"'"&amp;K88&amp;"'")</f>
        <v/>
      </c>
      <c r="W88" s="18">
        <f>AND(S88:V88)</f>
        <v/>
      </c>
      <c r="X88" s="19">
        <f>TRIM(IF(S88,"",$S$3&amp;" ")&amp;IF(T88,"",$T$3&amp;" ")&amp;IF(U88,"",$U$3&amp;" ")&amp;IF(V88,"",$V$3&amp;" "))</f>
        <v/>
      </c>
      <c r="Y88" s="18">
        <f>EXACT(SUBSTITUTE(A88," ",""),SUBSTITUTE(M88&amp;N88&amp;O88&amp;P88&amp;Q88," ",""))</f>
        <v/>
      </c>
    </row>
    <row r="89">
      <c r="A89" s="15" t="inlineStr">
        <is>
          <t>INSERT INTO MNG_DEAL_LIST_DSP_TBL VALUES(9 , 10 , 10 , 'N' );</t>
        </is>
      </c>
      <c r="B89" s="16" t="n"/>
      <c r="C89" s="15" t="inlineStr">
        <is>
          <t xml:space="preserve">9 </t>
        </is>
      </c>
      <c r="D89" s="15" t="inlineStr">
        <is>
          <t xml:space="preserve"> 10 </t>
        </is>
      </c>
      <c r="E89" s="15" t="inlineStr">
        <is>
          <t xml:space="preserve"> 10 </t>
        </is>
      </c>
      <c r="F89" s="15" t="inlineStr">
        <is>
          <t xml:space="preserve"> 'N' </t>
        </is>
      </c>
      <c r="H89" s="17" t="inlineStr">
        <is>
          <t>9</t>
        </is>
      </c>
      <c r="I89" s="17" t="inlineStr">
        <is>
          <t>10</t>
        </is>
      </c>
      <c r="J89" s="17" t="inlineStr">
        <is>
          <t>10</t>
        </is>
      </c>
      <c r="K89" s="17" t="inlineStr">
        <is>
          <t>N</t>
        </is>
      </c>
      <c r="M89" s="15" t="inlineStr">
        <is>
          <t>INSERT INTO</t>
        </is>
      </c>
      <c r="N89" s="15" t="inlineStr">
        <is>
          <t>MNG_DEAL_LIST_DSP_TBL</t>
        </is>
      </c>
      <c r="O89" s="15" t="inlineStr">
        <is>
          <t>VALUES(</t>
        </is>
      </c>
      <c r="P89" s="15" t="inlineStr">
        <is>
          <t xml:space="preserve">9 , 10 , 10 , 'N' </t>
        </is>
      </c>
      <c r="Q89" s="15" t="inlineStr">
        <is>
          <t>);</t>
        </is>
      </c>
      <c r="S89" s="18">
        <f>EXACT(TRIM(C89),H89&amp;"")</f>
        <v/>
      </c>
      <c r="T89" s="18">
        <f>EXACT(TRIM(D89),I89&amp;"")</f>
        <v/>
      </c>
      <c r="U89" s="18">
        <f>EXACT(TRIM(E89),J89&amp;"")</f>
        <v/>
      </c>
      <c r="V89" s="18">
        <f>EXACT(TRIM(F89),"'"&amp;K89&amp;"'")</f>
        <v/>
      </c>
      <c r="W89" s="18">
        <f>AND(S89:V89)</f>
        <v/>
      </c>
      <c r="X89" s="19">
        <f>TRIM(IF(S89,"",$S$3&amp;" ")&amp;IF(T89,"",$T$3&amp;" ")&amp;IF(U89,"",$U$3&amp;" ")&amp;IF(V89,"",$V$3&amp;" "))</f>
        <v/>
      </c>
      <c r="Y89" s="18">
        <f>EXACT(SUBSTITUTE(A89," ",""),SUBSTITUTE(M89&amp;N89&amp;O89&amp;P89&amp;Q89," ",""))</f>
        <v/>
      </c>
    </row>
    <row r="90">
      <c r="A90" s="15" t="inlineStr">
        <is>
          <t>INSERT INTO MNG_DEAL_LIST_DSP_TBL VALUES(9 , 10 , 11 , 'Y' );</t>
        </is>
      </c>
      <c r="B90" s="16" t="n"/>
      <c r="C90" s="15" t="inlineStr">
        <is>
          <t xml:space="preserve">9 </t>
        </is>
      </c>
      <c r="D90" s="15" t="inlineStr">
        <is>
          <t xml:space="preserve"> 10 </t>
        </is>
      </c>
      <c r="E90" s="15" t="inlineStr">
        <is>
          <t xml:space="preserve"> 11 </t>
        </is>
      </c>
      <c r="F90" s="15" t="inlineStr">
        <is>
          <t xml:space="preserve"> 'Y' </t>
        </is>
      </c>
      <c r="H90" s="17" t="inlineStr">
        <is>
          <t>9</t>
        </is>
      </c>
      <c r="I90" s="17" t="inlineStr">
        <is>
          <t>10</t>
        </is>
      </c>
      <c r="J90" s="17" t="inlineStr">
        <is>
          <t>11</t>
        </is>
      </c>
      <c r="K90" s="17" t="inlineStr">
        <is>
          <t>Y</t>
        </is>
      </c>
      <c r="M90" s="15" t="inlineStr">
        <is>
          <t>INSERT INTO</t>
        </is>
      </c>
      <c r="N90" s="15" t="inlineStr">
        <is>
          <t>MNG_DEAL_LIST_DSP_TBL</t>
        </is>
      </c>
      <c r="O90" s="15" t="inlineStr">
        <is>
          <t>VALUES(</t>
        </is>
      </c>
      <c r="P90" s="15" t="inlineStr">
        <is>
          <t xml:space="preserve">9 , 10 , 11 , 'Y' </t>
        </is>
      </c>
      <c r="Q90" s="15" t="inlineStr">
        <is>
          <t>);</t>
        </is>
      </c>
      <c r="S90" s="18">
        <f>EXACT(TRIM(C90),H90&amp;"")</f>
        <v/>
      </c>
      <c r="T90" s="18">
        <f>EXACT(TRIM(D90),I90&amp;"")</f>
        <v/>
      </c>
      <c r="U90" s="18">
        <f>EXACT(TRIM(E90),J90&amp;"")</f>
        <v/>
      </c>
      <c r="V90" s="18">
        <f>EXACT(TRIM(F90),"'"&amp;K90&amp;"'")</f>
        <v/>
      </c>
      <c r="W90" s="18">
        <f>AND(S90:V90)</f>
        <v/>
      </c>
      <c r="X90" s="19">
        <f>TRIM(IF(S90,"",$S$3&amp;" ")&amp;IF(T90,"",$T$3&amp;" ")&amp;IF(U90,"",$U$3&amp;" ")&amp;IF(V90,"",$V$3&amp;" "))</f>
        <v/>
      </c>
      <c r="Y90" s="18">
        <f>EXACT(SUBSTITUTE(A90," ",""),SUBSTITUTE(M90&amp;N90&amp;O90&amp;P90&amp;Q90," ",""))</f>
        <v/>
      </c>
    </row>
    <row r="91">
      <c r="A91" s="15" t="inlineStr">
        <is>
          <t>INSERT INTO MNG_DEAL_LIST_DSP_TBL VALUES(9 , 10 , 12 , 'Y' );</t>
        </is>
      </c>
      <c r="B91" s="16" t="n"/>
      <c r="C91" s="15" t="inlineStr">
        <is>
          <t xml:space="preserve">9 </t>
        </is>
      </c>
      <c r="D91" s="15" t="inlineStr">
        <is>
          <t xml:space="preserve"> 10 </t>
        </is>
      </c>
      <c r="E91" s="15" t="inlineStr">
        <is>
          <t xml:space="preserve"> 12 </t>
        </is>
      </c>
      <c r="F91" s="15" t="inlineStr">
        <is>
          <t xml:space="preserve"> 'Y' </t>
        </is>
      </c>
      <c r="H91" s="17" t="inlineStr">
        <is>
          <t>9</t>
        </is>
      </c>
      <c r="I91" s="17" t="inlineStr">
        <is>
          <t>10</t>
        </is>
      </c>
      <c r="J91" s="17" t="inlineStr">
        <is>
          <t>12</t>
        </is>
      </c>
      <c r="K91" s="17" t="inlineStr">
        <is>
          <t>Y</t>
        </is>
      </c>
      <c r="M91" s="15" t="inlineStr">
        <is>
          <t>INSERT INTO</t>
        </is>
      </c>
      <c r="N91" s="15" t="inlineStr">
        <is>
          <t>MNG_DEAL_LIST_DSP_TBL</t>
        </is>
      </c>
      <c r="O91" s="15" t="inlineStr">
        <is>
          <t>VALUES(</t>
        </is>
      </c>
      <c r="P91" s="15" t="inlineStr">
        <is>
          <t xml:space="preserve">9 , 10 , 12 , 'Y' </t>
        </is>
      </c>
      <c r="Q91" s="15" t="inlineStr">
        <is>
          <t>);</t>
        </is>
      </c>
      <c r="S91" s="18">
        <f>EXACT(TRIM(C91),H91&amp;"")</f>
        <v/>
      </c>
      <c r="T91" s="18">
        <f>EXACT(TRIM(D91),I91&amp;"")</f>
        <v/>
      </c>
      <c r="U91" s="18">
        <f>EXACT(TRIM(E91),J91&amp;"")</f>
        <v/>
      </c>
      <c r="V91" s="18">
        <f>EXACT(TRIM(F91),"'"&amp;K91&amp;"'")</f>
        <v/>
      </c>
      <c r="W91" s="18">
        <f>AND(S91:V91)</f>
        <v/>
      </c>
      <c r="X91" s="19">
        <f>TRIM(IF(S91,"",$S$3&amp;" ")&amp;IF(T91,"",$T$3&amp;" ")&amp;IF(U91,"",$U$3&amp;" ")&amp;IF(V91,"",$V$3&amp;" "))</f>
        <v/>
      </c>
      <c r="Y91" s="18">
        <f>EXACT(SUBSTITUTE(A91," ",""),SUBSTITUTE(M91&amp;N91&amp;O91&amp;P91&amp;Q91," ",""))</f>
        <v/>
      </c>
    </row>
    <row r="92">
      <c r="A92" s="15" t="inlineStr">
        <is>
          <t>INSERT INTO MNG_DEAL_LIST_DSP_TBL VALUES(9 , 10 , 13 , 'Y' );</t>
        </is>
      </c>
      <c r="B92" s="16" t="n"/>
      <c r="C92" s="15" t="inlineStr">
        <is>
          <t xml:space="preserve">9 </t>
        </is>
      </c>
      <c r="D92" s="15" t="inlineStr">
        <is>
          <t xml:space="preserve"> 10 </t>
        </is>
      </c>
      <c r="E92" s="15" t="inlineStr">
        <is>
          <t xml:space="preserve"> 13 </t>
        </is>
      </c>
      <c r="F92" s="15" t="inlineStr">
        <is>
          <t xml:space="preserve"> 'Y' </t>
        </is>
      </c>
      <c r="H92" s="17" t="inlineStr">
        <is>
          <t>9</t>
        </is>
      </c>
      <c r="I92" s="17" t="inlineStr">
        <is>
          <t>10</t>
        </is>
      </c>
      <c r="J92" s="17" t="inlineStr">
        <is>
          <t>13</t>
        </is>
      </c>
      <c r="K92" s="17" t="inlineStr">
        <is>
          <t>Y</t>
        </is>
      </c>
      <c r="M92" s="15" t="inlineStr">
        <is>
          <t>INSERT INTO</t>
        </is>
      </c>
      <c r="N92" s="15" t="inlineStr">
        <is>
          <t>MNG_DEAL_LIST_DSP_TBL</t>
        </is>
      </c>
      <c r="O92" s="15" t="inlineStr">
        <is>
          <t>VALUES(</t>
        </is>
      </c>
      <c r="P92" s="15" t="inlineStr">
        <is>
          <t xml:space="preserve">9 , 10 , 13 , 'Y' </t>
        </is>
      </c>
      <c r="Q92" s="15" t="inlineStr">
        <is>
          <t>);</t>
        </is>
      </c>
      <c r="S92" s="18">
        <f>EXACT(TRIM(C92),H92&amp;"")</f>
        <v/>
      </c>
      <c r="T92" s="18">
        <f>EXACT(TRIM(D92),I92&amp;"")</f>
        <v/>
      </c>
      <c r="U92" s="18">
        <f>EXACT(TRIM(E92),J92&amp;"")</f>
        <v/>
      </c>
      <c r="V92" s="18">
        <f>EXACT(TRIM(F92),"'"&amp;K92&amp;"'")</f>
        <v/>
      </c>
      <c r="W92" s="18">
        <f>AND(S92:V92)</f>
        <v/>
      </c>
      <c r="X92" s="19">
        <f>TRIM(IF(S92,"",$S$3&amp;" ")&amp;IF(T92,"",$T$3&amp;" ")&amp;IF(U92,"",$U$3&amp;" ")&amp;IF(V92,"",$V$3&amp;" "))</f>
        <v/>
      </c>
      <c r="Y92" s="18">
        <f>EXACT(SUBSTITUTE(A92," ",""),SUBSTITUTE(M92&amp;N92&amp;O92&amp;P92&amp;Q92," ",""))</f>
        <v/>
      </c>
    </row>
    <row r="93">
      <c r="A93" s="15" t="inlineStr">
        <is>
          <t>INSERT INTO MNG_DEAL_LIST_DSP_TBL VALUES(9 , 10 , 14 , 'Y' );</t>
        </is>
      </c>
      <c r="B93" s="16" t="n"/>
      <c r="C93" s="15" t="inlineStr">
        <is>
          <t xml:space="preserve">9 </t>
        </is>
      </c>
      <c r="D93" s="15" t="inlineStr">
        <is>
          <t xml:space="preserve"> 10 </t>
        </is>
      </c>
      <c r="E93" s="15" t="inlineStr">
        <is>
          <t xml:space="preserve"> 14 </t>
        </is>
      </c>
      <c r="F93" s="15" t="inlineStr">
        <is>
          <t xml:space="preserve"> 'Y' </t>
        </is>
      </c>
      <c r="H93" s="17" t="inlineStr">
        <is>
          <t>9</t>
        </is>
      </c>
      <c r="I93" s="17" t="inlineStr">
        <is>
          <t>10</t>
        </is>
      </c>
      <c r="J93" s="17" t="inlineStr">
        <is>
          <t>14</t>
        </is>
      </c>
      <c r="K93" s="17" t="inlineStr">
        <is>
          <t>Y</t>
        </is>
      </c>
      <c r="M93" s="15" t="inlineStr">
        <is>
          <t>INSERT INTO</t>
        </is>
      </c>
      <c r="N93" s="15" t="inlineStr">
        <is>
          <t>MNG_DEAL_LIST_DSP_TBL</t>
        </is>
      </c>
      <c r="O93" s="15" t="inlineStr">
        <is>
          <t>VALUES(</t>
        </is>
      </c>
      <c r="P93" s="15" t="inlineStr">
        <is>
          <t xml:space="preserve">9 , 10 , 14 , 'Y' </t>
        </is>
      </c>
      <c r="Q93" s="15" t="inlineStr">
        <is>
          <t>);</t>
        </is>
      </c>
      <c r="S93" s="18">
        <f>EXACT(TRIM(C93),H93&amp;"")</f>
        <v/>
      </c>
      <c r="T93" s="18">
        <f>EXACT(TRIM(D93),I93&amp;"")</f>
        <v/>
      </c>
      <c r="U93" s="18">
        <f>EXACT(TRIM(E93),J93&amp;"")</f>
        <v/>
      </c>
      <c r="V93" s="18">
        <f>EXACT(TRIM(F93),"'"&amp;K93&amp;"'")</f>
        <v/>
      </c>
      <c r="W93" s="18">
        <f>AND(S93:V93)</f>
        <v/>
      </c>
      <c r="X93" s="19">
        <f>TRIM(IF(S93,"",$S$3&amp;" ")&amp;IF(T93,"",$T$3&amp;" ")&amp;IF(U93,"",$U$3&amp;" ")&amp;IF(V93,"",$V$3&amp;" "))</f>
        <v/>
      </c>
      <c r="Y93" s="18">
        <f>EXACT(SUBSTITUTE(A93," ",""),SUBSTITUTE(M93&amp;N93&amp;O93&amp;P93&amp;Q93," ",""))</f>
        <v/>
      </c>
    </row>
    <row r="94">
      <c r="A94" s="15" t="inlineStr">
        <is>
          <t>INSERT INTO MNG_DEAL_LIST_DSP_TBL VALUES(9 , 10 , 15 , 'Y' );</t>
        </is>
      </c>
      <c r="B94" s="16" t="n"/>
      <c r="C94" s="15" t="inlineStr">
        <is>
          <t xml:space="preserve">9 </t>
        </is>
      </c>
      <c r="D94" s="15" t="inlineStr">
        <is>
          <t xml:space="preserve"> 10 </t>
        </is>
      </c>
      <c r="E94" s="15" t="inlineStr">
        <is>
          <t xml:space="preserve"> 15 </t>
        </is>
      </c>
      <c r="F94" s="15" t="inlineStr">
        <is>
          <t xml:space="preserve"> 'Y' </t>
        </is>
      </c>
      <c r="H94" s="17" t="inlineStr">
        <is>
          <t>9</t>
        </is>
      </c>
      <c r="I94" s="17" t="inlineStr">
        <is>
          <t>10</t>
        </is>
      </c>
      <c r="J94" s="17" t="inlineStr">
        <is>
          <t>15</t>
        </is>
      </c>
      <c r="K94" s="17" t="inlineStr">
        <is>
          <t>Y</t>
        </is>
      </c>
      <c r="M94" s="15" t="inlineStr">
        <is>
          <t>INSERT INTO</t>
        </is>
      </c>
      <c r="N94" s="15" t="inlineStr">
        <is>
          <t>MNG_DEAL_LIST_DSP_TBL</t>
        </is>
      </c>
      <c r="O94" s="15" t="inlineStr">
        <is>
          <t>VALUES(</t>
        </is>
      </c>
      <c r="P94" s="15" t="inlineStr">
        <is>
          <t xml:space="preserve">9 , 10 , 15 , 'Y' </t>
        </is>
      </c>
      <c r="Q94" s="15" t="inlineStr">
        <is>
          <t>);</t>
        </is>
      </c>
      <c r="S94" s="18">
        <f>EXACT(TRIM(C94),H94&amp;"")</f>
        <v/>
      </c>
      <c r="T94" s="18">
        <f>EXACT(TRIM(D94),I94&amp;"")</f>
        <v/>
      </c>
      <c r="U94" s="18">
        <f>EXACT(TRIM(E94),J94&amp;"")</f>
        <v/>
      </c>
      <c r="V94" s="18">
        <f>EXACT(TRIM(F94),"'"&amp;K94&amp;"'")</f>
        <v/>
      </c>
      <c r="W94" s="18">
        <f>AND(S94:V94)</f>
        <v/>
      </c>
      <c r="X94" s="19">
        <f>TRIM(IF(S94,"",$S$3&amp;" ")&amp;IF(T94,"",$T$3&amp;" ")&amp;IF(U94,"",$U$3&amp;" ")&amp;IF(V94,"",$V$3&amp;" "))</f>
        <v/>
      </c>
      <c r="Y94" s="18">
        <f>EXACT(SUBSTITUTE(A94," ",""),SUBSTITUTE(M94&amp;N94&amp;O94&amp;P94&amp;Q94," ",""))</f>
        <v/>
      </c>
    </row>
    <row r="95">
      <c r="A95" s="15" t="inlineStr">
        <is>
          <t>INSERT INTO MNG_DEAL_LIST_DSP_TBL VALUES(9 , 10 , 16 , 'Y' );</t>
        </is>
      </c>
      <c r="B95" s="16" t="n"/>
      <c r="C95" s="15" t="inlineStr">
        <is>
          <t xml:space="preserve">9 </t>
        </is>
      </c>
      <c r="D95" s="15" t="inlineStr">
        <is>
          <t xml:space="preserve"> 10 </t>
        </is>
      </c>
      <c r="E95" s="15" t="inlineStr">
        <is>
          <t xml:space="preserve"> 16 </t>
        </is>
      </c>
      <c r="F95" s="15" t="inlineStr">
        <is>
          <t xml:space="preserve"> 'Y' </t>
        </is>
      </c>
      <c r="H95" s="17" t="inlineStr">
        <is>
          <t>9</t>
        </is>
      </c>
      <c r="I95" s="17" t="inlineStr">
        <is>
          <t>10</t>
        </is>
      </c>
      <c r="J95" s="17" t="inlineStr">
        <is>
          <t>16</t>
        </is>
      </c>
      <c r="K95" s="17" t="inlineStr">
        <is>
          <t>Y</t>
        </is>
      </c>
      <c r="M95" s="15" t="inlineStr">
        <is>
          <t>INSERT INTO</t>
        </is>
      </c>
      <c r="N95" s="15" t="inlineStr">
        <is>
          <t>MNG_DEAL_LIST_DSP_TBL</t>
        </is>
      </c>
      <c r="O95" s="15" t="inlineStr">
        <is>
          <t>VALUES(</t>
        </is>
      </c>
      <c r="P95" s="15" t="inlineStr">
        <is>
          <t xml:space="preserve">9 , 10 , 16 , 'Y' </t>
        </is>
      </c>
      <c r="Q95" s="15" t="inlineStr">
        <is>
          <t>);</t>
        </is>
      </c>
      <c r="S95" s="18">
        <f>EXACT(TRIM(C95),H95&amp;"")</f>
        <v/>
      </c>
      <c r="T95" s="18">
        <f>EXACT(TRIM(D95),I95&amp;"")</f>
        <v/>
      </c>
      <c r="U95" s="18">
        <f>EXACT(TRIM(E95),J95&amp;"")</f>
        <v/>
      </c>
      <c r="V95" s="18">
        <f>EXACT(TRIM(F95),"'"&amp;K95&amp;"'")</f>
        <v/>
      </c>
      <c r="W95" s="18">
        <f>AND(S95:V95)</f>
        <v/>
      </c>
      <c r="X95" s="19">
        <f>TRIM(IF(S95,"",$S$3&amp;" ")&amp;IF(T95,"",$T$3&amp;" ")&amp;IF(U95,"",$U$3&amp;" ")&amp;IF(V95,"",$V$3&amp;" "))</f>
        <v/>
      </c>
      <c r="Y95" s="18">
        <f>EXACT(SUBSTITUTE(A95," ",""),SUBSTITUTE(M95&amp;N95&amp;O95&amp;P95&amp;Q95," ",""))</f>
        <v/>
      </c>
    </row>
    <row r="96">
      <c r="A96" s="15" t="inlineStr">
        <is>
          <t>INSERT INTO MNG_DEAL_LIST_DSP_TBL VALUES(9 , 11 , 1 , 'Y' );</t>
        </is>
      </c>
      <c r="B96" s="16" t="n"/>
      <c r="C96" s="15" t="inlineStr">
        <is>
          <t xml:space="preserve">9 </t>
        </is>
      </c>
      <c r="D96" s="15" t="inlineStr">
        <is>
          <t xml:space="preserve"> 11 </t>
        </is>
      </c>
      <c r="E96" s="15" t="inlineStr">
        <is>
          <t xml:space="preserve"> 1 </t>
        </is>
      </c>
      <c r="F96" s="15" t="inlineStr">
        <is>
          <t xml:space="preserve"> 'Y' </t>
        </is>
      </c>
      <c r="H96" s="17" t="inlineStr">
        <is>
          <t>9</t>
        </is>
      </c>
      <c r="I96" s="17" t="inlineStr">
        <is>
          <t>11</t>
        </is>
      </c>
      <c r="J96" s="17" t="inlineStr">
        <is>
          <t>1</t>
        </is>
      </c>
      <c r="K96" s="17" t="inlineStr">
        <is>
          <t>Y</t>
        </is>
      </c>
      <c r="M96" s="15" t="inlineStr">
        <is>
          <t>INSERT INTO</t>
        </is>
      </c>
      <c r="N96" s="15" t="inlineStr">
        <is>
          <t>MNG_DEAL_LIST_DSP_TBL</t>
        </is>
      </c>
      <c r="O96" s="15" t="inlineStr">
        <is>
          <t>VALUES(</t>
        </is>
      </c>
      <c r="P96" s="15" t="inlineStr">
        <is>
          <t xml:space="preserve">9 , 11 , 1 , 'Y' </t>
        </is>
      </c>
      <c r="Q96" s="15" t="inlineStr">
        <is>
          <t>);</t>
        </is>
      </c>
      <c r="S96" s="18">
        <f>EXACT(TRIM(C96),H96&amp;"")</f>
        <v/>
      </c>
      <c r="T96" s="18">
        <f>EXACT(TRIM(D96),I96&amp;"")</f>
        <v/>
      </c>
      <c r="U96" s="18">
        <f>EXACT(TRIM(E96),J96&amp;"")</f>
        <v/>
      </c>
      <c r="V96" s="18">
        <f>EXACT(TRIM(F96),"'"&amp;K96&amp;"'")</f>
        <v/>
      </c>
      <c r="W96" s="18">
        <f>AND(S96:V96)</f>
        <v/>
      </c>
      <c r="X96" s="19">
        <f>TRIM(IF(S96,"",$S$3&amp;" ")&amp;IF(T96,"",$T$3&amp;" ")&amp;IF(U96,"",$U$3&amp;" ")&amp;IF(V96,"",$V$3&amp;" "))</f>
        <v/>
      </c>
      <c r="Y96" s="18">
        <f>EXACT(SUBSTITUTE(A96," ",""),SUBSTITUTE(M96&amp;N96&amp;O96&amp;P96&amp;Q96," ",""))</f>
        <v/>
      </c>
    </row>
    <row r="97">
      <c r="A97" s="15" t="inlineStr">
        <is>
          <t>INSERT INTO MNG_DEAL_LIST_DSP_TBL VALUES(9 , 11 , 2 , 'N' );</t>
        </is>
      </c>
      <c r="B97" s="16" t="n"/>
      <c r="C97" s="15" t="inlineStr">
        <is>
          <t xml:space="preserve">9 </t>
        </is>
      </c>
      <c r="D97" s="15" t="inlineStr">
        <is>
          <t xml:space="preserve"> 11 </t>
        </is>
      </c>
      <c r="E97" s="15" t="inlineStr">
        <is>
          <t xml:space="preserve"> 2 </t>
        </is>
      </c>
      <c r="F97" s="15" t="inlineStr">
        <is>
          <t xml:space="preserve"> 'N' </t>
        </is>
      </c>
      <c r="H97" s="17" t="inlineStr">
        <is>
          <t>9</t>
        </is>
      </c>
      <c r="I97" s="17" t="inlineStr">
        <is>
          <t>11</t>
        </is>
      </c>
      <c r="J97" s="17" t="inlineStr">
        <is>
          <t>2</t>
        </is>
      </c>
      <c r="K97" s="17" t="inlineStr">
        <is>
          <t>N</t>
        </is>
      </c>
      <c r="M97" s="15" t="inlineStr">
        <is>
          <t>INSERT INTO</t>
        </is>
      </c>
      <c r="N97" s="15" t="inlineStr">
        <is>
          <t>MNG_DEAL_LIST_DSP_TBL</t>
        </is>
      </c>
      <c r="O97" s="15" t="inlineStr">
        <is>
          <t>VALUES(</t>
        </is>
      </c>
      <c r="P97" s="15" t="inlineStr">
        <is>
          <t xml:space="preserve">9 , 11 , 2 , 'N' </t>
        </is>
      </c>
      <c r="Q97" s="15" t="inlineStr">
        <is>
          <t>);</t>
        </is>
      </c>
      <c r="S97" s="18">
        <f>EXACT(TRIM(C97),H97&amp;"")</f>
        <v/>
      </c>
      <c r="T97" s="18">
        <f>EXACT(TRIM(D97),I97&amp;"")</f>
        <v/>
      </c>
      <c r="U97" s="18">
        <f>EXACT(TRIM(E97),J97&amp;"")</f>
        <v/>
      </c>
      <c r="V97" s="18">
        <f>EXACT(TRIM(F97),"'"&amp;K97&amp;"'")</f>
        <v/>
      </c>
      <c r="W97" s="18">
        <f>AND(S97:V97)</f>
        <v/>
      </c>
      <c r="X97" s="19">
        <f>TRIM(IF(S97,"",$S$3&amp;" ")&amp;IF(T97,"",$T$3&amp;" ")&amp;IF(U97,"",$U$3&amp;" ")&amp;IF(V97,"",$V$3&amp;" "))</f>
        <v/>
      </c>
      <c r="Y97" s="18">
        <f>EXACT(SUBSTITUTE(A97," ",""),SUBSTITUTE(M97&amp;N97&amp;O97&amp;P97&amp;Q97," ",""))</f>
        <v/>
      </c>
    </row>
    <row r="98">
      <c r="A98" s="15" t="inlineStr">
        <is>
          <t>INSERT INTO MNG_DEAL_LIST_DSP_TBL VALUES(9 , 11 , 3 , 'N' );</t>
        </is>
      </c>
      <c r="B98" s="16" t="n"/>
      <c r="C98" s="15" t="inlineStr">
        <is>
          <t xml:space="preserve">9 </t>
        </is>
      </c>
      <c r="D98" s="15" t="inlineStr">
        <is>
          <t xml:space="preserve"> 11 </t>
        </is>
      </c>
      <c r="E98" s="15" t="inlineStr">
        <is>
          <t xml:space="preserve"> 3 </t>
        </is>
      </c>
      <c r="F98" s="15" t="inlineStr">
        <is>
          <t xml:space="preserve"> 'N' </t>
        </is>
      </c>
      <c r="H98" s="17" t="inlineStr">
        <is>
          <t>9</t>
        </is>
      </c>
      <c r="I98" s="17" t="inlineStr">
        <is>
          <t>11</t>
        </is>
      </c>
      <c r="J98" s="17" t="inlineStr">
        <is>
          <t>3</t>
        </is>
      </c>
      <c r="K98" s="17" t="inlineStr">
        <is>
          <t>N</t>
        </is>
      </c>
      <c r="M98" s="15" t="inlineStr">
        <is>
          <t>INSERT INTO</t>
        </is>
      </c>
      <c r="N98" s="15" t="inlineStr">
        <is>
          <t>MNG_DEAL_LIST_DSP_TBL</t>
        </is>
      </c>
      <c r="O98" s="15" t="inlineStr">
        <is>
          <t>VALUES(</t>
        </is>
      </c>
      <c r="P98" s="15" t="inlineStr">
        <is>
          <t xml:space="preserve">9 , 11 , 3 , 'N' </t>
        </is>
      </c>
      <c r="Q98" s="15" t="inlineStr">
        <is>
          <t>);</t>
        </is>
      </c>
      <c r="S98" s="18">
        <f>EXACT(TRIM(C98),H98&amp;"")</f>
        <v/>
      </c>
      <c r="T98" s="18">
        <f>EXACT(TRIM(D98),I98&amp;"")</f>
        <v/>
      </c>
      <c r="U98" s="18">
        <f>EXACT(TRIM(E98),J98&amp;"")</f>
        <v/>
      </c>
      <c r="V98" s="18">
        <f>EXACT(TRIM(F98),"'"&amp;K98&amp;"'")</f>
        <v/>
      </c>
      <c r="W98" s="18">
        <f>AND(S98:V98)</f>
        <v/>
      </c>
      <c r="X98" s="19">
        <f>TRIM(IF(S98,"",$S$3&amp;" ")&amp;IF(T98,"",$T$3&amp;" ")&amp;IF(U98,"",$U$3&amp;" ")&amp;IF(V98,"",$V$3&amp;" "))</f>
        <v/>
      </c>
      <c r="Y98" s="18">
        <f>EXACT(SUBSTITUTE(A98," ",""),SUBSTITUTE(M98&amp;N98&amp;O98&amp;P98&amp;Q98," ",""))</f>
        <v/>
      </c>
    </row>
    <row r="99">
      <c r="A99" s="15" t="inlineStr">
        <is>
          <t>INSERT INTO MNG_DEAL_LIST_DSP_TBL VALUES(9 , 11 , 4 , 'Y' );</t>
        </is>
      </c>
      <c r="B99" s="16" t="n"/>
      <c r="C99" s="15" t="inlineStr">
        <is>
          <t xml:space="preserve">9 </t>
        </is>
      </c>
      <c r="D99" s="15" t="inlineStr">
        <is>
          <t xml:space="preserve"> 11 </t>
        </is>
      </c>
      <c r="E99" s="15" t="inlineStr">
        <is>
          <t xml:space="preserve"> 4 </t>
        </is>
      </c>
      <c r="F99" s="15" t="inlineStr">
        <is>
          <t xml:space="preserve"> 'Y' </t>
        </is>
      </c>
      <c r="H99" s="17" t="inlineStr">
        <is>
          <t>9</t>
        </is>
      </c>
      <c r="I99" s="17" t="inlineStr">
        <is>
          <t>11</t>
        </is>
      </c>
      <c r="J99" s="17" t="inlineStr">
        <is>
          <t>4</t>
        </is>
      </c>
      <c r="K99" s="17" t="inlineStr">
        <is>
          <t>Y</t>
        </is>
      </c>
      <c r="M99" s="15" t="inlineStr">
        <is>
          <t>INSERT INTO</t>
        </is>
      </c>
      <c r="N99" s="15" t="inlineStr">
        <is>
          <t>MNG_DEAL_LIST_DSP_TBL</t>
        </is>
      </c>
      <c r="O99" s="15" t="inlineStr">
        <is>
          <t>VALUES(</t>
        </is>
      </c>
      <c r="P99" s="15" t="inlineStr">
        <is>
          <t xml:space="preserve">9 , 11 , 4 , 'Y' </t>
        </is>
      </c>
      <c r="Q99" s="15" t="inlineStr">
        <is>
          <t>);</t>
        </is>
      </c>
      <c r="S99" s="18">
        <f>EXACT(TRIM(C99),H99&amp;"")</f>
        <v/>
      </c>
      <c r="T99" s="18">
        <f>EXACT(TRIM(D99),I99&amp;"")</f>
        <v/>
      </c>
      <c r="U99" s="18">
        <f>EXACT(TRIM(E99),J99&amp;"")</f>
        <v/>
      </c>
      <c r="V99" s="18">
        <f>EXACT(TRIM(F99),"'"&amp;K99&amp;"'")</f>
        <v/>
      </c>
      <c r="W99" s="18">
        <f>AND(S99:V99)</f>
        <v/>
      </c>
      <c r="X99" s="19">
        <f>TRIM(IF(S99,"",$S$3&amp;" ")&amp;IF(T99,"",$T$3&amp;" ")&amp;IF(U99,"",$U$3&amp;" ")&amp;IF(V99,"",$V$3&amp;" "))</f>
        <v/>
      </c>
      <c r="Y99" s="18">
        <f>EXACT(SUBSTITUTE(A99," ",""),SUBSTITUTE(M99&amp;N99&amp;O99&amp;P99&amp;Q99," ",""))</f>
        <v/>
      </c>
    </row>
    <row r="100">
      <c r="A100" s="15" t="inlineStr">
        <is>
          <t>INSERT INTO MNG_DEAL_LIST_DSP_TBL VALUES(9 , 11 , 5 , 'Y' );</t>
        </is>
      </c>
      <c r="B100" s="16" t="n"/>
      <c r="C100" s="15" t="inlineStr">
        <is>
          <t xml:space="preserve">9 </t>
        </is>
      </c>
      <c r="D100" s="15" t="inlineStr">
        <is>
          <t xml:space="preserve"> 11 </t>
        </is>
      </c>
      <c r="E100" s="15" t="inlineStr">
        <is>
          <t xml:space="preserve"> 5 </t>
        </is>
      </c>
      <c r="F100" s="15" t="inlineStr">
        <is>
          <t xml:space="preserve"> 'Y' </t>
        </is>
      </c>
      <c r="H100" s="17" t="inlineStr">
        <is>
          <t>9</t>
        </is>
      </c>
      <c r="I100" s="17" t="inlineStr">
        <is>
          <t>11</t>
        </is>
      </c>
      <c r="J100" s="17" t="inlineStr">
        <is>
          <t>5</t>
        </is>
      </c>
      <c r="K100" s="17" t="inlineStr">
        <is>
          <t>Y</t>
        </is>
      </c>
      <c r="M100" s="15" t="inlineStr">
        <is>
          <t>INSERT INTO</t>
        </is>
      </c>
      <c r="N100" s="15" t="inlineStr">
        <is>
          <t>MNG_DEAL_LIST_DSP_TBL</t>
        </is>
      </c>
      <c r="O100" s="15" t="inlineStr">
        <is>
          <t>VALUES(</t>
        </is>
      </c>
      <c r="P100" s="15" t="inlineStr">
        <is>
          <t xml:space="preserve">9 , 11 , 5 , 'Y' </t>
        </is>
      </c>
      <c r="Q100" s="15" t="inlineStr">
        <is>
          <t>);</t>
        </is>
      </c>
      <c r="S100" s="18">
        <f>EXACT(TRIM(C100),H100&amp;"")</f>
        <v/>
      </c>
      <c r="T100" s="18">
        <f>EXACT(TRIM(D100),I100&amp;"")</f>
        <v/>
      </c>
      <c r="U100" s="18">
        <f>EXACT(TRIM(E100),J100&amp;"")</f>
        <v/>
      </c>
      <c r="V100" s="18">
        <f>EXACT(TRIM(F100),"'"&amp;K100&amp;"'")</f>
        <v/>
      </c>
      <c r="W100" s="18">
        <f>AND(S100:V100)</f>
        <v/>
      </c>
      <c r="X100" s="19">
        <f>TRIM(IF(S100,"",$S$3&amp;" ")&amp;IF(T100,"",$T$3&amp;" ")&amp;IF(U100,"",$U$3&amp;" ")&amp;IF(V100,"",$V$3&amp;" "))</f>
        <v/>
      </c>
      <c r="Y100" s="18">
        <f>EXACT(SUBSTITUTE(A100," ",""),SUBSTITUTE(M100&amp;N100&amp;O100&amp;P100&amp;Q100," ",""))</f>
        <v/>
      </c>
    </row>
    <row r="101">
      <c r="A101" s="15" t="inlineStr">
        <is>
          <t>INSERT INTO MNG_DEAL_LIST_DSP_TBL VALUES(9 , 11 , 6 , 'Y' );</t>
        </is>
      </c>
      <c r="B101" s="16" t="n"/>
      <c r="C101" s="15" t="inlineStr">
        <is>
          <t xml:space="preserve">9 </t>
        </is>
      </c>
      <c r="D101" s="15" t="inlineStr">
        <is>
          <t xml:space="preserve"> 11 </t>
        </is>
      </c>
      <c r="E101" s="15" t="inlineStr">
        <is>
          <t xml:space="preserve"> 6 </t>
        </is>
      </c>
      <c r="F101" s="15" t="inlineStr">
        <is>
          <t xml:space="preserve"> 'Y' </t>
        </is>
      </c>
      <c r="H101" s="17" t="inlineStr">
        <is>
          <t>9</t>
        </is>
      </c>
      <c r="I101" s="17" t="inlineStr">
        <is>
          <t>11</t>
        </is>
      </c>
      <c r="J101" s="17" t="inlineStr">
        <is>
          <t>6</t>
        </is>
      </c>
      <c r="K101" s="17" t="inlineStr">
        <is>
          <t>Y</t>
        </is>
      </c>
      <c r="M101" s="15" t="inlineStr">
        <is>
          <t>INSERT INTO</t>
        </is>
      </c>
      <c r="N101" s="15" t="inlineStr">
        <is>
          <t>MNG_DEAL_LIST_DSP_TBL</t>
        </is>
      </c>
      <c r="O101" s="15" t="inlineStr">
        <is>
          <t>VALUES(</t>
        </is>
      </c>
      <c r="P101" s="15" t="inlineStr">
        <is>
          <t xml:space="preserve">9 , 11 , 6 , 'Y' </t>
        </is>
      </c>
      <c r="Q101" s="15" t="inlineStr">
        <is>
          <t>);</t>
        </is>
      </c>
      <c r="S101" s="18">
        <f>EXACT(TRIM(C101),H101&amp;"")</f>
        <v/>
      </c>
      <c r="T101" s="18">
        <f>EXACT(TRIM(D101),I101&amp;"")</f>
        <v/>
      </c>
      <c r="U101" s="18">
        <f>EXACT(TRIM(E101),J101&amp;"")</f>
        <v/>
      </c>
      <c r="V101" s="18">
        <f>EXACT(TRIM(F101),"'"&amp;K101&amp;"'")</f>
        <v/>
      </c>
      <c r="W101" s="18">
        <f>AND(S101:V101)</f>
        <v/>
      </c>
      <c r="X101" s="19">
        <f>TRIM(IF(S101,"",$S$3&amp;" ")&amp;IF(T101,"",$T$3&amp;" ")&amp;IF(U101,"",$U$3&amp;" ")&amp;IF(V101,"",$V$3&amp;" "))</f>
        <v/>
      </c>
      <c r="Y101" s="18">
        <f>EXACT(SUBSTITUTE(A101," ",""),SUBSTITUTE(M101&amp;N101&amp;O101&amp;P101&amp;Q101," ",""))</f>
        <v/>
      </c>
    </row>
    <row r="102">
      <c r="A102" s="15" t="inlineStr">
        <is>
          <t>INSERT INTO MNG_DEAL_LIST_DSP_TBL VALUES(9 , 11 , 7 , 'Y' );</t>
        </is>
      </c>
      <c r="B102" s="16" t="n"/>
      <c r="C102" s="15" t="inlineStr">
        <is>
          <t xml:space="preserve">9 </t>
        </is>
      </c>
      <c r="D102" s="15" t="inlineStr">
        <is>
          <t xml:space="preserve"> 11 </t>
        </is>
      </c>
      <c r="E102" s="15" t="inlineStr">
        <is>
          <t xml:space="preserve"> 7 </t>
        </is>
      </c>
      <c r="F102" s="15" t="inlineStr">
        <is>
          <t xml:space="preserve"> 'Y' </t>
        </is>
      </c>
      <c r="H102" s="17" t="inlineStr">
        <is>
          <t>9</t>
        </is>
      </c>
      <c r="I102" s="17" t="inlineStr">
        <is>
          <t>11</t>
        </is>
      </c>
      <c r="J102" s="17" t="inlineStr">
        <is>
          <t>7</t>
        </is>
      </c>
      <c r="K102" s="17" t="inlineStr">
        <is>
          <t>Y</t>
        </is>
      </c>
      <c r="M102" s="15" t="inlineStr">
        <is>
          <t>INSERT INTO</t>
        </is>
      </c>
      <c r="N102" s="15" t="inlineStr">
        <is>
          <t>MNG_DEAL_LIST_DSP_TBL</t>
        </is>
      </c>
      <c r="O102" s="15" t="inlineStr">
        <is>
          <t>VALUES(</t>
        </is>
      </c>
      <c r="P102" s="15" t="inlineStr">
        <is>
          <t xml:space="preserve">9 , 11 , 7 , 'Y' </t>
        </is>
      </c>
      <c r="Q102" s="15" t="inlineStr">
        <is>
          <t>);</t>
        </is>
      </c>
      <c r="S102" s="18">
        <f>EXACT(TRIM(C102),H102&amp;"")</f>
        <v/>
      </c>
      <c r="T102" s="18">
        <f>EXACT(TRIM(D102),I102&amp;"")</f>
        <v/>
      </c>
      <c r="U102" s="18">
        <f>EXACT(TRIM(E102),J102&amp;"")</f>
        <v/>
      </c>
      <c r="V102" s="18">
        <f>EXACT(TRIM(F102),"'"&amp;K102&amp;"'")</f>
        <v/>
      </c>
      <c r="W102" s="18">
        <f>AND(S102:V102)</f>
        <v/>
      </c>
      <c r="X102" s="19">
        <f>TRIM(IF(S102,"",$S$3&amp;" ")&amp;IF(T102,"",$T$3&amp;" ")&amp;IF(U102,"",$U$3&amp;" ")&amp;IF(V102,"",$V$3&amp;" "))</f>
        <v/>
      </c>
      <c r="Y102" s="18">
        <f>EXACT(SUBSTITUTE(A102," ",""),SUBSTITUTE(M102&amp;N102&amp;O102&amp;P102&amp;Q102," ",""))</f>
        <v/>
      </c>
    </row>
    <row r="103">
      <c r="A103" s="15" t="inlineStr">
        <is>
          <t>INSERT INTO MNG_DEAL_LIST_DSP_TBL VALUES(9 , 11 , 8 , 'Y' );</t>
        </is>
      </c>
      <c r="B103" s="16" t="n"/>
      <c r="C103" s="15" t="inlineStr">
        <is>
          <t xml:space="preserve">9 </t>
        </is>
      </c>
      <c r="D103" s="15" t="inlineStr">
        <is>
          <t xml:space="preserve"> 11 </t>
        </is>
      </c>
      <c r="E103" s="15" t="inlineStr">
        <is>
          <t xml:space="preserve"> 8 </t>
        </is>
      </c>
      <c r="F103" s="15" t="inlineStr">
        <is>
          <t xml:space="preserve"> 'Y' </t>
        </is>
      </c>
      <c r="H103" s="17" t="inlineStr">
        <is>
          <t>9</t>
        </is>
      </c>
      <c r="I103" s="17" t="inlineStr">
        <is>
          <t>11</t>
        </is>
      </c>
      <c r="J103" s="17" t="inlineStr">
        <is>
          <t>8</t>
        </is>
      </c>
      <c r="K103" s="17" t="inlineStr">
        <is>
          <t>Y</t>
        </is>
      </c>
      <c r="M103" s="15" t="inlineStr">
        <is>
          <t>INSERT INTO</t>
        </is>
      </c>
      <c r="N103" s="15" t="inlineStr">
        <is>
          <t>MNG_DEAL_LIST_DSP_TBL</t>
        </is>
      </c>
      <c r="O103" s="15" t="inlineStr">
        <is>
          <t>VALUES(</t>
        </is>
      </c>
      <c r="P103" s="15" t="inlineStr">
        <is>
          <t xml:space="preserve">9 , 11 , 8 , 'Y' </t>
        </is>
      </c>
      <c r="Q103" s="15" t="inlineStr">
        <is>
          <t>);</t>
        </is>
      </c>
      <c r="S103" s="18">
        <f>EXACT(TRIM(C103),H103&amp;"")</f>
        <v/>
      </c>
      <c r="T103" s="18">
        <f>EXACT(TRIM(D103),I103&amp;"")</f>
        <v/>
      </c>
      <c r="U103" s="18">
        <f>EXACT(TRIM(E103),J103&amp;"")</f>
        <v/>
      </c>
      <c r="V103" s="18">
        <f>EXACT(TRIM(F103),"'"&amp;K103&amp;"'")</f>
        <v/>
      </c>
      <c r="W103" s="18">
        <f>AND(S103:V103)</f>
        <v/>
      </c>
      <c r="X103" s="19">
        <f>TRIM(IF(S103,"",$S$3&amp;" ")&amp;IF(T103,"",$T$3&amp;" ")&amp;IF(U103,"",$U$3&amp;" ")&amp;IF(V103,"",$V$3&amp;" "))</f>
        <v/>
      </c>
      <c r="Y103" s="18">
        <f>EXACT(SUBSTITUTE(A103," ",""),SUBSTITUTE(M103&amp;N103&amp;O103&amp;P103&amp;Q103," ",""))</f>
        <v/>
      </c>
    </row>
    <row r="104">
      <c r="A104" s="15" t="inlineStr">
        <is>
          <t>INSERT INTO MNG_DEAL_LIST_DSP_TBL VALUES(9 , 11 , 9 , 'Y' );</t>
        </is>
      </c>
      <c r="B104" s="16" t="n"/>
      <c r="C104" s="15" t="inlineStr">
        <is>
          <t xml:space="preserve">9 </t>
        </is>
      </c>
      <c r="D104" s="15" t="inlineStr">
        <is>
          <t xml:space="preserve"> 11 </t>
        </is>
      </c>
      <c r="E104" s="15" t="inlineStr">
        <is>
          <t xml:space="preserve"> 9 </t>
        </is>
      </c>
      <c r="F104" s="15" t="inlineStr">
        <is>
          <t xml:space="preserve"> 'Y' </t>
        </is>
      </c>
      <c r="H104" s="17" t="inlineStr">
        <is>
          <t>9</t>
        </is>
      </c>
      <c r="I104" s="17" t="inlineStr">
        <is>
          <t>11</t>
        </is>
      </c>
      <c r="J104" s="17" t="inlineStr">
        <is>
          <t>9</t>
        </is>
      </c>
      <c r="K104" s="17" t="inlineStr">
        <is>
          <t>Y</t>
        </is>
      </c>
      <c r="M104" s="15" t="inlineStr">
        <is>
          <t>INSERT INTO</t>
        </is>
      </c>
      <c r="N104" s="15" t="inlineStr">
        <is>
          <t>MNG_DEAL_LIST_DSP_TBL</t>
        </is>
      </c>
      <c r="O104" s="15" t="inlineStr">
        <is>
          <t>VALUES(</t>
        </is>
      </c>
      <c r="P104" s="15" t="inlineStr">
        <is>
          <t xml:space="preserve">9 , 11 , 9 , 'Y' </t>
        </is>
      </c>
      <c r="Q104" s="15" t="inlineStr">
        <is>
          <t>);</t>
        </is>
      </c>
      <c r="S104" s="18">
        <f>EXACT(TRIM(C104),H104&amp;"")</f>
        <v/>
      </c>
      <c r="T104" s="18">
        <f>EXACT(TRIM(D104),I104&amp;"")</f>
        <v/>
      </c>
      <c r="U104" s="18">
        <f>EXACT(TRIM(E104),J104&amp;"")</f>
        <v/>
      </c>
      <c r="V104" s="18">
        <f>EXACT(TRIM(F104),"'"&amp;K104&amp;"'")</f>
        <v/>
      </c>
      <c r="W104" s="18">
        <f>AND(S104:V104)</f>
        <v/>
      </c>
      <c r="X104" s="19">
        <f>TRIM(IF(S104,"",$S$3&amp;" ")&amp;IF(T104,"",$T$3&amp;" ")&amp;IF(U104,"",$U$3&amp;" ")&amp;IF(V104,"",$V$3&amp;" "))</f>
        <v/>
      </c>
      <c r="Y104" s="18">
        <f>EXACT(SUBSTITUTE(A104," ",""),SUBSTITUTE(M104&amp;N104&amp;O104&amp;P104&amp;Q104," ",""))</f>
        <v/>
      </c>
    </row>
    <row r="105">
      <c r="A105" s="15" t="inlineStr">
        <is>
          <t>INSERT INTO MNG_DEAL_LIST_DSP_TBL VALUES(9 , 11 , 10 , 'N' );</t>
        </is>
      </c>
      <c r="B105" s="16" t="n"/>
      <c r="C105" s="15" t="inlineStr">
        <is>
          <t xml:space="preserve">9 </t>
        </is>
      </c>
      <c r="D105" s="15" t="inlineStr">
        <is>
          <t xml:space="preserve"> 11 </t>
        </is>
      </c>
      <c r="E105" s="15" t="inlineStr">
        <is>
          <t xml:space="preserve"> 10 </t>
        </is>
      </c>
      <c r="F105" s="15" t="inlineStr">
        <is>
          <t xml:space="preserve"> 'N' </t>
        </is>
      </c>
      <c r="H105" s="17" t="inlineStr">
        <is>
          <t>9</t>
        </is>
      </c>
      <c r="I105" s="17" t="inlineStr">
        <is>
          <t>11</t>
        </is>
      </c>
      <c r="J105" s="17" t="inlineStr">
        <is>
          <t>10</t>
        </is>
      </c>
      <c r="K105" s="17" t="inlineStr">
        <is>
          <t>N</t>
        </is>
      </c>
      <c r="M105" s="15" t="inlineStr">
        <is>
          <t>INSERT INTO</t>
        </is>
      </c>
      <c r="N105" s="15" t="inlineStr">
        <is>
          <t>MNG_DEAL_LIST_DSP_TBL</t>
        </is>
      </c>
      <c r="O105" s="15" t="inlineStr">
        <is>
          <t>VALUES(</t>
        </is>
      </c>
      <c r="P105" s="15" t="inlineStr">
        <is>
          <t xml:space="preserve">9 , 11 , 10 , 'N' </t>
        </is>
      </c>
      <c r="Q105" s="15" t="inlineStr">
        <is>
          <t>);</t>
        </is>
      </c>
      <c r="S105" s="18">
        <f>EXACT(TRIM(C105),H105&amp;"")</f>
        <v/>
      </c>
      <c r="T105" s="18">
        <f>EXACT(TRIM(D105),I105&amp;"")</f>
        <v/>
      </c>
      <c r="U105" s="18">
        <f>EXACT(TRIM(E105),J105&amp;"")</f>
        <v/>
      </c>
      <c r="V105" s="18">
        <f>EXACT(TRIM(F105),"'"&amp;K105&amp;"'")</f>
        <v/>
      </c>
      <c r="W105" s="18">
        <f>AND(S105:V105)</f>
        <v/>
      </c>
      <c r="X105" s="19">
        <f>TRIM(IF(S105,"",$S$3&amp;" ")&amp;IF(T105,"",$T$3&amp;" ")&amp;IF(U105,"",$U$3&amp;" ")&amp;IF(V105,"",$V$3&amp;" "))</f>
        <v/>
      </c>
      <c r="Y105" s="18">
        <f>EXACT(SUBSTITUTE(A105," ",""),SUBSTITUTE(M105&amp;N105&amp;O105&amp;P105&amp;Q105," ",""))</f>
        <v/>
      </c>
    </row>
    <row r="106">
      <c r="A106" s="15" t="inlineStr">
        <is>
          <t>INSERT INTO MNG_DEAL_LIST_DSP_TBL VALUES(9 , 11 , 11 , 'Y' );</t>
        </is>
      </c>
      <c r="B106" s="16" t="n"/>
      <c r="C106" s="15" t="inlineStr">
        <is>
          <t xml:space="preserve">9 </t>
        </is>
      </c>
      <c r="D106" s="15" t="inlineStr">
        <is>
          <t xml:space="preserve"> 11 </t>
        </is>
      </c>
      <c r="E106" s="15" t="inlineStr">
        <is>
          <t xml:space="preserve"> 11 </t>
        </is>
      </c>
      <c r="F106" s="15" t="inlineStr">
        <is>
          <t xml:space="preserve"> 'Y' </t>
        </is>
      </c>
      <c r="H106" s="17" t="inlineStr">
        <is>
          <t>9</t>
        </is>
      </c>
      <c r="I106" s="17" t="inlineStr">
        <is>
          <t>11</t>
        </is>
      </c>
      <c r="J106" s="17" t="inlineStr">
        <is>
          <t>11</t>
        </is>
      </c>
      <c r="K106" s="17" t="inlineStr">
        <is>
          <t>Y</t>
        </is>
      </c>
      <c r="M106" s="15" t="inlineStr">
        <is>
          <t>INSERT INTO</t>
        </is>
      </c>
      <c r="N106" s="15" t="inlineStr">
        <is>
          <t>MNG_DEAL_LIST_DSP_TBL</t>
        </is>
      </c>
      <c r="O106" s="15" t="inlineStr">
        <is>
          <t>VALUES(</t>
        </is>
      </c>
      <c r="P106" s="15" t="inlineStr">
        <is>
          <t xml:space="preserve">9 , 11 , 11 , 'Y' </t>
        </is>
      </c>
      <c r="Q106" s="15" t="inlineStr">
        <is>
          <t>);</t>
        </is>
      </c>
      <c r="S106" s="18">
        <f>EXACT(TRIM(C106),H106&amp;"")</f>
        <v/>
      </c>
      <c r="T106" s="18">
        <f>EXACT(TRIM(D106),I106&amp;"")</f>
        <v/>
      </c>
      <c r="U106" s="18">
        <f>EXACT(TRIM(E106),J106&amp;"")</f>
        <v/>
      </c>
      <c r="V106" s="18">
        <f>EXACT(TRIM(F106),"'"&amp;K106&amp;"'")</f>
        <v/>
      </c>
      <c r="W106" s="18">
        <f>AND(S106:V106)</f>
        <v/>
      </c>
      <c r="X106" s="19">
        <f>TRIM(IF(S106,"",$S$3&amp;" ")&amp;IF(T106,"",$T$3&amp;" ")&amp;IF(U106,"",$U$3&amp;" ")&amp;IF(V106,"",$V$3&amp;" "))</f>
        <v/>
      </c>
      <c r="Y106" s="18">
        <f>EXACT(SUBSTITUTE(A106," ",""),SUBSTITUTE(M106&amp;N106&amp;O106&amp;P106&amp;Q106," ",""))</f>
        <v/>
      </c>
    </row>
    <row r="107">
      <c r="A107" s="15" t="inlineStr">
        <is>
          <t>INSERT INTO MNG_DEAL_LIST_DSP_TBL VALUES(9 , 11 , 12 , 'Y' );</t>
        </is>
      </c>
      <c r="B107" s="16" t="n"/>
      <c r="C107" s="15" t="inlineStr">
        <is>
          <t xml:space="preserve">9 </t>
        </is>
      </c>
      <c r="D107" s="15" t="inlineStr">
        <is>
          <t xml:space="preserve"> 11 </t>
        </is>
      </c>
      <c r="E107" s="15" t="inlineStr">
        <is>
          <t xml:space="preserve"> 12 </t>
        </is>
      </c>
      <c r="F107" s="15" t="inlineStr">
        <is>
          <t xml:space="preserve"> 'Y' </t>
        </is>
      </c>
      <c r="H107" s="17" t="inlineStr">
        <is>
          <t>9</t>
        </is>
      </c>
      <c r="I107" s="17" t="inlineStr">
        <is>
          <t>11</t>
        </is>
      </c>
      <c r="J107" s="17" t="inlineStr">
        <is>
          <t>12</t>
        </is>
      </c>
      <c r="K107" s="17" t="inlineStr">
        <is>
          <t>Y</t>
        </is>
      </c>
      <c r="M107" s="15" t="inlineStr">
        <is>
          <t>INSERT INTO</t>
        </is>
      </c>
      <c r="N107" s="15" t="inlineStr">
        <is>
          <t>MNG_DEAL_LIST_DSP_TBL</t>
        </is>
      </c>
      <c r="O107" s="15" t="inlineStr">
        <is>
          <t>VALUES(</t>
        </is>
      </c>
      <c r="P107" s="15" t="inlineStr">
        <is>
          <t xml:space="preserve">9 , 11 , 12 , 'Y' </t>
        </is>
      </c>
      <c r="Q107" s="15" t="inlineStr">
        <is>
          <t>);</t>
        </is>
      </c>
      <c r="S107" s="18">
        <f>EXACT(TRIM(C107),H107&amp;"")</f>
        <v/>
      </c>
      <c r="T107" s="18">
        <f>EXACT(TRIM(D107),I107&amp;"")</f>
        <v/>
      </c>
      <c r="U107" s="18">
        <f>EXACT(TRIM(E107),J107&amp;"")</f>
        <v/>
      </c>
      <c r="V107" s="18">
        <f>EXACT(TRIM(F107),"'"&amp;K107&amp;"'")</f>
        <v/>
      </c>
      <c r="W107" s="18">
        <f>AND(S107:V107)</f>
        <v/>
      </c>
      <c r="X107" s="19">
        <f>TRIM(IF(S107,"",$S$3&amp;" ")&amp;IF(T107,"",$T$3&amp;" ")&amp;IF(U107,"",$U$3&amp;" ")&amp;IF(V107,"",$V$3&amp;" "))</f>
        <v/>
      </c>
      <c r="Y107" s="18">
        <f>EXACT(SUBSTITUTE(A107," ",""),SUBSTITUTE(M107&amp;N107&amp;O107&amp;P107&amp;Q107," ",""))</f>
        <v/>
      </c>
    </row>
    <row r="108">
      <c r="A108" s="15" t="inlineStr">
        <is>
          <t>INSERT INTO MNG_DEAL_LIST_DSP_TBL VALUES(9 , 11 , 13 , 'Y' );</t>
        </is>
      </c>
      <c r="B108" s="16" t="n"/>
      <c r="C108" s="15" t="inlineStr">
        <is>
          <t xml:space="preserve">9 </t>
        </is>
      </c>
      <c r="D108" s="15" t="inlineStr">
        <is>
          <t xml:space="preserve"> 11 </t>
        </is>
      </c>
      <c r="E108" s="15" t="inlineStr">
        <is>
          <t xml:space="preserve"> 13 </t>
        </is>
      </c>
      <c r="F108" s="15" t="inlineStr">
        <is>
          <t xml:space="preserve"> 'Y' </t>
        </is>
      </c>
      <c r="H108" s="17" t="inlineStr">
        <is>
          <t>9</t>
        </is>
      </c>
      <c r="I108" s="17" t="inlineStr">
        <is>
          <t>11</t>
        </is>
      </c>
      <c r="J108" s="17" t="inlineStr">
        <is>
          <t>13</t>
        </is>
      </c>
      <c r="K108" s="17" t="inlineStr">
        <is>
          <t>Y</t>
        </is>
      </c>
      <c r="M108" s="15" t="inlineStr">
        <is>
          <t>INSERT INTO</t>
        </is>
      </c>
      <c r="N108" s="15" t="inlineStr">
        <is>
          <t>MNG_DEAL_LIST_DSP_TBL</t>
        </is>
      </c>
      <c r="O108" s="15" t="inlineStr">
        <is>
          <t>VALUES(</t>
        </is>
      </c>
      <c r="P108" s="15" t="inlineStr">
        <is>
          <t xml:space="preserve">9 , 11 , 13 , 'Y' </t>
        </is>
      </c>
      <c r="Q108" s="15" t="inlineStr">
        <is>
          <t>);</t>
        </is>
      </c>
      <c r="S108" s="18">
        <f>EXACT(TRIM(C108),H108&amp;"")</f>
        <v/>
      </c>
      <c r="T108" s="18">
        <f>EXACT(TRIM(D108),I108&amp;"")</f>
        <v/>
      </c>
      <c r="U108" s="18">
        <f>EXACT(TRIM(E108),J108&amp;"")</f>
        <v/>
      </c>
      <c r="V108" s="18">
        <f>EXACT(TRIM(F108),"'"&amp;K108&amp;"'")</f>
        <v/>
      </c>
      <c r="W108" s="18">
        <f>AND(S108:V108)</f>
        <v/>
      </c>
      <c r="X108" s="19">
        <f>TRIM(IF(S108,"",$S$3&amp;" ")&amp;IF(T108,"",$T$3&amp;" ")&amp;IF(U108,"",$U$3&amp;" ")&amp;IF(V108,"",$V$3&amp;" "))</f>
        <v/>
      </c>
      <c r="Y108" s="18">
        <f>EXACT(SUBSTITUTE(A108," ",""),SUBSTITUTE(M108&amp;N108&amp;O108&amp;P108&amp;Q108," ",""))</f>
        <v/>
      </c>
    </row>
    <row r="109">
      <c r="A109" s="15" t="inlineStr">
        <is>
          <t>INSERT INTO MNG_DEAL_LIST_DSP_TBL VALUES(9 , 11 , 14 , 'Y' );</t>
        </is>
      </c>
      <c r="B109" s="16" t="n"/>
      <c r="C109" s="15" t="inlineStr">
        <is>
          <t xml:space="preserve">9 </t>
        </is>
      </c>
      <c r="D109" s="15" t="inlineStr">
        <is>
          <t xml:space="preserve"> 11 </t>
        </is>
      </c>
      <c r="E109" s="15" t="inlineStr">
        <is>
          <t xml:space="preserve"> 14 </t>
        </is>
      </c>
      <c r="F109" s="15" t="inlineStr">
        <is>
          <t xml:space="preserve"> 'Y' </t>
        </is>
      </c>
      <c r="H109" s="17" t="inlineStr">
        <is>
          <t>9</t>
        </is>
      </c>
      <c r="I109" s="17" t="inlineStr">
        <is>
          <t>11</t>
        </is>
      </c>
      <c r="J109" s="17" t="inlineStr">
        <is>
          <t>14</t>
        </is>
      </c>
      <c r="K109" s="17" t="inlineStr">
        <is>
          <t>Y</t>
        </is>
      </c>
      <c r="M109" s="15" t="inlineStr">
        <is>
          <t>INSERT INTO</t>
        </is>
      </c>
      <c r="N109" s="15" t="inlineStr">
        <is>
          <t>MNG_DEAL_LIST_DSP_TBL</t>
        </is>
      </c>
      <c r="O109" s="15" t="inlineStr">
        <is>
          <t>VALUES(</t>
        </is>
      </c>
      <c r="P109" s="15" t="inlineStr">
        <is>
          <t xml:space="preserve">9 , 11 , 14 , 'Y' </t>
        </is>
      </c>
      <c r="Q109" s="15" t="inlineStr">
        <is>
          <t>);</t>
        </is>
      </c>
      <c r="S109" s="18">
        <f>EXACT(TRIM(C109),H109&amp;"")</f>
        <v/>
      </c>
      <c r="T109" s="18">
        <f>EXACT(TRIM(D109),I109&amp;"")</f>
        <v/>
      </c>
      <c r="U109" s="18">
        <f>EXACT(TRIM(E109),J109&amp;"")</f>
        <v/>
      </c>
      <c r="V109" s="18">
        <f>EXACT(TRIM(F109),"'"&amp;K109&amp;"'")</f>
        <v/>
      </c>
      <c r="W109" s="18">
        <f>AND(S109:V109)</f>
        <v/>
      </c>
      <c r="X109" s="19">
        <f>TRIM(IF(S109,"",$S$3&amp;" ")&amp;IF(T109,"",$T$3&amp;" ")&amp;IF(U109,"",$U$3&amp;" ")&amp;IF(V109,"",$V$3&amp;" "))</f>
        <v/>
      </c>
      <c r="Y109" s="18">
        <f>EXACT(SUBSTITUTE(A109," ",""),SUBSTITUTE(M109&amp;N109&amp;O109&amp;P109&amp;Q109," ",""))</f>
        <v/>
      </c>
    </row>
    <row r="110">
      <c r="A110" s="15" t="inlineStr">
        <is>
          <t>INSERT INTO MNG_DEAL_LIST_DSP_TBL VALUES(9 , 11 , 15 , 'Y' );</t>
        </is>
      </c>
      <c r="B110" s="16" t="n"/>
      <c r="C110" s="15" t="inlineStr">
        <is>
          <t xml:space="preserve">9 </t>
        </is>
      </c>
      <c r="D110" s="15" t="inlineStr">
        <is>
          <t xml:space="preserve"> 11 </t>
        </is>
      </c>
      <c r="E110" s="15" t="inlineStr">
        <is>
          <t xml:space="preserve"> 15 </t>
        </is>
      </c>
      <c r="F110" s="15" t="inlineStr">
        <is>
          <t xml:space="preserve"> 'Y' </t>
        </is>
      </c>
      <c r="H110" s="17" t="inlineStr">
        <is>
          <t>9</t>
        </is>
      </c>
      <c r="I110" s="17" t="inlineStr">
        <is>
          <t>11</t>
        </is>
      </c>
      <c r="J110" s="17" t="inlineStr">
        <is>
          <t>15</t>
        </is>
      </c>
      <c r="K110" s="17" t="inlineStr">
        <is>
          <t>Y</t>
        </is>
      </c>
      <c r="M110" s="15" t="inlineStr">
        <is>
          <t>INSERT INTO</t>
        </is>
      </c>
      <c r="N110" s="15" t="inlineStr">
        <is>
          <t>MNG_DEAL_LIST_DSP_TBL</t>
        </is>
      </c>
      <c r="O110" s="15" t="inlineStr">
        <is>
          <t>VALUES(</t>
        </is>
      </c>
      <c r="P110" s="15" t="inlineStr">
        <is>
          <t xml:space="preserve">9 , 11 , 15 , 'Y' </t>
        </is>
      </c>
      <c r="Q110" s="15" t="inlineStr">
        <is>
          <t>);</t>
        </is>
      </c>
      <c r="S110" s="18">
        <f>EXACT(TRIM(C110),H110&amp;"")</f>
        <v/>
      </c>
      <c r="T110" s="18">
        <f>EXACT(TRIM(D110),I110&amp;"")</f>
        <v/>
      </c>
      <c r="U110" s="18">
        <f>EXACT(TRIM(E110),J110&amp;"")</f>
        <v/>
      </c>
      <c r="V110" s="18">
        <f>EXACT(TRIM(F110),"'"&amp;K110&amp;"'")</f>
        <v/>
      </c>
      <c r="W110" s="18">
        <f>AND(S110:V110)</f>
        <v/>
      </c>
      <c r="X110" s="19">
        <f>TRIM(IF(S110,"",$S$3&amp;" ")&amp;IF(T110,"",$T$3&amp;" ")&amp;IF(U110,"",$U$3&amp;" ")&amp;IF(V110,"",$V$3&amp;" "))</f>
        <v/>
      </c>
      <c r="Y110" s="18">
        <f>EXACT(SUBSTITUTE(A110," ",""),SUBSTITUTE(M110&amp;N110&amp;O110&amp;P110&amp;Q110," ",""))</f>
        <v/>
      </c>
    </row>
    <row r="111">
      <c r="A111" s="15" t="inlineStr">
        <is>
          <t>INSERT INTO MNG_DEAL_LIST_DSP_TBL VALUES(9 , 11 , 16 , 'Y' );</t>
        </is>
      </c>
      <c r="B111" s="16" t="n"/>
      <c r="C111" s="15" t="inlineStr">
        <is>
          <t xml:space="preserve">9 </t>
        </is>
      </c>
      <c r="D111" s="15" t="inlineStr">
        <is>
          <t xml:space="preserve"> 11 </t>
        </is>
      </c>
      <c r="E111" s="15" t="inlineStr">
        <is>
          <t xml:space="preserve"> 16 </t>
        </is>
      </c>
      <c r="F111" s="15" t="inlineStr">
        <is>
          <t xml:space="preserve"> 'Y' </t>
        </is>
      </c>
      <c r="H111" s="17" t="inlineStr">
        <is>
          <t>9</t>
        </is>
      </c>
      <c r="I111" s="17" t="inlineStr">
        <is>
          <t>11</t>
        </is>
      </c>
      <c r="J111" s="17" t="inlineStr">
        <is>
          <t>16</t>
        </is>
      </c>
      <c r="K111" s="17" t="inlineStr">
        <is>
          <t>Y</t>
        </is>
      </c>
      <c r="M111" s="15" t="inlineStr">
        <is>
          <t>INSERT INTO</t>
        </is>
      </c>
      <c r="N111" s="15" t="inlineStr">
        <is>
          <t>MNG_DEAL_LIST_DSP_TBL</t>
        </is>
      </c>
      <c r="O111" s="15" t="inlineStr">
        <is>
          <t>VALUES(</t>
        </is>
      </c>
      <c r="P111" s="15" t="inlineStr">
        <is>
          <t xml:space="preserve">9 , 11 , 16 , 'Y' </t>
        </is>
      </c>
      <c r="Q111" s="15" t="inlineStr">
        <is>
          <t>);</t>
        </is>
      </c>
      <c r="S111" s="18">
        <f>EXACT(TRIM(C111),H111&amp;"")</f>
        <v/>
      </c>
      <c r="T111" s="18">
        <f>EXACT(TRIM(D111),I111&amp;"")</f>
        <v/>
      </c>
      <c r="U111" s="18">
        <f>EXACT(TRIM(E111),J111&amp;"")</f>
        <v/>
      </c>
      <c r="V111" s="18">
        <f>EXACT(TRIM(F111),"'"&amp;K111&amp;"'")</f>
        <v/>
      </c>
      <c r="W111" s="18">
        <f>AND(S111:V111)</f>
        <v/>
      </c>
      <c r="X111" s="19">
        <f>TRIM(IF(S111,"",$S$3&amp;" ")&amp;IF(T111,"",$T$3&amp;" ")&amp;IF(U111,"",$U$3&amp;" ")&amp;IF(V111,"",$V$3&amp;" "))</f>
        <v/>
      </c>
      <c r="Y111" s="18">
        <f>EXACT(SUBSTITUTE(A111," ",""),SUBSTITUTE(M111&amp;N111&amp;O111&amp;P111&amp;Q111," ",""))</f>
        <v/>
      </c>
    </row>
    <row r="112">
      <c r="A112" s="15" t="inlineStr">
        <is>
          <t>INSERT INTO MNG_DEAL_LIST_DSP_TBL VALUES(9 , 14 , 1 , 'Y' );</t>
        </is>
      </c>
      <c r="B112" s="16" t="n"/>
      <c r="C112" s="15" t="inlineStr">
        <is>
          <t xml:space="preserve">9 </t>
        </is>
      </c>
      <c r="D112" s="15" t="inlineStr">
        <is>
          <t xml:space="preserve"> 14 </t>
        </is>
      </c>
      <c r="E112" s="15" t="inlineStr">
        <is>
          <t xml:space="preserve"> 1 </t>
        </is>
      </c>
      <c r="F112" s="15" t="inlineStr">
        <is>
          <t xml:space="preserve"> 'Y' </t>
        </is>
      </c>
      <c r="H112" s="17" t="inlineStr">
        <is>
          <t>9</t>
        </is>
      </c>
      <c r="I112" s="17" t="inlineStr">
        <is>
          <t>14</t>
        </is>
      </c>
      <c r="J112" s="17" t="inlineStr">
        <is>
          <t>1</t>
        </is>
      </c>
      <c r="K112" s="17" t="inlineStr">
        <is>
          <t>Y</t>
        </is>
      </c>
      <c r="M112" s="15" t="inlineStr">
        <is>
          <t>INSERT INTO</t>
        </is>
      </c>
      <c r="N112" s="15" t="inlineStr">
        <is>
          <t>MNG_DEAL_LIST_DSP_TBL</t>
        </is>
      </c>
      <c r="O112" s="15" t="inlineStr">
        <is>
          <t>VALUES(</t>
        </is>
      </c>
      <c r="P112" s="15" t="inlineStr">
        <is>
          <t xml:space="preserve">9 , 14 , 1 , 'Y' </t>
        </is>
      </c>
      <c r="Q112" s="15" t="inlineStr">
        <is>
          <t>);</t>
        </is>
      </c>
      <c r="S112" s="18">
        <f>EXACT(TRIM(C112),H112&amp;"")</f>
        <v/>
      </c>
      <c r="T112" s="18">
        <f>EXACT(TRIM(D112),I112&amp;"")</f>
        <v/>
      </c>
      <c r="U112" s="18">
        <f>EXACT(TRIM(E112),J112&amp;"")</f>
        <v/>
      </c>
      <c r="V112" s="18">
        <f>EXACT(TRIM(F112),"'"&amp;K112&amp;"'")</f>
        <v/>
      </c>
      <c r="W112" s="18">
        <f>AND(S112:V112)</f>
        <v/>
      </c>
      <c r="X112" s="19">
        <f>TRIM(IF(S112,"",$S$3&amp;" ")&amp;IF(T112,"",$T$3&amp;" ")&amp;IF(U112,"",$U$3&amp;" ")&amp;IF(V112,"",$V$3&amp;" "))</f>
        <v/>
      </c>
      <c r="Y112" s="18">
        <f>EXACT(SUBSTITUTE(A112," ",""),SUBSTITUTE(M112&amp;N112&amp;O112&amp;P112&amp;Q112," ",""))</f>
        <v/>
      </c>
    </row>
    <row r="113">
      <c r="A113" s="15" t="inlineStr">
        <is>
          <t>INSERT INTO MNG_DEAL_LIST_DSP_TBL VALUES(9 , 14 , 2 , 'N' );</t>
        </is>
      </c>
      <c r="B113" s="16" t="n"/>
      <c r="C113" s="15" t="inlineStr">
        <is>
          <t xml:space="preserve">9 </t>
        </is>
      </c>
      <c r="D113" s="15" t="inlineStr">
        <is>
          <t xml:space="preserve"> 14 </t>
        </is>
      </c>
      <c r="E113" s="15" t="inlineStr">
        <is>
          <t xml:space="preserve"> 2 </t>
        </is>
      </c>
      <c r="F113" s="15" t="inlineStr">
        <is>
          <t xml:space="preserve"> 'N' </t>
        </is>
      </c>
      <c r="H113" s="17" t="inlineStr">
        <is>
          <t>9</t>
        </is>
      </c>
      <c r="I113" s="17" t="inlineStr">
        <is>
          <t>14</t>
        </is>
      </c>
      <c r="J113" s="17" t="inlineStr">
        <is>
          <t>2</t>
        </is>
      </c>
      <c r="K113" s="17" t="inlineStr">
        <is>
          <t>N</t>
        </is>
      </c>
      <c r="M113" s="15" t="inlineStr">
        <is>
          <t>INSERT INTO</t>
        </is>
      </c>
      <c r="N113" s="15" t="inlineStr">
        <is>
          <t>MNG_DEAL_LIST_DSP_TBL</t>
        </is>
      </c>
      <c r="O113" s="15" t="inlineStr">
        <is>
          <t>VALUES(</t>
        </is>
      </c>
      <c r="P113" s="15" t="inlineStr">
        <is>
          <t xml:space="preserve">9 , 14 , 2 , 'N' </t>
        </is>
      </c>
      <c r="Q113" s="15" t="inlineStr">
        <is>
          <t>);</t>
        </is>
      </c>
      <c r="S113" s="18">
        <f>EXACT(TRIM(C113),H113&amp;"")</f>
        <v/>
      </c>
      <c r="T113" s="18">
        <f>EXACT(TRIM(D113),I113&amp;"")</f>
        <v/>
      </c>
      <c r="U113" s="18">
        <f>EXACT(TRIM(E113),J113&amp;"")</f>
        <v/>
      </c>
      <c r="V113" s="18">
        <f>EXACT(TRIM(F113),"'"&amp;K113&amp;"'")</f>
        <v/>
      </c>
      <c r="W113" s="18">
        <f>AND(S113:V113)</f>
        <v/>
      </c>
      <c r="X113" s="19">
        <f>TRIM(IF(S113,"",$S$3&amp;" ")&amp;IF(T113,"",$T$3&amp;" ")&amp;IF(U113,"",$U$3&amp;" ")&amp;IF(V113,"",$V$3&amp;" "))</f>
        <v/>
      </c>
      <c r="Y113" s="18">
        <f>EXACT(SUBSTITUTE(A113," ",""),SUBSTITUTE(M113&amp;N113&amp;O113&amp;P113&amp;Q113," ",""))</f>
        <v/>
      </c>
    </row>
    <row r="114">
      <c r="A114" s="15" t="inlineStr">
        <is>
          <t>INSERT INTO MNG_DEAL_LIST_DSP_TBL VALUES(9 , 14 , 3 , 'N' );</t>
        </is>
      </c>
      <c r="B114" s="16" t="n"/>
      <c r="C114" s="15" t="inlineStr">
        <is>
          <t xml:space="preserve">9 </t>
        </is>
      </c>
      <c r="D114" s="15" t="inlineStr">
        <is>
          <t xml:space="preserve"> 14 </t>
        </is>
      </c>
      <c r="E114" s="15" t="inlineStr">
        <is>
          <t xml:space="preserve"> 3 </t>
        </is>
      </c>
      <c r="F114" s="15" t="inlineStr">
        <is>
          <t xml:space="preserve"> 'N' </t>
        </is>
      </c>
      <c r="H114" s="17" t="inlineStr">
        <is>
          <t>9</t>
        </is>
      </c>
      <c r="I114" s="17" t="inlineStr">
        <is>
          <t>14</t>
        </is>
      </c>
      <c r="J114" s="17" t="inlineStr">
        <is>
          <t>3</t>
        </is>
      </c>
      <c r="K114" s="17" t="inlineStr">
        <is>
          <t>N</t>
        </is>
      </c>
      <c r="M114" s="15" t="inlineStr">
        <is>
          <t>INSERT INTO</t>
        </is>
      </c>
      <c r="N114" s="15" t="inlineStr">
        <is>
          <t>MNG_DEAL_LIST_DSP_TBL</t>
        </is>
      </c>
      <c r="O114" s="15" t="inlineStr">
        <is>
          <t>VALUES(</t>
        </is>
      </c>
      <c r="P114" s="15" t="inlineStr">
        <is>
          <t xml:space="preserve">9 , 14 , 3 , 'N' </t>
        </is>
      </c>
      <c r="Q114" s="15" t="inlineStr">
        <is>
          <t>);</t>
        </is>
      </c>
      <c r="S114" s="18">
        <f>EXACT(TRIM(C114),H114&amp;"")</f>
        <v/>
      </c>
      <c r="T114" s="18">
        <f>EXACT(TRIM(D114),I114&amp;"")</f>
        <v/>
      </c>
      <c r="U114" s="18">
        <f>EXACT(TRIM(E114),J114&amp;"")</f>
        <v/>
      </c>
      <c r="V114" s="18">
        <f>EXACT(TRIM(F114),"'"&amp;K114&amp;"'")</f>
        <v/>
      </c>
      <c r="W114" s="18">
        <f>AND(S114:V114)</f>
        <v/>
      </c>
      <c r="X114" s="19">
        <f>TRIM(IF(S114,"",$S$3&amp;" ")&amp;IF(T114,"",$T$3&amp;" ")&amp;IF(U114,"",$U$3&amp;" ")&amp;IF(V114,"",$V$3&amp;" "))</f>
        <v/>
      </c>
      <c r="Y114" s="18">
        <f>EXACT(SUBSTITUTE(A114," ",""),SUBSTITUTE(M114&amp;N114&amp;O114&amp;P114&amp;Q114," ",""))</f>
        <v/>
      </c>
    </row>
    <row r="115">
      <c r="A115" s="15" t="inlineStr">
        <is>
          <t>INSERT INTO MNG_DEAL_LIST_DSP_TBL VALUES(9 , 14 , 4 , 'Y' );</t>
        </is>
      </c>
      <c r="B115" s="16" t="n"/>
      <c r="C115" s="15" t="inlineStr">
        <is>
          <t xml:space="preserve">9 </t>
        </is>
      </c>
      <c r="D115" s="15" t="inlineStr">
        <is>
          <t xml:space="preserve"> 14 </t>
        </is>
      </c>
      <c r="E115" s="15" t="inlineStr">
        <is>
          <t xml:space="preserve"> 4 </t>
        </is>
      </c>
      <c r="F115" s="15" t="inlineStr">
        <is>
          <t xml:space="preserve"> 'Y' </t>
        </is>
      </c>
      <c r="H115" s="17" t="inlineStr">
        <is>
          <t>9</t>
        </is>
      </c>
      <c r="I115" s="17" t="inlineStr">
        <is>
          <t>14</t>
        </is>
      </c>
      <c r="J115" s="17" t="inlineStr">
        <is>
          <t>4</t>
        </is>
      </c>
      <c r="K115" s="17" t="inlineStr">
        <is>
          <t>Y</t>
        </is>
      </c>
      <c r="M115" s="15" t="inlineStr">
        <is>
          <t>INSERT INTO</t>
        </is>
      </c>
      <c r="N115" s="15" t="inlineStr">
        <is>
          <t>MNG_DEAL_LIST_DSP_TBL</t>
        </is>
      </c>
      <c r="O115" s="15" t="inlineStr">
        <is>
          <t>VALUES(</t>
        </is>
      </c>
      <c r="P115" s="15" t="inlineStr">
        <is>
          <t xml:space="preserve">9 , 14 , 4 , 'Y' </t>
        </is>
      </c>
      <c r="Q115" s="15" t="inlineStr">
        <is>
          <t>);</t>
        </is>
      </c>
      <c r="S115" s="18">
        <f>EXACT(TRIM(C115),H115&amp;"")</f>
        <v/>
      </c>
      <c r="T115" s="18">
        <f>EXACT(TRIM(D115),I115&amp;"")</f>
        <v/>
      </c>
      <c r="U115" s="18">
        <f>EXACT(TRIM(E115),J115&amp;"")</f>
        <v/>
      </c>
      <c r="V115" s="18">
        <f>EXACT(TRIM(F115),"'"&amp;K115&amp;"'")</f>
        <v/>
      </c>
      <c r="W115" s="18">
        <f>AND(S115:V115)</f>
        <v/>
      </c>
      <c r="X115" s="19">
        <f>TRIM(IF(S115,"",$S$3&amp;" ")&amp;IF(T115,"",$T$3&amp;" ")&amp;IF(U115,"",$U$3&amp;" ")&amp;IF(V115,"",$V$3&amp;" "))</f>
        <v/>
      </c>
      <c r="Y115" s="18">
        <f>EXACT(SUBSTITUTE(A115," ",""),SUBSTITUTE(M115&amp;N115&amp;O115&amp;P115&amp;Q115," ",""))</f>
        <v/>
      </c>
    </row>
    <row r="116">
      <c r="A116" s="15" t="inlineStr">
        <is>
          <t>INSERT INTO MNG_DEAL_LIST_DSP_TBL VALUES(9 , 14 , 5 , 'Y' );</t>
        </is>
      </c>
      <c r="B116" s="16" t="n"/>
      <c r="C116" s="15" t="inlineStr">
        <is>
          <t xml:space="preserve">9 </t>
        </is>
      </c>
      <c r="D116" s="15" t="inlineStr">
        <is>
          <t xml:space="preserve"> 14 </t>
        </is>
      </c>
      <c r="E116" s="15" t="inlineStr">
        <is>
          <t xml:space="preserve"> 5 </t>
        </is>
      </c>
      <c r="F116" s="15" t="inlineStr">
        <is>
          <t xml:space="preserve"> 'Y' </t>
        </is>
      </c>
      <c r="H116" s="17" t="inlineStr">
        <is>
          <t>9</t>
        </is>
      </c>
      <c r="I116" s="17" t="inlineStr">
        <is>
          <t>14</t>
        </is>
      </c>
      <c r="J116" s="17" t="inlineStr">
        <is>
          <t>5</t>
        </is>
      </c>
      <c r="K116" s="17" t="inlineStr">
        <is>
          <t>Y</t>
        </is>
      </c>
      <c r="M116" s="15" t="inlineStr">
        <is>
          <t>INSERT INTO</t>
        </is>
      </c>
      <c r="N116" s="15" t="inlineStr">
        <is>
          <t>MNG_DEAL_LIST_DSP_TBL</t>
        </is>
      </c>
      <c r="O116" s="15" t="inlineStr">
        <is>
          <t>VALUES(</t>
        </is>
      </c>
      <c r="P116" s="15" t="inlineStr">
        <is>
          <t xml:space="preserve">9 , 14 , 5 , 'Y' </t>
        </is>
      </c>
      <c r="Q116" s="15" t="inlineStr">
        <is>
          <t>);</t>
        </is>
      </c>
      <c r="S116" s="18">
        <f>EXACT(TRIM(C116),H116&amp;"")</f>
        <v/>
      </c>
      <c r="T116" s="18">
        <f>EXACT(TRIM(D116),I116&amp;"")</f>
        <v/>
      </c>
      <c r="U116" s="18">
        <f>EXACT(TRIM(E116),J116&amp;"")</f>
        <v/>
      </c>
      <c r="V116" s="18">
        <f>EXACT(TRIM(F116),"'"&amp;K116&amp;"'")</f>
        <v/>
      </c>
      <c r="W116" s="18">
        <f>AND(S116:V116)</f>
        <v/>
      </c>
      <c r="X116" s="19">
        <f>TRIM(IF(S116,"",$S$3&amp;" ")&amp;IF(T116,"",$T$3&amp;" ")&amp;IF(U116,"",$U$3&amp;" ")&amp;IF(V116,"",$V$3&amp;" "))</f>
        <v/>
      </c>
      <c r="Y116" s="18">
        <f>EXACT(SUBSTITUTE(A116," ",""),SUBSTITUTE(M116&amp;N116&amp;O116&amp;P116&amp;Q116," ",""))</f>
        <v/>
      </c>
    </row>
    <row r="117">
      <c r="A117" s="15" t="inlineStr">
        <is>
          <t>INSERT INTO MNG_DEAL_LIST_DSP_TBL VALUES(9 , 14 , 6 , 'Y' );</t>
        </is>
      </c>
      <c r="B117" s="16" t="n"/>
      <c r="C117" s="15" t="inlineStr">
        <is>
          <t xml:space="preserve">9 </t>
        </is>
      </c>
      <c r="D117" s="15" t="inlineStr">
        <is>
          <t xml:space="preserve"> 14 </t>
        </is>
      </c>
      <c r="E117" s="15" t="inlineStr">
        <is>
          <t xml:space="preserve"> 6 </t>
        </is>
      </c>
      <c r="F117" s="15" t="inlineStr">
        <is>
          <t xml:space="preserve"> 'Y' </t>
        </is>
      </c>
      <c r="H117" s="17" t="inlineStr">
        <is>
          <t>9</t>
        </is>
      </c>
      <c r="I117" s="17" t="inlineStr">
        <is>
          <t>14</t>
        </is>
      </c>
      <c r="J117" s="17" t="inlineStr">
        <is>
          <t>6</t>
        </is>
      </c>
      <c r="K117" s="17" t="inlineStr">
        <is>
          <t>Y</t>
        </is>
      </c>
      <c r="M117" s="15" t="inlineStr">
        <is>
          <t>INSERT INTO</t>
        </is>
      </c>
      <c r="N117" s="15" t="inlineStr">
        <is>
          <t>MNG_DEAL_LIST_DSP_TBL</t>
        </is>
      </c>
      <c r="O117" s="15" t="inlineStr">
        <is>
          <t>VALUES(</t>
        </is>
      </c>
      <c r="P117" s="15" t="inlineStr">
        <is>
          <t xml:space="preserve">9 , 14 , 6 , 'Y' </t>
        </is>
      </c>
      <c r="Q117" s="15" t="inlineStr">
        <is>
          <t>);</t>
        </is>
      </c>
      <c r="S117" s="18">
        <f>EXACT(TRIM(C117),H117&amp;"")</f>
        <v/>
      </c>
      <c r="T117" s="18">
        <f>EXACT(TRIM(D117),I117&amp;"")</f>
        <v/>
      </c>
      <c r="U117" s="18">
        <f>EXACT(TRIM(E117),J117&amp;"")</f>
        <v/>
      </c>
      <c r="V117" s="18">
        <f>EXACT(TRIM(F117),"'"&amp;K117&amp;"'")</f>
        <v/>
      </c>
      <c r="W117" s="18">
        <f>AND(S117:V117)</f>
        <v/>
      </c>
      <c r="X117" s="19">
        <f>TRIM(IF(S117,"",$S$3&amp;" ")&amp;IF(T117,"",$T$3&amp;" ")&amp;IF(U117,"",$U$3&amp;" ")&amp;IF(V117,"",$V$3&amp;" "))</f>
        <v/>
      </c>
      <c r="Y117" s="18">
        <f>EXACT(SUBSTITUTE(A117," ",""),SUBSTITUTE(M117&amp;N117&amp;O117&amp;P117&amp;Q117," ",""))</f>
        <v/>
      </c>
    </row>
    <row r="118">
      <c r="A118" s="15" t="inlineStr">
        <is>
          <t>INSERT INTO MNG_DEAL_LIST_DSP_TBL VALUES(9 , 14 , 7 , 'Y' );</t>
        </is>
      </c>
      <c r="B118" s="16" t="n"/>
      <c r="C118" s="15" t="inlineStr">
        <is>
          <t xml:space="preserve">9 </t>
        </is>
      </c>
      <c r="D118" s="15" t="inlineStr">
        <is>
          <t xml:space="preserve"> 14 </t>
        </is>
      </c>
      <c r="E118" s="15" t="inlineStr">
        <is>
          <t xml:space="preserve"> 7 </t>
        </is>
      </c>
      <c r="F118" s="15" t="inlineStr">
        <is>
          <t xml:space="preserve"> 'Y' </t>
        </is>
      </c>
      <c r="H118" s="17" t="inlineStr">
        <is>
          <t>9</t>
        </is>
      </c>
      <c r="I118" s="17" t="inlineStr">
        <is>
          <t>14</t>
        </is>
      </c>
      <c r="J118" s="17" t="inlineStr">
        <is>
          <t>7</t>
        </is>
      </c>
      <c r="K118" s="17" t="inlineStr">
        <is>
          <t>Y</t>
        </is>
      </c>
      <c r="M118" s="15" t="inlineStr">
        <is>
          <t>INSERT INTO</t>
        </is>
      </c>
      <c r="N118" s="15" t="inlineStr">
        <is>
          <t>MNG_DEAL_LIST_DSP_TBL</t>
        </is>
      </c>
      <c r="O118" s="15" t="inlineStr">
        <is>
          <t>VALUES(</t>
        </is>
      </c>
      <c r="P118" s="15" t="inlineStr">
        <is>
          <t xml:space="preserve">9 , 14 , 7 , 'Y' </t>
        </is>
      </c>
      <c r="Q118" s="15" t="inlineStr">
        <is>
          <t>);</t>
        </is>
      </c>
      <c r="S118" s="18">
        <f>EXACT(TRIM(C118),H118&amp;"")</f>
        <v/>
      </c>
      <c r="T118" s="18">
        <f>EXACT(TRIM(D118),I118&amp;"")</f>
        <v/>
      </c>
      <c r="U118" s="18">
        <f>EXACT(TRIM(E118),J118&amp;"")</f>
        <v/>
      </c>
      <c r="V118" s="18">
        <f>EXACT(TRIM(F118),"'"&amp;K118&amp;"'")</f>
        <v/>
      </c>
      <c r="W118" s="18">
        <f>AND(S118:V118)</f>
        <v/>
      </c>
      <c r="X118" s="19">
        <f>TRIM(IF(S118,"",$S$3&amp;" ")&amp;IF(T118,"",$T$3&amp;" ")&amp;IF(U118,"",$U$3&amp;" ")&amp;IF(V118,"",$V$3&amp;" "))</f>
        <v/>
      </c>
      <c r="Y118" s="18">
        <f>EXACT(SUBSTITUTE(A118," ",""),SUBSTITUTE(M118&amp;N118&amp;O118&amp;P118&amp;Q118," ",""))</f>
        <v/>
      </c>
    </row>
    <row r="119">
      <c r="A119" s="15" t="inlineStr">
        <is>
          <t>INSERT INTO MNG_DEAL_LIST_DSP_TBL VALUES(9 , 14 , 8 , 'Y' );</t>
        </is>
      </c>
      <c r="B119" s="16" t="n"/>
      <c r="C119" s="15" t="inlineStr">
        <is>
          <t xml:space="preserve">9 </t>
        </is>
      </c>
      <c r="D119" s="15" t="inlineStr">
        <is>
          <t xml:space="preserve"> 14 </t>
        </is>
      </c>
      <c r="E119" s="15" t="inlineStr">
        <is>
          <t xml:space="preserve"> 8 </t>
        </is>
      </c>
      <c r="F119" s="15" t="inlineStr">
        <is>
          <t xml:space="preserve"> 'Y' </t>
        </is>
      </c>
      <c r="H119" s="17" t="inlineStr">
        <is>
          <t>9</t>
        </is>
      </c>
      <c r="I119" s="17" t="inlineStr">
        <is>
          <t>14</t>
        </is>
      </c>
      <c r="J119" s="17" t="inlineStr">
        <is>
          <t>8</t>
        </is>
      </c>
      <c r="K119" s="17" t="inlineStr">
        <is>
          <t>Y</t>
        </is>
      </c>
      <c r="M119" s="15" t="inlineStr">
        <is>
          <t>INSERT INTO</t>
        </is>
      </c>
      <c r="N119" s="15" t="inlineStr">
        <is>
          <t>MNG_DEAL_LIST_DSP_TBL</t>
        </is>
      </c>
      <c r="O119" s="15" t="inlineStr">
        <is>
          <t>VALUES(</t>
        </is>
      </c>
      <c r="P119" s="15" t="inlineStr">
        <is>
          <t xml:space="preserve">9 , 14 , 8 , 'Y' </t>
        </is>
      </c>
      <c r="Q119" s="15" t="inlineStr">
        <is>
          <t>);</t>
        </is>
      </c>
      <c r="S119" s="18">
        <f>EXACT(TRIM(C119),H119&amp;"")</f>
        <v/>
      </c>
      <c r="T119" s="18">
        <f>EXACT(TRIM(D119),I119&amp;"")</f>
        <v/>
      </c>
      <c r="U119" s="18">
        <f>EXACT(TRIM(E119),J119&amp;"")</f>
        <v/>
      </c>
      <c r="V119" s="18">
        <f>EXACT(TRIM(F119),"'"&amp;K119&amp;"'")</f>
        <v/>
      </c>
      <c r="W119" s="18">
        <f>AND(S119:V119)</f>
        <v/>
      </c>
      <c r="X119" s="19">
        <f>TRIM(IF(S119,"",$S$3&amp;" ")&amp;IF(T119,"",$T$3&amp;" ")&amp;IF(U119,"",$U$3&amp;" ")&amp;IF(V119,"",$V$3&amp;" "))</f>
        <v/>
      </c>
      <c r="Y119" s="18">
        <f>EXACT(SUBSTITUTE(A119," ",""),SUBSTITUTE(M119&amp;N119&amp;O119&amp;P119&amp;Q119," ",""))</f>
        <v/>
      </c>
    </row>
    <row r="120">
      <c r="A120" s="15" t="inlineStr">
        <is>
          <t>INSERT INTO MNG_DEAL_LIST_DSP_TBL VALUES(9 , 14 , 9 , 'Y' );</t>
        </is>
      </c>
      <c r="B120" s="16" t="n"/>
      <c r="C120" s="15" t="inlineStr">
        <is>
          <t xml:space="preserve">9 </t>
        </is>
      </c>
      <c r="D120" s="15" t="inlineStr">
        <is>
          <t xml:space="preserve"> 14 </t>
        </is>
      </c>
      <c r="E120" s="15" t="inlineStr">
        <is>
          <t xml:space="preserve"> 9 </t>
        </is>
      </c>
      <c r="F120" s="15" t="inlineStr">
        <is>
          <t xml:space="preserve"> 'Y' </t>
        </is>
      </c>
      <c r="H120" s="17" t="inlineStr">
        <is>
          <t>9</t>
        </is>
      </c>
      <c r="I120" s="17" t="inlineStr">
        <is>
          <t>14</t>
        </is>
      </c>
      <c r="J120" s="17" t="inlineStr">
        <is>
          <t>9</t>
        </is>
      </c>
      <c r="K120" s="17" t="inlineStr">
        <is>
          <t>Y</t>
        </is>
      </c>
      <c r="M120" s="15" t="inlineStr">
        <is>
          <t>INSERT INTO</t>
        </is>
      </c>
      <c r="N120" s="15" t="inlineStr">
        <is>
          <t>MNG_DEAL_LIST_DSP_TBL</t>
        </is>
      </c>
      <c r="O120" s="15" t="inlineStr">
        <is>
          <t>VALUES(</t>
        </is>
      </c>
      <c r="P120" s="15" t="inlineStr">
        <is>
          <t xml:space="preserve">9 , 14 , 9 , 'Y' </t>
        </is>
      </c>
      <c r="Q120" s="15" t="inlineStr">
        <is>
          <t>);</t>
        </is>
      </c>
      <c r="S120" s="18">
        <f>EXACT(TRIM(C120),H120&amp;"")</f>
        <v/>
      </c>
      <c r="T120" s="18">
        <f>EXACT(TRIM(D120),I120&amp;"")</f>
        <v/>
      </c>
      <c r="U120" s="18">
        <f>EXACT(TRIM(E120),J120&amp;"")</f>
        <v/>
      </c>
      <c r="V120" s="18">
        <f>EXACT(TRIM(F120),"'"&amp;K120&amp;"'")</f>
        <v/>
      </c>
      <c r="W120" s="18">
        <f>AND(S120:V120)</f>
        <v/>
      </c>
      <c r="X120" s="19">
        <f>TRIM(IF(S120,"",$S$3&amp;" ")&amp;IF(T120,"",$T$3&amp;" ")&amp;IF(U120,"",$U$3&amp;" ")&amp;IF(V120,"",$V$3&amp;" "))</f>
        <v/>
      </c>
      <c r="Y120" s="18">
        <f>EXACT(SUBSTITUTE(A120," ",""),SUBSTITUTE(M120&amp;N120&amp;O120&amp;P120&amp;Q120," ",""))</f>
        <v/>
      </c>
    </row>
    <row r="121">
      <c r="A121" s="15" t="inlineStr">
        <is>
          <t>INSERT INTO MNG_DEAL_LIST_DSP_TBL VALUES(9 , 14 , 10 , 'N' );</t>
        </is>
      </c>
      <c r="B121" s="16" t="n"/>
      <c r="C121" s="15" t="inlineStr">
        <is>
          <t xml:space="preserve">9 </t>
        </is>
      </c>
      <c r="D121" s="15" t="inlineStr">
        <is>
          <t xml:space="preserve"> 14 </t>
        </is>
      </c>
      <c r="E121" s="15" t="inlineStr">
        <is>
          <t xml:space="preserve"> 10 </t>
        </is>
      </c>
      <c r="F121" s="15" t="inlineStr">
        <is>
          <t xml:space="preserve"> 'N' </t>
        </is>
      </c>
      <c r="H121" s="17" t="inlineStr">
        <is>
          <t>9</t>
        </is>
      </c>
      <c r="I121" s="17" t="inlineStr">
        <is>
          <t>14</t>
        </is>
      </c>
      <c r="J121" s="17" t="inlineStr">
        <is>
          <t>10</t>
        </is>
      </c>
      <c r="K121" s="17" t="inlineStr">
        <is>
          <t>N</t>
        </is>
      </c>
      <c r="M121" s="15" t="inlineStr">
        <is>
          <t>INSERT INTO</t>
        </is>
      </c>
      <c r="N121" s="15" t="inlineStr">
        <is>
          <t>MNG_DEAL_LIST_DSP_TBL</t>
        </is>
      </c>
      <c r="O121" s="15" t="inlineStr">
        <is>
          <t>VALUES(</t>
        </is>
      </c>
      <c r="P121" s="15" t="inlineStr">
        <is>
          <t xml:space="preserve">9 , 14 , 10 , 'N' </t>
        </is>
      </c>
      <c r="Q121" s="15" t="inlineStr">
        <is>
          <t>);</t>
        </is>
      </c>
      <c r="S121" s="18">
        <f>EXACT(TRIM(C121),H121&amp;"")</f>
        <v/>
      </c>
      <c r="T121" s="18">
        <f>EXACT(TRIM(D121),I121&amp;"")</f>
        <v/>
      </c>
      <c r="U121" s="18">
        <f>EXACT(TRIM(E121),J121&amp;"")</f>
        <v/>
      </c>
      <c r="V121" s="18">
        <f>EXACT(TRIM(F121),"'"&amp;K121&amp;"'")</f>
        <v/>
      </c>
      <c r="W121" s="18">
        <f>AND(S121:V121)</f>
        <v/>
      </c>
      <c r="X121" s="19">
        <f>TRIM(IF(S121,"",$S$3&amp;" ")&amp;IF(T121,"",$T$3&amp;" ")&amp;IF(U121,"",$U$3&amp;" ")&amp;IF(V121,"",$V$3&amp;" "))</f>
        <v/>
      </c>
      <c r="Y121" s="18">
        <f>EXACT(SUBSTITUTE(A121," ",""),SUBSTITUTE(M121&amp;N121&amp;O121&amp;P121&amp;Q121," ",""))</f>
        <v/>
      </c>
    </row>
    <row r="122">
      <c r="A122" s="15" t="inlineStr">
        <is>
          <t>INSERT INTO MNG_DEAL_LIST_DSP_TBL VALUES(9 , 14 , 11 , 'Y' );</t>
        </is>
      </c>
      <c r="B122" s="16" t="n"/>
      <c r="C122" s="15" t="inlineStr">
        <is>
          <t xml:space="preserve">9 </t>
        </is>
      </c>
      <c r="D122" s="15" t="inlineStr">
        <is>
          <t xml:space="preserve"> 14 </t>
        </is>
      </c>
      <c r="E122" s="15" t="inlineStr">
        <is>
          <t xml:space="preserve"> 11 </t>
        </is>
      </c>
      <c r="F122" s="15" t="inlineStr">
        <is>
          <t xml:space="preserve"> 'Y' </t>
        </is>
      </c>
      <c r="H122" s="17" t="inlineStr">
        <is>
          <t>9</t>
        </is>
      </c>
      <c r="I122" s="17" t="inlineStr">
        <is>
          <t>14</t>
        </is>
      </c>
      <c r="J122" s="17" t="inlineStr">
        <is>
          <t>11</t>
        </is>
      </c>
      <c r="K122" s="17" t="inlineStr">
        <is>
          <t>Y</t>
        </is>
      </c>
      <c r="M122" s="15" t="inlineStr">
        <is>
          <t>INSERT INTO</t>
        </is>
      </c>
      <c r="N122" s="15" t="inlineStr">
        <is>
          <t>MNG_DEAL_LIST_DSP_TBL</t>
        </is>
      </c>
      <c r="O122" s="15" t="inlineStr">
        <is>
          <t>VALUES(</t>
        </is>
      </c>
      <c r="P122" s="15" t="inlineStr">
        <is>
          <t xml:space="preserve">9 , 14 , 11 , 'Y' </t>
        </is>
      </c>
      <c r="Q122" s="15" t="inlineStr">
        <is>
          <t>);</t>
        </is>
      </c>
      <c r="S122" s="18">
        <f>EXACT(TRIM(C122),H122&amp;"")</f>
        <v/>
      </c>
      <c r="T122" s="18">
        <f>EXACT(TRIM(D122),I122&amp;"")</f>
        <v/>
      </c>
      <c r="U122" s="18">
        <f>EXACT(TRIM(E122),J122&amp;"")</f>
        <v/>
      </c>
      <c r="V122" s="18">
        <f>EXACT(TRIM(F122),"'"&amp;K122&amp;"'")</f>
        <v/>
      </c>
      <c r="W122" s="18">
        <f>AND(S122:V122)</f>
        <v/>
      </c>
      <c r="X122" s="19">
        <f>TRIM(IF(S122,"",$S$3&amp;" ")&amp;IF(T122,"",$T$3&amp;" ")&amp;IF(U122,"",$U$3&amp;" ")&amp;IF(V122,"",$V$3&amp;" "))</f>
        <v/>
      </c>
      <c r="Y122" s="18">
        <f>EXACT(SUBSTITUTE(A122," ",""),SUBSTITUTE(M122&amp;N122&amp;O122&amp;P122&amp;Q122," ",""))</f>
        <v/>
      </c>
    </row>
    <row r="123">
      <c r="A123" s="15" t="inlineStr">
        <is>
          <t>INSERT INTO MNG_DEAL_LIST_DSP_TBL VALUES(9 , 14 , 12 , 'Y' );</t>
        </is>
      </c>
      <c r="B123" s="16" t="n"/>
      <c r="C123" s="15" t="inlineStr">
        <is>
          <t xml:space="preserve">9 </t>
        </is>
      </c>
      <c r="D123" s="15" t="inlineStr">
        <is>
          <t xml:space="preserve"> 14 </t>
        </is>
      </c>
      <c r="E123" s="15" t="inlineStr">
        <is>
          <t xml:space="preserve"> 12 </t>
        </is>
      </c>
      <c r="F123" s="15" t="inlineStr">
        <is>
          <t xml:space="preserve"> 'Y' </t>
        </is>
      </c>
      <c r="H123" s="17" t="inlineStr">
        <is>
          <t>9</t>
        </is>
      </c>
      <c r="I123" s="17" t="inlineStr">
        <is>
          <t>14</t>
        </is>
      </c>
      <c r="J123" s="17" t="inlineStr">
        <is>
          <t>12</t>
        </is>
      </c>
      <c r="K123" s="17" t="inlineStr">
        <is>
          <t>Y</t>
        </is>
      </c>
      <c r="M123" s="15" t="inlineStr">
        <is>
          <t>INSERT INTO</t>
        </is>
      </c>
      <c r="N123" s="15" t="inlineStr">
        <is>
          <t>MNG_DEAL_LIST_DSP_TBL</t>
        </is>
      </c>
      <c r="O123" s="15" t="inlineStr">
        <is>
          <t>VALUES(</t>
        </is>
      </c>
      <c r="P123" s="15" t="inlineStr">
        <is>
          <t xml:space="preserve">9 , 14 , 12 , 'Y' </t>
        </is>
      </c>
      <c r="Q123" s="15" t="inlineStr">
        <is>
          <t>);</t>
        </is>
      </c>
      <c r="S123" s="18">
        <f>EXACT(TRIM(C123),H123&amp;"")</f>
        <v/>
      </c>
      <c r="T123" s="18">
        <f>EXACT(TRIM(D123),I123&amp;"")</f>
        <v/>
      </c>
      <c r="U123" s="18">
        <f>EXACT(TRIM(E123),J123&amp;"")</f>
        <v/>
      </c>
      <c r="V123" s="18">
        <f>EXACT(TRIM(F123),"'"&amp;K123&amp;"'")</f>
        <v/>
      </c>
      <c r="W123" s="18">
        <f>AND(S123:V123)</f>
        <v/>
      </c>
      <c r="X123" s="19">
        <f>TRIM(IF(S123,"",$S$3&amp;" ")&amp;IF(T123,"",$T$3&amp;" ")&amp;IF(U123,"",$U$3&amp;" ")&amp;IF(V123,"",$V$3&amp;" "))</f>
        <v/>
      </c>
      <c r="Y123" s="18">
        <f>EXACT(SUBSTITUTE(A123," ",""),SUBSTITUTE(M123&amp;N123&amp;O123&amp;P123&amp;Q123," ",""))</f>
        <v/>
      </c>
    </row>
    <row r="124">
      <c r="A124" s="15" t="inlineStr">
        <is>
          <t>INSERT INTO MNG_DEAL_LIST_DSP_TBL VALUES(9 , 14 , 13 , 'Y' );</t>
        </is>
      </c>
      <c r="B124" s="16" t="n"/>
      <c r="C124" s="15" t="inlineStr">
        <is>
          <t xml:space="preserve">9 </t>
        </is>
      </c>
      <c r="D124" s="15" t="inlineStr">
        <is>
          <t xml:space="preserve"> 14 </t>
        </is>
      </c>
      <c r="E124" s="15" t="inlineStr">
        <is>
          <t xml:space="preserve"> 13 </t>
        </is>
      </c>
      <c r="F124" s="15" t="inlineStr">
        <is>
          <t xml:space="preserve"> 'Y' </t>
        </is>
      </c>
      <c r="H124" s="17" t="inlineStr">
        <is>
          <t>9</t>
        </is>
      </c>
      <c r="I124" s="17" t="inlineStr">
        <is>
          <t>14</t>
        </is>
      </c>
      <c r="J124" s="17" t="inlineStr">
        <is>
          <t>13</t>
        </is>
      </c>
      <c r="K124" s="17" t="inlineStr">
        <is>
          <t>Y</t>
        </is>
      </c>
      <c r="M124" s="15" t="inlineStr">
        <is>
          <t>INSERT INTO</t>
        </is>
      </c>
      <c r="N124" s="15" t="inlineStr">
        <is>
          <t>MNG_DEAL_LIST_DSP_TBL</t>
        </is>
      </c>
      <c r="O124" s="15" t="inlineStr">
        <is>
          <t>VALUES(</t>
        </is>
      </c>
      <c r="P124" s="15" t="inlineStr">
        <is>
          <t xml:space="preserve">9 , 14 , 13 , 'Y' </t>
        </is>
      </c>
      <c r="Q124" s="15" t="inlineStr">
        <is>
          <t>);</t>
        </is>
      </c>
      <c r="S124" s="18">
        <f>EXACT(TRIM(C124),H124&amp;"")</f>
        <v/>
      </c>
      <c r="T124" s="18">
        <f>EXACT(TRIM(D124),I124&amp;"")</f>
        <v/>
      </c>
      <c r="U124" s="18">
        <f>EXACT(TRIM(E124),J124&amp;"")</f>
        <v/>
      </c>
      <c r="V124" s="18">
        <f>EXACT(TRIM(F124),"'"&amp;K124&amp;"'")</f>
        <v/>
      </c>
      <c r="W124" s="18">
        <f>AND(S124:V124)</f>
        <v/>
      </c>
      <c r="X124" s="19">
        <f>TRIM(IF(S124,"",$S$3&amp;" ")&amp;IF(T124,"",$T$3&amp;" ")&amp;IF(U124,"",$U$3&amp;" ")&amp;IF(V124,"",$V$3&amp;" "))</f>
        <v/>
      </c>
      <c r="Y124" s="18">
        <f>EXACT(SUBSTITUTE(A124," ",""),SUBSTITUTE(M124&amp;N124&amp;O124&amp;P124&amp;Q124," ",""))</f>
        <v/>
      </c>
    </row>
    <row r="125">
      <c r="A125" s="15" t="inlineStr">
        <is>
          <t>INSERT INTO MNG_DEAL_LIST_DSP_TBL VALUES(9 , 14 , 14 , 'Y' );</t>
        </is>
      </c>
      <c r="B125" s="16" t="n"/>
      <c r="C125" s="15" t="inlineStr">
        <is>
          <t xml:space="preserve">9 </t>
        </is>
      </c>
      <c r="D125" s="15" t="inlineStr">
        <is>
          <t xml:space="preserve"> 14 </t>
        </is>
      </c>
      <c r="E125" s="15" t="inlineStr">
        <is>
          <t xml:space="preserve"> 14 </t>
        </is>
      </c>
      <c r="F125" s="15" t="inlineStr">
        <is>
          <t xml:space="preserve"> 'Y' </t>
        </is>
      </c>
      <c r="H125" s="17" t="inlineStr">
        <is>
          <t>9</t>
        </is>
      </c>
      <c r="I125" s="17" t="inlineStr">
        <is>
          <t>14</t>
        </is>
      </c>
      <c r="J125" s="17" t="inlineStr">
        <is>
          <t>14</t>
        </is>
      </c>
      <c r="K125" s="17" t="inlineStr">
        <is>
          <t>Y</t>
        </is>
      </c>
      <c r="M125" s="15" t="inlineStr">
        <is>
          <t>INSERT INTO</t>
        </is>
      </c>
      <c r="N125" s="15" t="inlineStr">
        <is>
          <t>MNG_DEAL_LIST_DSP_TBL</t>
        </is>
      </c>
      <c r="O125" s="15" t="inlineStr">
        <is>
          <t>VALUES(</t>
        </is>
      </c>
      <c r="P125" s="15" t="inlineStr">
        <is>
          <t xml:space="preserve">9 , 14 , 14 , 'Y' </t>
        </is>
      </c>
      <c r="Q125" s="15" t="inlineStr">
        <is>
          <t>);</t>
        </is>
      </c>
      <c r="S125" s="18">
        <f>EXACT(TRIM(C125),H125&amp;"")</f>
        <v/>
      </c>
      <c r="T125" s="18">
        <f>EXACT(TRIM(D125),I125&amp;"")</f>
        <v/>
      </c>
      <c r="U125" s="18">
        <f>EXACT(TRIM(E125),J125&amp;"")</f>
        <v/>
      </c>
      <c r="V125" s="18">
        <f>EXACT(TRIM(F125),"'"&amp;K125&amp;"'")</f>
        <v/>
      </c>
      <c r="W125" s="18">
        <f>AND(S125:V125)</f>
        <v/>
      </c>
      <c r="X125" s="19">
        <f>TRIM(IF(S125,"",$S$3&amp;" ")&amp;IF(T125,"",$T$3&amp;" ")&amp;IF(U125,"",$U$3&amp;" ")&amp;IF(V125,"",$V$3&amp;" "))</f>
        <v/>
      </c>
      <c r="Y125" s="18">
        <f>EXACT(SUBSTITUTE(A125," ",""),SUBSTITUTE(M125&amp;N125&amp;O125&amp;P125&amp;Q125," ",""))</f>
        <v/>
      </c>
    </row>
    <row r="126">
      <c r="A126" s="15" t="inlineStr">
        <is>
          <t>INSERT INTO MNG_DEAL_LIST_DSP_TBL VALUES(9 , 14 , 15 , 'Y' );</t>
        </is>
      </c>
      <c r="B126" s="16" t="n"/>
      <c r="C126" s="15" t="inlineStr">
        <is>
          <t xml:space="preserve">9 </t>
        </is>
      </c>
      <c r="D126" s="15" t="inlineStr">
        <is>
          <t xml:space="preserve"> 14 </t>
        </is>
      </c>
      <c r="E126" s="15" t="inlineStr">
        <is>
          <t xml:space="preserve"> 15 </t>
        </is>
      </c>
      <c r="F126" s="15" t="inlineStr">
        <is>
          <t xml:space="preserve"> 'Y' </t>
        </is>
      </c>
      <c r="H126" s="17" t="inlineStr">
        <is>
          <t>9</t>
        </is>
      </c>
      <c r="I126" s="17" t="inlineStr">
        <is>
          <t>14</t>
        </is>
      </c>
      <c r="J126" s="17" t="inlineStr">
        <is>
          <t>15</t>
        </is>
      </c>
      <c r="K126" s="17" t="inlineStr">
        <is>
          <t>Y</t>
        </is>
      </c>
      <c r="M126" s="15" t="inlineStr">
        <is>
          <t>INSERT INTO</t>
        </is>
      </c>
      <c r="N126" s="15" t="inlineStr">
        <is>
          <t>MNG_DEAL_LIST_DSP_TBL</t>
        </is>
      </c>
      <c r="O126" s="15" t="inlineStr">
        <is>
          <t>VALUES(</t>
        </is>
      </c>
      <c r="P126" s="15" t="inlineStr">
        <is>
          <t xml:space="preserve">9 , 14 , 15 , 'Y' </t>
        </is>
      </c>
      <c r="Q126" s="15" t="inlineStr">
        <is>
          <t>);</t>
        </is>
      </c>
      <c r="S126" s="18">
        <f>EXACT(TRIM(C126),H126&amp;"")</f>
        <v/>
      </c>
      <c r="T126" s="18">
        <f>EXACT(TRIM(D126),I126&amp;"")</f>
        <v/>
      </c>
      <c r="U126" s="18">
        <f>EXACT(TRIM(E126),J126&amp;"")</f>
        <v/>
      </c>
      <c r="V126" s="18">
        <f>EXACT(TRIM(F126),"'"&amp;K126&amp;"'")</f>
        <v/>
      </c>
      <c r="W126" s="18">
        <f>AND(S126:V126)</f>
        <v/>
      </c>
      <c r="X126" s="19">
        <f>TRIM(IF(S126,"",$S$3&amp;" ")&amp;IF(T126,"",$T$3&amp;" ")&amp;IF(U126,"",$U$3&amp;" ")&amp;IF(V126,"",$V$3&amp;" "))</f>
        <v/>
      </c>
      <c r="Y126" s="18">
        <f>EXACT(SUBSTITUTE(A126," ",""),SUBSTITUTE(M126&amp;N126&amp;O126&amp;P126&amp;Q126," ",""))</f>
        <v/>
      </c>
    </row>
    <row r="127">
      <c r="A127" s="15" t="inlineStr">
        <is>
          <t>INSERT INTO MNG_DEAL_LIST_DSP_TBL VALUES(9 , 14 , 16 , 'Y' );</t>
        </is>
      </c>
      <c r="B127" s="16" t="n"/>
      <c r="C127" s="15" t="inlineStr">
        <is>
          <t xml:space="preserve">9 </t>
        </is>
      </c>
      <c r="D127" s="15" t="inlineStr">
        <is>
          <t xml:space="preserve"> 14 </t>
        </is>
      </c>
      <c r="E127" s="15" t="inlineStr">
        <is>
          <t xml:space="preserve"> 16 </t>
        </is>
      </c>
      <c r="F127" s="15" t="inlineStr">
        <is>
          <t xml:space="preserve"> 'Y' </t>
        </is>
      </c>
      <c r="H127" s="17" t="inlineStr">
        <is>
          <t>9</t>
        </is>
      </c>
      <c r="I127" s="17" t="inlineStr">
        <is>
          <t>14</t>
        </is>
      </c>
      <c r="J127" s="17" t="inlineStr">
        <is>
          <t>16</t>
        </is>
      </c>
      <c r="K127" s="17" t="inlineStr">
        <is>
          <t>Y</t>
        </is>
      </c>
      <c r="M127" s="15" t="inlineStr">
        <is>
          <t>INSERT INTO</t>
        </is>
      </c>
      <c r="N127" s="15" t="inlineStr">
        <is>
          <t>MNG_DEAL_LIST_DSP_TBL</t>
        </is>
      </c>
      <c r="O127" s="15" t="inlineStr">
        <is>
          <t>VALUES(</t>
        </is>
      </c>
      <c r="P127" s="15" t="inlineStr">
        <is>
          <t xml:space="preserve">9 , 14 , 16 , 'Y' </t>
        </is>
      </c>
      <c r="Q127" s="15" t="inlineStr">
        <is>
          <t>);</t>
        </is>
      </c>
      <c r="S127" s="18">
        <f>EXACT(TRIM(C127),H127&amp;"")</f>
        <v/>
      </c>
      <c r="T127" s="18">
        <f>EXACT(TRIM(D127),I127&amp;"")</f>
        <v/>
      </c>
      <c r="U127" s="18">
        <f>EXACT(TRIM(E127),J127&amp;"")</f>
        <v/>
      </c>
      <c r="V127" s="18">
        <f>EXACT(TRIM(F127),"'"&amp;K127&amp;"'")</f>
        <v/>
      </c>
      <c r="W127" s="18">
        <f>AND(S127:V127)</f>
        <v/>
      </c>
      <c r="X127" s="19">
        <f>TRIM(IF(S127,"",$S$3&amp;" ")&amp;IF(T127,"",$T$3&amp;" ")&amp;IF(U127,"",$U$3&amp;" ")&amp;IF(V127,"",$V$3&amp;" "))</f>
        <v/>
      </c>
      <c r="Y127" s="18">
        <f>EXACT(SUBSTITUTE(A127," ",""),SUBSTITUTE(M127&amp;N127&amp;O127&amp;P127&amp;Q127," ",""))</f>
        <v/>
      </c>
    </row>
    <row r="128">
      <c r="A128" s="15" t="inlineStr">
        <is>
          <t>INSERT INTO MNG_DEAL_LIST_DSP_TBL VALUES(9 , 15 , 1 , 'Y' );</t>
        </is>
      </c>
      <c r="B128" s="16" t="n"/>
      <c r="C128" s="15" t="inlineStr">
        <is>
          <t xml:space="preserve">9 </t>
        </is>
      </c>
      <c r="D128" s="15" t="inlineStr">
        <is>
          <t xml:space="preserve"> 15 </t>
        </is>
      </c>
      <c r="E128" s="15" t="inlineStr">
        <is>
          <t xml:space="preserve"> 1 </t>
        </is>
      </c>
      <c r="F128" s="15" t="inlineStr">
        <is>
          <t xml:space="preserve"> 'Y' </t>
        </is>
      </c>
      <c r="H128" s="17" t="inlineStr">
        <is>
          <t>9</t>
        </is>
      </c>
      <c r="I128" s="17" t="inlineStr">
        <is>
          <t>15</t>
        </is>
      </c>
      <c r="J128" s="17" t="inlineStr">
        <is>
          <t>1</t>
        </is>
      </c>
      <c r="K128" s="17" t="inlineStr">
        <is>
          <t>Y</t>
        </is>
      </c>
      <c r="M128" s="15" t="inlineStr">
        <is>
          <t>INSERT INTO</t>
        </is>
      </c>
      <c r="N128" s="15" t="inlineStr">
        <is>
          <t>MNG_DEAL_LIST_DSP_TBL</t>
        </is>
      </c>
      <c r="O128" s="15" t="inlineStr">
        <is>
          <t>VALUES(</t>
        </is>
      </c>
      <c r="P128" s="15" t="inlineStr">
        <is>
          <t xml:space="preserve">9 , 15 , 1 , 'Y' </t>
        </is>
      </c>
      <c r="Q128" s="15" t="inlineStr">
        <is>
          <t>);</t>
        </is>
      </c>
      <c r="S128" s="18">
        <f>EXACT(TRIM(C128),H128&amp;"")</f>
        <v/>
      </c>
      <c r="T128" s="18">
        <f>EXACT(TRIM(D128),I128&amp;"")</f>
        <v/>
      </c>
      <c r="U128" s="18">
        <f>EXACT(TRIM(E128),J128&amp;"")</f>
        <v/>
      </c>
      <c r="V128" s="18">
        <f>EXACT(TRIM(F128),"'"&amp;K128&amp;"'")</f>
        <v/>
      </c>
      <c r="W128" s="18">
        <f>AND(S128:V128)</f>
        <v/>
      </c>
      <c r="X128" s="19">
        <f>TRIM(IF(S128,"",$S$3&amp;" ")&amp;IF(T128,"",$T$3&amp;" ")&amp;IF(U128,"",$U$3&amp;" ")&amp;IF(V128,"",$V$3&amp;" "))</f>
        <v/>
      </c>
      <c r="Y128" s="18">
        <f>EXACT(SUBSTITUTE(A128," ",""),SUBSTITUTE(M128&amp;N128&amp;O128&amp;P128&amp;Q128," ",""))</f>
        <v/>
      </c>
    </row>
    <row r="129">
      <c r="A129" s="15" t="inlineStr">
        <is>
          <t>INSERT INTO MNG_DEAL_LIST_DSP_TBL VALUES(9 , 15 , 2 , 'N' );</t>
        </is>
      </c>
      <c r="B129" s="16" t="n"/>
      <c r="C129" s="15" t="inlineStr">
        <is>
          <t xml:space="preserve">9 </t>
        </is>
      </c>
      <c r="D129" s="15" t="inlineStr">
        <is>
          <t xml:space="preserve"> 15 </t>
        </is>
      </c>
      <c r="E129" s="15" t="inlineStr">
        <is>
          <t xml:space="preserve"> 2 </t>
        </is>
      </c>
      <c r="F129" s="15" t="inlineStr">
        <is>
          <t xml:space="preserve"> 'N' </t>
        </is>
      </c>
      <c r="H129" s="17" t="inlineStr">
        <is>
          <t>9</t>
        </is>
      </c>
      <c r="I129" s="17" t="inlineStr">
        <is>
          <t>15</t>
        </is>
      </c>
      <c r="J129" s="17" t="inlineStr">
        <is>
          <t>2</t>
        </is>
      </c>
      <c r="K129" s="17" t="inlineStr">
        <is>
          <t>N</t>
        </is>
      </c>
      <c r="M129" s="15" t="inlineStr">
        <is>
          <t>INSERT INTO</t>
        </is>
      </c>
      <c r="N129" s="15" t="inlineStr">
        <is>
          <t>MNG_DEAL_LIST_DSP_TBL</t>
        </is>
      </c>
      <c r="O129" s="15" t="inlineStr">
        <is>
          <t>VALUES(</t>
        </is>
      </c>
      <c r="P129" s="15" t="inlineStr">
        <is>
          <t xml:space="preserve">9 , 15 , 2 , 'N' </t>
        </is>
      </c>
      <c r="Q129" s="15" t="inlineStr">
        <is>
          <t>);</t>
        </is>
      </c>
      <c r="S129" s="18">
        <f>EXACT(TRIM(C129),H129&amp;"")</f>
        <v/>
      </c>
      <c r="T129" s="18">
        <f>EXACT(TRIM(D129),I129&amp;"")</f>
        <v/>
      </c>
      <c r="U129" s="18">
        <f>EXACT(TRIM(E129),J129&amp;"")</f>
        <v/>
      </c>
      <c r="V129" s="18">
        <f>EXACT(TRIM(F129),"'"&amp;K129&amp;"'")</f>
        <v/>
      </c>
      <c r="W129" s="18">
        <f>AND(S129:V129)</f>
        <v/>
      </c>
      <c r="X129" s="19">
        <f>TRIM(IF(S129,"",$S$3&amp;" ")&amp;IF(T129,"",$T$3&amp;" ")&amp;IF(U129,"",$U$3&amp;" ")&amp;IF(V129,"",$V$3&amp;" "))</f>
        <v/>
      </c>
      <c r="Y129" s="18">
        <f>EXACT(SUBSTITUTE(A129," ",""),SUBSTITUTE(M129&amp;N129&amp;O129&amp;P129&amp;Q129," ",""))</f>
        <v/>
      </c>
    </row>
    <row r="130">
      <c r="A130" s="15" t="inlineStr">
        <is>
          <t>INSERT INTO MNG_DEAL_LIST_DSP_TBL VALUES(9 , 15 , 3 , 'N' );</t>
        </is>
      </c>
      <c r="B130" s="16" t="n"/>
      <c r="C130" s="15" t="inlineStr">
        <is>
          <t xml:space="preserve">9 </t>
        </is>
      </c>
      <c r="D130" s="15" t="inlineStr">
        <is>
          <t xml:space="preserve"> 15 </t>
        </is>
      </c>
      <c r="E130" s="15" t="inlineStr">
        <is>
          <t xml:space="preserve"> 3 </t>
        </is>
      </c>
      <c r="F130" s="15" t="inlineStr">
        <is>
          <t xml:space="preserve"> 'N' </t>
        </is>
      </c>
      <c r="H130" s="17" t="inlineStr">
        <is>
          <t>9</t>
        </is>
      </c>
      <c r="I130" s="17" t="inlineStr">
        <is>
          <t>15</t>
        </is>
      </c>
      <c r="J130" s="17" t="inlineStr">
        <is>
          <t>3</t>
        </is>
      </c>
      <c r="K130" s="17" t="inlineStr">
        <is>
          <t>N</t>
        </is>
      </c>
      <c r="M130" s="15" t="inlineStr">
        <is>
          <t>INSERT INTO</t>
        </is>
      </c>
      <c r="N130" s="15" t="inlineStr">
        <is>
          <t>MNG_DEAL_LIST_DSP_TBL</t>
        </is>
      </c>
      <c r="O130" s="15" t="inlineStr">
        <is>
          <t>VALUES(</t>
        </is>
      </c>
      <c r="P130" s="15" t="inlineStr">
        <is>
          <t xml:space="preserve">9 , 15 , 3 , 'N' </t>
        </is>
      </c>
      <c r="Q130" s="15" t="inlineStr">
        <is>
          <t>);</t>
        </is>
      </c>
      <c r="S130" s="18">
        <f>EXACT(TRIM(C130),H130&amp;"")</f>
        <v/>
      </c>
      <c r="T130" s="18">
        <f>EXACT(TRIM(D130),I130&amp;"")</f>
        <v/>
      </c>
      <c r="U130" s="18">
        <f>EXACT(TRIM(E130),J130&amp;"")</f>
        <v/>
      </c>
      <c r="V130" s="18">
        <f>EXACT(TRIM(F130),"'"&amp;K130&amp;"'")</f>
        <v/>
      </c>
      <c r="W130" s="18">
        <f>AND(S130:V130)</f>
        <v/>
      </c>
      <c r="X130" s="19">
        <f>TRIM(IF(S130,"",$S$3&amp;" ")&amp;IF(T130,"",$T$3&amp;" ")&amp;IF(U130,"",$U$3&amp;" ")&amp;IF(V130,"",$V$3&amp;" "))</f>
        <v/>
      </c>
      <c r="Y130" s="18">
        <f>EXACT(SUBSTITUTE(A130," ",""),SUBSTITUTE(M130&amp;N130&amp;O130&amp;P130&amp;Q130," ",""))</f>
        <v/>
      </c>
    </row>
    <row r="131">
      <c r="A131" s="15" t="inlineStr">
        <is>
          <t>INSERT INTO MNG_DEAL_LIST_DSP_TBL VALUES(9 , 15 , 4 , 'Y' );</t>
        </is>
      </c>
      <c r="B131" s="16" t="n"/>
      <c r="C131" s="15" t="inlineStr">
        <is>
          <t xml:space="preserve">9 </t>
        </is>
      </c>
      <c r="D131" s="15" t="inlineStr">
        <is>
          <t xml:space="preserve"> 15 </t>
        </is>
      </c>
      <c r="E131" s="15" t="inlineStr">
        <is>
          <t xml:space="preserve"> 4 </t>
        </is>
      </c>
      <c r="F131" s="15" t="inlineStr">
        <is>
          <t xml:space="preserve"> 'Y' </t>
        </is>
      </c>
      <c r="H131" s="17" t="inlineStr">
        <is>
          <t>9</t>
        </is>
      </c>
      <c r="I131" s="17" t="inlineStr">
        <is>
          <t>15</t>
        </is>
      </c>
      <c r="J131" s="17" t="inlineStr">
        <is>
          <t>4</t>
        </is>
      </c>
      <c r="K131" s="17" t="inlineStr">
        <is>
          <t>Y</t>
        </is>
      </c>
      <c r="M131" s="15" t="inlineStr">
        <is>
          <t>INSERT INTO</t>
        </is>
      </c>
      <c r="N131" s="15" t="inlineStr">
        <is>
          <t>MNG_DEAL_LIST_DSP_TBL</t>
        </is>
      </c>
      <c r="O131" s="15" t="inlineStr">
        <is>
          <t>VALUES(</t>
        </is>
      </c>
      <c r="P131" s="15" t="inlineStr">
        <is>
          <t xml:space="preserve">9 , 15 , 4 , 'Y' </t>
        </is>
      </c>
      <c r="Q131" s="15" t="inlineStr">
        <is>
          <t>);</t>
        </is>
      </c>
      <c r="S131" s="18">
        <f>EXACT(TRIM(C131),H131&amp;"")</f>
        <v/>
      </c>
      <c r="T131" s="18">
        <f>EXACT(TRIM(D131),I131&amp;"")</f>
        <v/>
      </c>
      <c r="U131" s="18">
        <f>EXACT(TRIM(E131),J131&amp;"")</f>
        <v/>
      </c>
      <c r="V131" s="18">
        <f>EXACT(TRIM(F131),"'"&amp;K131&amp;"'")</f>
        <v/>
      </c>
      <c r="W131" s="18">
        <f>AND(S131:V131)</f>
        <v/>
      </c>
      <c r="X131" s="19">
        <f>TRIM(IF(S131,"",$S$3&amp;" ")&amp;IF(T131,"",$T$3&amp;" ")&amp;IF(U131,"",$U$3&amp;" ")&amp;IF(V131,"",$V$3&amp;" "))</f>
        <v/>
      </c>
      <c r="Y131" s="18">
        <f>EXACT(SUBSTITUTE(A131," ",""),SUBSTITUTE(M131&amp;N131&amp;O131&amp;P131&amp;Q131," ",""))</f>
        <v/>
      </c>
    </row>
    <row r="132">
      <c r="A132" s="15" t="inlineStr">
        <is>
          <t>INSERT INTO MNG_DEAL_LIST_DSP_TBL VALUES(9 , 15 , 5 , 'Y' );</t>
        </is>
      </c>
      <c r="B132" s="16" t="n"/>
      <c r="C132" s="15" t="inlineStr">
        <is>
          <t xml:space="preserve">9 </t>
        </is>
      </c>
      <c r="D132" s="15" t="inlineStr">
        <is>
          <t xml:space="preserve"> 15 </t>
        </is>
      </c>
      <c r="E132" s="15" t="inlineStr">
        <is>
          <t xml:space="preserve"> 5 </t>
        </is>
      </c>
      <c r="F132" s="15" t="inlineStr">
        <is>
          <t xml:space="preserve"> 'Y' </t>
        </is>
      </c>
      <c r="H132" s="17" t="inlineStr">
        <is>
          <t>9</t>
        </is>
      </c>
      <c r="I132" s="17" t="inlineStr">
        <is>
          <t>15</t>
        </is>
      </c>
      <c r="J132" s="17" t="inlineStr">
        <is>
          <t>5</t>
        </is>
      </c>
      <c r="K132" s="17" t="inlineStr">
        <is>
          <t>Y</t>
        </is>
      </c>
      <c r="M132" s="15" t="inlineStr">
        <is>
          <t>INSERT INTO</t>
        </is>
      </c>
      <c r="N132" s="15" t="inlineStr">
        <is>
          <t>MNG_DEAL_LIST_DSP_TBL</t>
        </is>
      </c>
      <c r="O132" s="15" t="inlineStr">
        <is>
          <t>VALUES(</t>
        </is>
      </c>
      <c r="P132" s="15" t="inlineStr">
        <is>
          <t xml:space="preserve">9 , 15 , 5 , 'Y' </t>
        </is>
      </c>
      <c r="Q132" s="15" t="inlineStr">
        <is>
          <t>);</t>
        </is>
      </c>
      <c r="S132" s="18">
        <f>EXACT(TRIM(C132),H132&amp;"")</f>
        <v/>
      </c>
      <c r="T132" s="18">
        <f>EXACT(TRIM(D132),I132&amp;"")</f>
        <v/>
      </c>
      <c r="U132" s="18">
        <f>EXACT(TRIM(E132),J132&amp;"")</f>
        <v/>
      </c>
      <c r="V132" s="18">
        <f>EXACT(TRIM(F132),"'"&amp;K132&amp;"'")</f>
        <v/>
      </c>
      <c r="W132" s="18">
        <f>AND(S132:V132)</f>
        <v/>
      </c>
      <c r="X132" s="19">
        <f>TRIM(IF(S132,"",$S$3&amp;" ")&amp;IF(T132,"",$T$3&amp;" ")&amp;IF(U132,"",$U$3&amp;" ")&amp;IF(V132,"",$V$3&amp;" "))</f>
        <v/>
      </c>
      <c r="Y132" s="18">
        <f>EXACT(SUBSTITUTE(A132," ",""),SUBSTITUTE(M132&amp;N132&amp;O132&amp;P132&amp;Q132," ",""))</f>
        <v/>
      </c>
    </row>
    <row r="133">
      <c r="A133" s="15" t="inlineStr">
        <is>
          <t>INSERT INTO MNG_DEAL_LIST_DSP_TBL VALUES(9 , 15 , 6 , 'Y' );</t>
        </is>
      </c>
      <c r="B133" s="16" t="n"/>
      <c r="C133" s="15" t="inlineStr">
        <is>
          <t xml:space="preserve">9 </t>
        </is>
      </c>
      <c r="D133" s="15" t="inlineStr">
        <is>
          <t xml:space="preserve"> 15 </t>
        </is>
      </c>
      <c r="E133" s="15" t="inlineStr">
        <is>
          <t xml:space="preserve"> 6 </t>
        </is>
      </c>
      <c r="F133" s="15" t="inlineStr">
        <is>
          <t xml:space="preserve"> 'Y' </t>
        </is>
      </c>
      <c r="H133" s="17" t="inlineStr">
        <is>
          <t>9</t>
        </is>
      </c>
      <c r="I133" s="17" t="inlineStr">
        <is>
          <t>15</t>
        </is>
      </c>
      <c r="J133" s="17" t="inlineStr">
        <is>
          <t>6</t>
        </is>
      </c>
      <c r="K133" s="17" t="inlineStr">
        <is>
          <t>Y</t>
        </is>
      </c>
      <c r="M133" s="15" t="inlineStr">
        <is>
          <t>INSERT INTO</t>
        </is>
      </c>
      <c r="N133" s="15" t="inlineStr">
        <is>
          <t>MNG_DEAL_LIST_DSP_TBL</t>
        </is>
      </c>
      <c r="O133" s="15" t="inlineStr">
        <is>
          <t>VALUES(</t>
        </is>
      </c>
      <c r="P133" s="15" t="inlineStr">
        <is>
          <t xml:space="preserve">9 , 15 , 6 , 'Y' </t>
        </is>
      </c>
      <c r="Q133" s="15" t="inlineStr">
        <is>
          <t>);</t>
        </is>
      </c>
      <c r="S133" s="18">
        <f>EXACT(TRIM(C133),H133&amp;"")</f>
        <v/>
      </c>
      <c r="T133" s="18">
        <f>EXACT(TRIM(D133),I133&amp;"")</f>
        <v/>
      </c>
      <c r="U133" s="18">
        <f>EXACT(TRIM(E133),J133&amp;"")</f>
        <v/>
      </c>
      <c r="V133" s="18">
        <f>EXACT(TRIM(F133),"'"&amp;K133&amp;"'")</f>
        <v/>
      </c>
      <c r="W133" s="18">
        <f>AND(S133:V133)</f>
        <v/>
      </c>
      <c r="X133" s="19">
        <f>TRIM(IF(S133,"",$S$3&amp;" ")&amp;IF(T133,"",$T$3&amp;" ")&amp;IF(U133,"",$U$3&amp;" ")&amp;IF(V133,"",$V$3&amp;" "))</f>
        <v/>
      </c>
      <c r="Y133" s="18">
        <f>EXACT(SUBSTITUTE(A133," ",""),SUBSTITUTE(M133&amp;N133&amp;O133&amp;P133&amp;Q133," ",""))</f>
        <v/>
      </c>
    </row>
    <row r="134">
      <c r="A134" s="15" t="inlineStr">
        <is>
          <t>INSERT INTO MNG_DEAL_LIST_DSP_TBL VALUES(9 , 15 , 7 , 'Y' );</t>
        </is>
      </c>
      <c r="B134" s="16" t="n"/>
      <c r="C134" s="15" t="inlineStr">
        <is>
          <t xml:space="preserve">9 </t>
        </is>
      </c>
      <c r="D134" s="15" t="inlineStr">
        <is>
          <t xml:space="preserve"> 15 </t>
        </is>
      </c>
      <c r="E134" s="15" t="inlineStr">
        <is>
          <t xml:space="preserve"> 7 </t>
        </is>
      </c>
      <c r="F134" s="15" t="inlineStr">
        <is>
          <t xml:space="preserve"> 'Y' </t>
        </is>
      </c>
      <c r="H134" s="17" t="inlineStr">
        <is>
          <t>9</t>
        </is>
      </c>
      <c r="I134" s="17" t="inlineStr">
        <is>
          <t>15</t>
        </is>
      </c>
      <c r="J134" s="17" t="inlineStr">
        <is>
          <t>7</t>
        </is>
      </c>
      <c r="K134" s="17" t="inlineStr">
        <is>
          <t>Y</t>
        </is>
      </c>
      <c r="M134" s="15" t="inlineStr">
        <is>
          <t>INSERT INTO</t>
        </is>
      </c>
      <c r="N134" s="15" t="inlineStr">
        <is>
          <t>MNG_DEAL_LIST_DSP_TBL</t>
        </is>
      </c>
      <c r="O134" s="15" t="inlineStr">
        <is>
          <t>VALUES(</t>
        </is>
      </c>
      <c r="P134" s="15" t="inlineStr">
        <is>
          <t xml:space="preserve">9 , 15 , 7 , 'Y' </t>
        </is>
      </c>
      <c r="Q134" s="15" t="inlineStr">
        <is>
          <t>);</t>
        </is>
      </c>
      <c r="S134" s="18">
        <f>EXACT(TRIM(C134),H134&amp;"")</f>
        <v/>
      </c>
      <c r="T134" s="18">
        <f>EXACT(TRIM(D134),I134&amp;"")</f>
        <v/>
      </c>
      <c r="U134" s="18">
        <f>EXACT(TRIM(E134),J134&amp;"")</f>
        <v/>
      </c>
      <c r="V134" s="18">
        <f>EXACT(TRIM(F134),"'"&amp;K134&amp;"'")</f>
        <v/>
      </c>
      <c r="W134" s="18">
        <f>AND(S134:V134)</f>
        <v/>
      </c>
      <c r="X134" s="19">
        <f>TRIM(IF(S134,"",$S$3&amp;" ")&amp;IF(T134,"",$T$3&amp;" ")&amp;IF(U134,"",$U$3&amp;" ")&amp;IF(V134,"",$V$3&amp;" "))</f>
        <v/>
      </c>
      <c r="Y134" s="18">
        <f>EXACT(SUBSTITUTE(A134," ",""),SUBSTITUTE(M134&amp;N134&amp;O134&amp;P134&amp;Q134," ",""))</f>
        <v/>
      </c>
    </row>
    <row r="135">
      <c r="A135" s="15" t="inlineStr">
        <is>
          <t>INSERT INTO MNG_DEAL_LIST_DSP_TBL VALUES(9 , 15 , 8 , 'Y' );</t>
        </is>
      </c>
      <c r="B135" s="16" t="n"/>
      <c r="C135" s="15" t="inlineStr">
        <is>
          <t xml:space="preserve">9 </t>
        </is>
      </c>
      <c r="D135" s="15" t="inlineStr">
        <is>
          <t xml:space="preserve"> 15 </t>
        </is>
      </c>
      <c r="E135" s="15" t="inlineStr">
        <is>
          <t xml:space="preserve"> 8 </t>
        </is>
      </c>
      <c r="F135" s="15" t="inlineStr">
        <is>
          <t xml:space="preserve"> 'Y' </t>
        </is>
      </c>
      <c r="H135" s="17" t="inlineStr">
        <is>
          <t>9</t>
        </is>
      </c>
      <c r="I135" s="17" t="inlineStr">
        <is>
          <t>15</t>
        </is>
      </c>
      <c r="J135" s="17" t="inlineStr">
        <is>
          <t>8</t>
        </is>
      </c>
      <c r="K135" s="17" t="inlineStr">
        <is>
          <t>Y</t>
        </is>
      </c>
      <c r="M135" s="15" t="inlineStr">
        <is>
          <t>INSERT INTO</t>
        </is>
      </c>
      <c r="N135" s="15" t="inlineStr">
        <is>
          <t>MNG_DEAL_LIST_DSP_TBL</t>
        </is>
      </c>
      <c r="O135" s="15" t="inlineStr">
        <is>
          <t>VALUES(</t>
        </is>
      </c>
      <c r="P135" s="15" t="inlineStr">
        <is>
          <t xml:space="preserve">9 , 15 , 8 , 'Y' </t>
        </is>
      </c>
      <c r="Q135" s="15" t="inlineStr">
        <is>
          <t>);</t>
        </is>
      </c>
      <c r="S135" s="18">
        <f>EXACT(TRIM(C135),H135&amp;"")</f>
        <v/>
      </c>
      <c r="T135" s="18">
        <f>EXACT(TRIM(D135),I135&amp;"")</f>
        <v/>
      </c>
      <c r="U135" s="18">
        <f>EXACT(TRIM(E135),J135&amp;"")</f>
        <v/>
      </c>
      <c r="V135" s="18">
        <f>EXACT(TRIM(F135),"'"&amp;K135&amp;"'")</f>
        <v/>
      </c>
      <c r="W135" s="18">
        <f>AND(S135:V135)</f>
        <v/>
      </c>
      <c r="X135" s="19">
        <f>TRIM(IF(S135,"",$S$3&amp;" ")&amp;IF(T135,"",$T$3&amp;" ")&amp;IF(U135,"",$U$3&amp;" ")&amp;IF(V135,"",$V$3&amp;" "))</f>
        <v/>
      </c>
      <c r="Y135" s="18">
        <f>EXACT(SUBSTITUTE(A135," ",""),SUBSTITUTE(M135&amp;N135&amp;O135&amp;P135&amp;Q135," ",""))</f>
        <v/>
      </c>
    </row>
    <row r="136">
      <c r="A136" s="15" t="inlineStr">
        <is>
          <t>INSERT INTO MNG_DEAL_LIST_DSP_TBL VALUES(9 , 15 , 9 , 'Y' );</t>
        </is>
      </c>
      <c r="B136" s="16" t="n"/>
      <c r="C136" s="15" t="inlineStr">
        <is>
          <t xml:space="preserve">9 </t>
        </is>
      </c>
      <c r="D136" s="15" t="inlineStr">
        <is>
          <t xml:space="preserve"> 15 </t>
        </is>
      </c>
      <c r="E136" s="15" t="inlineStr">
        <is>
          <t xml:space="preserve"> 9 </t>
        </is>
      </c>
      <c r="F136" s="15" t="inlineStr">
        <is>
          <t xml:space="preserve"> 'Y' </t>
        </is>
      </c>
      <c r="H136" s="17" t="inlineStr">
        <is>
          <t>9</t>
        </is>
      </c>
      <c r="I136" s="17" t="inlineStr">
        <is>
          <t>15</t>
        </is>
      </c>
      <c r="J136" s="17" t="inlineStr">
        <is>
          <t>9</t>
        </is>
      </c>
      <c r="K136" s="17" t="inlineStr">
        <is>
          <t>Y</t>
        </is>
      </c>
      <c r="M136" s="15" t="inlineStr">
        <is>
          <t>INSERT INTO</t>
        </is>
      </c>
      <c r="N136" s="15" t="inlineStr">
        <is>
          <t>MNG_DEAL_LIST_DSP_TBL</t>
        </is>
      </c>
      <c r="O136" s="15" t="inlineStr">
        <is>
          <t>VALUES(</t>
        </is>
      </c>
      <c r="P136" s="15" t="inlineStr">
        <is>
          <t xml:space="preserve">9 , 15 , 9 , 'Y' </t>
        </is>
      </c>
      <c r="Q136" s="15" t="inlineStr">
        <is>
          <t>);</t>
        </is>
      </c>
      <c r="S136" s="18">
        <f>EXACT(TRIM(C136),H136&amp;"")</f>
        <v/>
      </c>
      <c r="T136" s="18">
        <f>EXACT(TRIM(D136),I136&amp;"")</f>
        <v/>
      </c>
      <c r="U136" s="18">
        <f>EXACT(TRIM(E136),J136&amp;"")</f>
        <v/>
      </c>
      <c r="V136" s="18">
        <f>EXACT(TRIM(F136),"'"&amp;K136&amp;"'")</f>
        <v/>
      </c>
      <c r="W136" s="18">
        <f>AND(S136:V136)</f>
        <v/>
      </c>
      <c r="X136" s="19">
        <f>TRIM(IF(S136,"",$S$3&amp;" ")&amp;IF(T136,"",$T$3&amp;" ")&amp;IF(U136,"",$U$3&amp;" ")&amp;IF(V136,"",$V$3&amp;" "))</f>
        <v/>
      </c>
      <c r="Y136" s="18">
        <f>EXACT(SUBSTITUTE(A136," ",""),SUBSTITUTE(M136&amp;N136&amp;O136&amp;P136&amp;Q136," ",""))</f>
        <v/>
      </c>
    </row>
    <row r="137">
      <c r="A137" s="15" t="inlineStr">
        <is>
          <t>INSERT INTO MNG_DEAL_LIST_DSP_TBL VALUES(9 , 15 , 10 , 'N' );</t>
        </is>
      </c>
      <c r="B137" s="16" t="n"/>
      <c r="C137" s="15" t="inlineStr">
        <is>
          <t xml:space="preserve">9 </t>
        </is>
      </c>
      <c r="D137" s="15" t="inlineStr">
        <is>
          <t xml:space="preserve"> 15 </t>
        </is>
      </c>
      <c r="E137" s="15" t="inlineStr">
        <is>
          <t xml:space="preserve"> 10 </t>
        </is>
      </c>
      <c r="F137" s="15" t="inlineStr">
        <is>
          <t xml:space="preserve"> 'N' </t>
        </is>
      </c>
      <c r="H137" s="17" t="inlineStr">
        <is>
          <t>9</t>
        </is>
      </c>
      <c r="I137" s="17" t="inlineStr">
        <is>
          <t>15</t>
        </is>
      </c>
      <c r="J137" s="17" t="inlineStr">
        <is>
          <t>10</t>
        </is>
      </c>
      <c r="K137" s="17" t="inlineStr">
        <is>
          <t>N</t>
        </is>
      </c>
      <c r="M137" s="15" t="inlineStr">
        <is>
          <t>INSERT INTO</t>
        </is>
      </c>
      <c r="N137" s="15" t="inlineStr">
        <is>
          <t>MNG_DEAL_LIST_DSP_TBL</t>
        </is>
      </c>
      <c r="O137" s="15" t="inlineStr">
        <is>
          <t>VALUES(</t>
        </is>
      </c>
      <c r="P137" s="15" t="inlineStr">
        <is>
          <t xml:space="preserve">9 , 15 , 10 , 'N' </t>
        </is>
      </c>
      <c r="Q137" s="15" t="inlineStr">
        <is>
          <t>);</t>
        </is>
      </c>
      <c r="S137" s="18">
        <f>EXACT(TRIM(C137),H137&amp;"")</f>
        <v/>
      </c>
      <c r="T137" s="18">
        <f>EXACT(TRIM(D137),I137&amp;"")</f>
        <v/>
      </c>
      <c r="U137" s="18">
        <f>EXACT(TRIM(E137),J137&amp;"")</f>
        <v/>
      </c>
      <c r="V137" s="18">
        <f>EXACT(TRIM(F137),"'"&amp;K137&amp;"'")</f>
        <v/>
      </c>
      <c r="W137" s="18">
        <f>AND(S137:V137)</f>
        <v/>
      </c>
      <c r="X137" s="19">
        <f>TRIM(IF(S137,"",$S$3&amp;" ")&amp;IF(T137,"",$T$3&amp;" ")&amp;IF(U137,"",$U$3&amp;" ")&amp;IF(V137,"",$V$3&amp;" "))</f>
        <v/>
      </c>
      <c r="Y137" s="18">
        <f>EXACT(SUBSTITUTE(A137," ",""),SUBSTITUTE(M137&amp;N137&amp;O137&amp;P137&amp;Q137," ",""))</f>
        <v/>
      </c>
    </row>
    <row r="138">
      <c r="A138" s="15" t="inlineStr">
        <is>
          <t>INSERT INTO MNG_DEAL_LIST_DSP_TBL VALUES(9 , 15 , 11 , 'Y' );</t>
        </is>
      </c>
      <c r="B138" s="16" t="n"/>
      <c r="C138" s="15" t="inlineStr">
        <is>
          <t xml:space="preserve">9 </t>
        </is>
      </c>
      <c r="D138" s="15" t="inlineStr">
        <is>
          <t xml:space="preserve"> 15 </t>
        </is>
      </c>
      <c r="E138" s="15" t="inlineStr">
        <is>
          <t xml:space="preserve"> 11 </t>
        </is>
      </c>
      <c r="F138" s="15" t="inlineStr">
        <is>
          <t xml:space="preserve"> 'Y' </t>
        </is>
      </c>
      <c r="H138" s="17" t="inlineStr">
        <is>
          <t>9</t>
        </is>
      </c>
      <c r="I138" s="17" t="inlineStr">
        <is>
          <t>15</t>
        </is>
      </c>
      <c r="J138" s="17" t="inlineStr">
        <is>
          <t>11</t>
        </is>
      </c>
      <c r="K138" s="17" t="inlineStr">
        <is>
          <t>Y</t>
        </is>
      </c>
      <c r="M138" s="15" t="inlineStr">
        <is>
          <t>INSERT INTO</t>
        </is>
      </c>
      <c r="N138" s="15" t="inlineStr">
        <is>
          <t>MNG_DEAL_LIST_DSP_TBL</t>
        </is>
      </c>
      <c r="O138" s="15" t="inlineStr">
        <is>
          <t>VALUES(</t>
        </is>
      </c>
      <c r="P138" s="15" t="inlineStr">
        <is>
          <t xml:space="preserve">9 , 15 , 11 , 'Y' </t>
        </is>
      </c>
      <c r="Q138" s="15" t="inlineStr">
        <is>
          <t>);</t>
        </is>
      </c>
      <c r="S138" s="18">
        <f>EXACT(TRIM(C138),H138&amp;"")</f>
        <v/>
      </c>
      <c r="T138" s="18">
        <f>EXACT(TRIM(D138),I138&amp;"")</f>
        <v/>
      </c>
      <c r="U138" s="18">
        <f>EXACT(TRIM(E138),J138&amp;"")</f>
        <v/>
      </c>
      <c r="V138" s="18">
        <f>EXACT(TRIM(F138),"'"&amp;K138&amp;"'")</f>
        <v/>
      </c>
      <c r="W138" s="18">
        <f>AND(S138:V138)</f>
        <v/>
      </c>
      <c r="X138" s="19">
        <f>TRIM(IF(S138,"",$S$3&amp;" ")&amp;IF(T138,"",$T$3&amp;" ")&amp;IF(U138,"",$U$3&amp;" ")&amp;IF(V138,"",$V$3&amp;" "))</f>
        <v/>
      </c>
      <c r="Y138" s="18">
        <f>EXACT(SUBSTITUTE(A138," ",""),SUBSTITUTE(M138&amp;N138&amp;O138&amp;P138&amp;Q138," ",""))</f>
        <v/>
      </c>
    </row>
    <row r="139">
      <c r="A139" s="15" t="inlineStr">
        <is>
          <t>INSERT INTO MNG_DEAL_LIST_DSP_TBL VALUES(9 , 15 , 12 , 'Y' );</t>
        </is>
      </c>
      <c r="B139" s="16" t="n"/>
      <c r="C139" s="15" t="inlineStr">
        <is>
          <t xml:space="preserve">9 </t>
        </is>
      </c>
      <c r="D139" s="15" t="inlineStr">
        <is>
          <t xml:space="preserve"> 15 </t>
        </is>
      </c>
      <c r="E139" s="15" t="inlineStr">
        <is>
          <t xml:space="preserve"> 12 </t>
        </is>
      </c>
      <c r="F139" s="15" t="inlineStr">
        <is>
          <t xml:space="preserve"> 'Y' </t>
        </is>
      </c>
      <c r="H139" s="17" t="inlineStr">
        <is>
          <t>9</t>
        </is>
      </c>
      <c r="I139" s="17" t="inlineStr">
        <is>
          <t>15</t>
        </is>
      </c>
      <c r="J139" s="17" t="inlineStr">
        <is>
          <t>12</t>
        </is>
      </c>
      <c r="K139" s="17" t="inlineStr">
        <is>
          <t>Y</t>
        </is>
      </c>
      <c r="M139" s="15" t="inlineStr">
        <is>
          <t>INSERT INTO</t>
        </is>
      </c>
      <c r="N139" s="15" t="inlineStr">
        <is>
          <t>MNG_DEAL_LIST_DSP_TBL</t>
        </is>
      </c>
      <c r="O139" s="15" t="inlineStr">
        <is>
          <t>VALUES(</t>
        </is>
      </c>
      <c r="P139" s="15" t="inlineStr">
        <is>
          <t xml:space="preserve">9 , 15 , 12 , 'Y' </t>
        </is>
      </c>
      <c r="Q139" s="15" t="inlineStr">
        <is>
          <t>);</t>
        </is>
      </c>
      <c r="S139" s="18">
        <f>EXACT(TRIM(C139),H139&amp;"")</f>
        <v/>
      </c>
      <c r="T139" s="18">
        <f>EXACT(TRIM(D139),I139&amp;"")</f>
        <v/>
      </c>
      <c r="U139" s="18">
        <f>EXACT(TRIM(E139),J139&amp;"")</f>
        <v/>
      </c>
      <c r="V139" s="18">
        <f>EXACT(TRIM(F139),"'"&amp;K139&amp;"'")</f>
        <v/>
      </c>
      <c r="W139" s="18">
        <f>AND(S139:V139)</f>
        <v/>
      </c>
      <c r="X139" s="19">
        <f>TRIM(IF(S139,"",$S$3&amp;" ")&amp;IF(T139,"",$T$3&amp;" ")&amp;IF(U139,"",$U$3&amp;" ")&amp;IF(V139,"",$V$3&amp;" "))</f>
        <v/>
      </c>
      <c r="Y139" s="18">
        <f>EXACT(SUBSTITUTE(A139," ",""),SUBSTITUTE(M139&amp;N139&amp;O139&amp;P139&amp;Q139," ",""))</f>
        <v/>
      </c>
    </row>
    <row r="140">
      <c r="A140" s="15" t="inlineStr">
        <is>
          <t>INSERT INTO MNG_DEAL_LIST_DSP_TBL VALUES(9 , 15 , 13 , 'Y' );</t>
        </is>
      </c>
      <c r="B140" s="16" t="n"/>
      <c r="C140" s="15" t="inlineStr">
        <is>
          <t xml:space="preserve">9 </t>
        </is>
      </c>
      <c r="D140" s="15" t="inlineStr">
        <is>
          <t xml:space="preserve"> 15 </t>
        </is>
      </c>
      <c r="E140" s="15" t="inlineStr">
        <is>
          <t xml:space="preserve"> 13 </t>
        </is>
      </c>
      <c r="F140" s="15" t="inlineStr">
        <is>
          <t xml:space="preserve"> 'Y' </t>
        </is>
      </c>
      <c r="H140" s="17" t="inlineStr">
        <is>
          <t>9</t>
        </is>
      </c>
      <c r="I140" s="17" t="inlineStr">
        <is>
          <t>15</t>
        </is>
      </c>
      <c r="J140" s="17" t="inlineStr">
        <is>
          <t>13</t>
        </is>
      </c>
      <c r="K140" s="17" t="inlineStr">
        <is>
          <t>Y</t>
        </is>
      </c>
      <c r="M140" s="15" t="inlineStr">
        <is>
          <t>INSERT INTO</t>
        </is>
      </c>
      <c r="N140" s="15" t="inlineStr">
        <is>
          <t>MNG_DEAL_LIST_DSP_TBL</t>
        </is>
      </c>
      <c r="O140" s="15" t="inlineStr">
        <is>
          <t>VALUES(</t>
        </is>
      </c>
      <c r="P140" s="15" t="inlineStr">
        <is>
          <t xml:space="preserve">9 , 15 , 13 , 'Y' </t>
        </is>
      </c>
      <c r="Q140" s="15" t="inlineStr">
        <is>
          <t>);</t>
        </is>
      </c>
      <c r="S140" s="18">
        <f>EXACT(TRIM(C140),H140&amp;"")</f>
        <v/>
      </c>
      <c r="T140" s="18">
        <f>EXACT(TRIM(D140),I140&amp;"")</f>
        <v/>
      </c>
      <c r="U140" s="18">
        <f>EXACT(TRIM(E140),J140&amp;"")</f>
        <v/>
      </c>
      <c r="V140" s="18">
        <f>EXACT(TRIM(F140),"'"&amp;K140&amp;"'")</f>
        <v/>
      </c>
      <c r="W140" s="18">
        <f>AND(S140:V140)</f>
        <v/>
      </c>
      <c r="X140" s="19">
        <f>TRIM(IF(S140,"",$S$3&amp;" ")&amp;IF(T140,"",$T$3&amp;" ")&amp;IF(U140,"",$U$3&amp;" ")&amp;IF(V140,"",$V$3&amp;" "))</f>
        <v/>
      </c>
      <c r="Y140" s="18">
        <f>EXACT(SUBSTITUTE(A140," ",""),SUBSTITUTE(M140&amp;N140&amp;O140&amp;P140&amp;Q140," ",""))</f>
        <v/>
      </c>
    </row>
    <row r="141">
      <c r="A141" s="15" t="inlineStr">
        <is>
          <t>INSERT INTO MNG_DEAL_LIST_DSP_TBL VALUES(9 , 15 , 14 , 'Y' );</t>
        </is>
      </c>
      <c r="B141" s="16" t="n"/>
      <c r="C141" s="15" t="inlineStr">
        <is>
          <t xml:space="preserve">9 </t>
        </is>
      </c>
      <c r="D141" s="15" t="inlineStr">
        <is>
          <t xml:space="preserve"> 15 </t>
        </is>
      </c>
      <c r="E141" s="15" t="inlineStr">
        <is>
          <t xml:space="preserve"> 14 </t>
        </is>
      </c>
      <c r="F141" s="15" t="inlineStr">
        <is>
          <t xml:space="preserve"> 'Y' </t>
        </is>
      </c>
      <c r="H141" s="17" t="inlineStr">
        <is>
          <t>9</t>
        </is>
      </c>
      <c r="I141" s="17" t="inlineStr">
        <is>
          <t>15</t>
        </is>
      </c>
      <c r="J141" s="17" t="inlineStr">
        <is>
          <t>14</t>
        </is>
      </c>
      <c r="K141" s="17" t="inlineStr">
        <is>
          <t>Y</t>
        </is>
      </c>
      <c r="M141" s="15" t="inlineStr">
        <is>
          <t>INSERT INTO</t>
        </is>
      </c>
      <c r="N141" s="15" t="inlineStr">
        <is>
          <t>MNG_DEAL_LIST_DSP_TBL</t>
        </is>
      </c>
      <c r="O141" s="15" t="inlineStr">
        <is>
          <t>VALUES(</t>
        </is>
      </c>
      <c r="P141" s="15" t="inlineStr">
        <is>
          <t xml:space="preserve">9 , 15 , 14 , 'Y' </t>
        </is>
      </c>
      <c r="Q141" s="15" t="inlineStr">
        <is>
          <t>);</t>
        </is>
      </c>
      <c r="S141" s="18">
        <f>EXACT(TRIM(C141),H141&amp;"")</f>
        <v/>
      </c>
      <c r="T141" s="18">
        <f>EXACT(TRIM(D141),I141&amp;"")</f>
        <v/>
      </c>
      <c r="U141" s="18">
        <f>EXACT(TRIM(E141),J141&amp;"")</f>
        <v/>
      </c>
      <c r="V141" s="18">
        <f>EXACT(TRIM(F141),"'"&amp;K141&amp;"'")</f>
        <v/>
      </c>
      <c r="W141" s="18">
        <f>AND(S141:V141)</f>
        <v/>
      </c>
      <c r="X141" s="19">
        <f>TRIM(IF(S141,"",$S$3&amp;" ")&amp;IF(T141,"",$T$3&amp;" ")&amp;IF(U141,"",$U$3&amp;" ")&amp;IF(V141,"",$V$3&amp;" "))</f>
        <v/>
      </c>
      <c r="Y141" s="18">
        <f>EXACT(SUBSTITUTE(A141," ",""),SUBSTITUTE(M141&amp;N141&amp;O141&amp;P141&amp;Q141," ",""))</f>
        <v/>
      </c>
    </row>
    <row r="142">
      <c r="A142" s="15" t="inlineStr">
        <is>
          <t>INSERT INTO MNG_DEAL_LIST_DSP_TBL VALUES(9 , 15 , 15 , 'Y' );</t>
        </is>
      </c>
      <c r="B142" s="16" t="n"/>
      <c r="C142" s="15" t="inlineStr">
        <is>
          <t xml:space="preserve">9 </t>
        </is>
      </c>
      <c r="D142" s="15" t="inlineStr">
        <is>
          <t xml:space="preserve"> 15 </t>
        </is>
      </c>
      <c r="E142" s="15" t="inlineStr">
        <is>
          <t xml:space="preserve"> 15 </t>
        </is>
      </c>
      <c r="F142" s="15" t="inlineStr">
        <is>
          <t xml:space="preserve"> 'Y' </t>
        </is>
      </c>
      <c r="H142" s="17" t="inlineStr">
        <is>
          <t>9</t>
        </is>
      </c>
      <c r="I142" s="17" t="inlineStr">
        <is>
          <t>15</t>
        </is>
      </c>
      <c r="J142" s="17" t="inlineStr">
        <is>
          <t>15</t>
        </is>
      </c>
      <c r="K142" s="17" t="inlineStr">
        <is>
          <t>Y</t>
        </is>
      </c>
      <c r="M142" s="15" t="inlineStr">
        <is>
          <t>INSERT INTO</t>
        </is>
      </c>
      <c r="N142" s="15" t="inlineStr">
        <is>
          <t>MNG_DEAL_LIST_DSP_TBL</t>
        </is>
      </c>
      <c r="O142" s="15" t="inlineStr">
        <is>
          <t>VALUES(</t>
        </is>
      </c>
      <c r="P142" s="15" t="inlineStr">
        <is>
          <t xml:space="preserve">9 , 15 , 15 , 'Y' </t>
        </is>
      </c>
      <c r="Q142" s="15" t="inlineStr">
        <is>
          <t>);</t>
        </is>
      </c>
      <c r="S142" s="18">
        <f>EXACT(TRIM(C142),H142&amp;"")</f>
        <v/>
      </c>
      <c r="T142" s="18">
        <f>EXACT(TRIM(D142),I142&amp;"")</f>
        <v/>
      </c>
      <c r="U142" s="18">
        <f>EXACT(TRIM(E142),J142&amp;"")</f>
        <v/>
      </c>
      <c r="V142" s="18">
        <f>EXACT(TRIM(F142),"'"&amp;K142&amp;"'")</f>
        <v/>
      </c>
      <c r="W142" s="18">
        <f>AND(S142:V142)</f>
        <v/>
      </c>
      <c r="X142" s="19">
        <f>TRIM(IF(S142,"",$S$3&amp;" ")&amp;IF(T142,"",$T$3&amp;" ")&amp;IF(U142,"",$U$3&amp;" ")&amp;IF(V142,"",$V$3&amp;" "))</f>
        <v/>
      </c>
      <c r="Y142" s="18">
        <f>EXACT(SUBSTITUTE(A142," ",""),SUBSTITUTE(M142&amp;N142&amp;O142&amp;P142&amp;Q142," ",""))</f>
        <v/>
      </c>
    </row>
    <row r="143">
      <c r="A143" s="15" t="inlineStr">
        <is>
          <t>INSERT INTO MNG_DEAL_LIST_DSP_TBL VALUES(9 , 15 , 16 , 'Y' );</t>
        </is>
      </c>
      <c r="B143" s="16" t="n"/>
      <c r="C143" s="15" t="inlineStr">
        <is>
          <t xml:space="preserve">9 </t>
        </is>
      </c>
      <c r="D143" s="15" t="inlineStr">
        <is>
          <t xml:space="preserve"> 15 </t>
        </is>
      </c>
      <c r="E143" s="15" t="inlineStr">
        <is>
          <t xml:space="preserve"> 16 </t>
        </is>
      </c>
      <c r="F143" s="15" t="inlineStr">
        <is>
          <t xml:space="preserve"> 'Y' </t>
        </is>
      </c>
      <c r="H143" s="17" t="inlineStr">
        <is>
          <t>9</t>
        </is>
      </c>
      <c r="I143" s="17" t="inlineStr">
        <is>
          <t>15</t>
        </is>
      </c>
      <c r="J143" s="17" t="inlineStr">
        <is>
          <t>16</t>
        </is>
      </c>
      <c r="K143" s="17" t="inlineStr">
        <is>
          <t>Y</t>
        </is>
      </c>
      <c r="M143" s="15" t="inlineStr">
        <is>
          <t>INSERT INTO</t>
        </is>
      </c>
      <c r="N143" s="15" t="inlineStr">
        <is>
          <t>MNG_DEAL_LIST_DSP_TBL</t>
        </is>
      </c>
      <c r="O143" s="15" t="inlineStr">
        <is>
          <t>VALUES(</t>
        </is>
      </c>
      <c r="P143" s="15" t="inlineStr">
        <is>
          <t xml:space="preserve">9 , 15 , 16 , 'Y' </t>
        </is>
      </c>
      <c r="Q143" s="15" t="inlineStr">
        <is>
          <t>);</t>
        </is>
      </c>
      <c r="S143" s="18">
        <f>EXACT(TRIM(C143),H143&amp;"")</f>
        <v/>
      </c>
      <c r="T143" s="18">
        <f>EXACT(TRIM(D143),I143&amp;"")</f>
        <v/>
      </c>
      <c r="U143" s="18">
        <f>EXACT(TRIM(E143),J143&amp;"")</f>
        <v/>
      </c>
      <c r="V143" s="18">
        <f>EXACT(TRIM(F143),"'"&amp;K143&amp;"'")</f>
        <v/>
      </c>
      <c r="W143" s="18">
        <f>AND(S143:V143)</f>
        <v/>
      </c>
      <c r="X143" s="19">
        <f>TRIM(IF(S143,"",$S$3&amp;" ")&amp;IF(T143,"",$T$3&amp;" ")&amp;IF(U143,"",$U$3&amp;" ")&amp;IF(V143,"",$V$3&amp;" "))</f>
        <v/>
      </c>
      <c r="Y143" s="18">
        <f>EXACT(SUBSTITUTE(A143," ",""),SUBSTITUTE(M143&amp;N143&amp;O143&amp;P143&amp;Q143," ",""))</f>
        <v/>
      </c>
    </row>
    <row r="144">
      <c r="A144" s="15" t="inlineStr">
        <is>
          <t>INSERT INTO MNG_DEAL_LIST_DSP_TBL VALUES(10 , 6 , 1 , 'Y' );</t>
        </is>
      </c>
      <c r="B144" s="16" t="n"/>
      <c r="C144" s="15" t="inlineStr">
        <is>
          <t xml:space="preserve">10 </t>
        </is>
      </c>
      <c r="D144" s="15" t="inlineStr">
        <is>
          <t xml:space="preserve"> 6 </t>
        </is>
      </c>
      <c r="E144" s="15" t="inlineStr">
        <is>
          <t xml:space="preserve"> 1 </t>
        </is>
      </c>
      <c r="F144" s="15" t="inlineStr">
        <is>
          <t xml:space="preserve"> 'Y' </t>
        </is>
      </c>
      <c r="H144" s="17" t="inlineStr">
        <is>
          <t>10</t>
        </is>
      </c>
      <c r="I144" s="17" t="inlineStr">
        <is>
          <t>6</t>
        </is>
      </c>
      <c r="J144" s="17" t="inlineStr">
        <is>
          <t>1</t>
        </is>
      </c>
      <c r="K144" s="17" t="inlineStr">
        <is>
          <t>Y</t>
        </is>
      </c>
      <c r="M144" s="15" t="inlineStr">
        <is>
          <t>INSERT INTO</t>
        </is>
      </c>
      <c r="N144" s="15" t="inlineStr">
        <is>
          <t>MNG_DEAL_LIST_DSP_TBL</t>
        </is>
      </c>
      <c r="O144" s="15" t="inlineStr">
        <is>
          <t>VALUES(</t>
        </is>
      </c>
      <c r="P144" s="15" t="inlineStr">
        <is>
          <t xml:space="preserve">10 , 6 , 1 , 'Y' </t>
        </is>
      </c>
      <c r="Q144" s="15" t="inlineStr">
        <is>
          <t>);</t>
        </is>
      </c>
      <c r="S144" s="18">
        <f>EXACT(TRIM(C144),H144&amp;"")</f>
        <v/>
      </c>
      <c r="T144" s="18">
        <f>EXACT(TRIM(D144),I144&amp;"")</f>
        <v/>
      </c>
      <c r="U144" s="18">
        <f>EXACT(TRIM(E144),J144&amp;"")</f>
        <v/>
      </c>
      <c r="V144" s="18">
        <f>EXACT(TRIM(F144),"'"&amp;K144&amp;"'")</f>
        <v/>
      </c>
      <c r="W144" s="18">
        <f>AND(S144:V144)</f>
        <v/>
      </c>
      <c r="X144" s="19">
        <f>TRIM(IF(S144,"",$S$3&amp;" ")&amp;IF(T144,"",$T$3&amp;" ")&amp;IF(U144,"",$U$3&amp;" ")&amp;IF(V144,"",$V$3&amp;" "))</f>
        <v/>
      </c>
      <c r="Y144" s="18">
        <f>EXACT(SUBSTITUTE(A144," ",""),SUBSTITUTE(M144&amp;N144&amp;O144&amp;P144&amp;Q144," ",""))</f>
        <v/>
      </c>
    </row>
    <row r="145">
      <c r="A145" s="15" t="inlineStr">
        <is>
          <t>INSERT INTO MNG_DEAL_LIST_DSP_TBL VALUES(10 , 6 , 2 , 'N' );</t>
        </is>
      </c>
      <c r="B145" s="16" t="n"/>
      <c r="C145" s="15" t="inlineStr">
        <is>
          <t xml:space="preserve">10 </t>
        </is>
      </c>
      <c r="D145" s="15" t="inlineStr">
        <is>
          <t xml:space="preserve"> 6 </t>
        </is>
      </c>
      <c r="E145" s="15" t="inlineStr">
        <is>
          <t xml:space="preserve"> 2 </t>
        </is>
      </c>
      <c r="F145" s="15" t="inlineStr">
        <is>
          <t xml:space="preserve"> 'N' </t>
        </is>
      </c>
      <c r="H145" s="17" t="inlineStr">
        <is>
          <t>10</t>
        </is>
      </c>
      <c r="I145" s="17" t="inlineStr">
        <is>
          <t>6</t>
        </is>
      </c>
      <c r="J145" s="17" t="inlineStr">
        <is>
          <t>2</t>
        </is>
      </c>
      <c r="K145" s="17" t="inlineStr">
        <is>
          <t>N</t>
        </is>
      </c>
      <c r="M145" s="15" t="inlineStr">
        <is>
          <t>INSERT INTO</t>
        </is>
      </c>
      <c r="N145" s="15" t="inlineStr">
        <is>
          <t>MNG_DEAL_LIST_DSP_TBL</t>
        </is>
      </c>
      <c r="O145" s="15" t="inlineStr">
        <is>
          <t>VALUES(</t>
        </is>
      </c>
      <c r="P145" s="15" t="inlineStr">
        <is>
          <t xml:space="preserve">10 , 6 , 2 , 'N' </t>
        </is>
      </c>
      <c r="Q145" s="15" t="inlineStr">
        <is>
          <t>);</t>
        </is>
      </c>
      <c r="S145" s="18">
        <f>EXACT(TRIM(C145),H145&amp;"")</f>
        <v/>
      </c>
      <c r="T145" s="18">
        <f>EXACT(TRIM(D145),I145&amp;"")</f>
        <v/>
      </c>
      <c r="U145" s="18">
        <f>EXACT(TRIM(E145),J145&amp;"")</f>
        <v/>
      </c>
      <c r="V145" s="18">
        <f>EXACT(TRIM(F145),"'"&amp;K145&amp;"'")</f>
        <v/>
      </c>
      <c r="W145" s="18">
        <f>AND(S145:V145)</f>
        <v/>
      </c>
      <c r="X145" s="19">
        <f>TRIM(IF(S145,"",$S$3&amp;" ")&amp;IF(T145,"",$T$3&amp;" ")&amp;IF(U145,"",$U$3&amp;" ")&amp;IF(V145,"",$V$3&amp;" "))</f>
        <v/>
      </c>
      <c r="Y145" s="18">
        <f>EXACT(SUBSTITUTE(A145," ",""),SUBSTITUTE(M145&amp;N145&amp;O145&amp;P145&amp;Q145," ",""))</f>
        <v/>
      </c>
    </row>
    <row r="146">
      <c r="A146" s="15" t="inlineStr">
        <is>
          <t>INSERT INTO MNG_DEAL_LIST_DSP_TBL VALUES(10 , 6 , 3 , 'N' );</t>
        </is>
      </c>
      <c r="B146" s="16" t="n"/>
      <c r="C146" s="15" t="inlineStr">
        <is>
          <t xml:space="preserve">10 </t>
        </is>
      </c>
      <c r="D146" s="15" t="inlineStr">
        <is>
          <t xml:space="preserve"> 6 </t>
        </is>
      </c>
      <c r="E146" s="15" t="inlineStr">
        <is>
          <t xml:space="preserve"> 3 </t>
        </is>
      </c>
      <c r="F146" s="15" t="inlineStr">
        <is>
          <t xml:space="preserve"> 'N' </t>
        </is>
      </c>
      <c r="H146" s="17" t="inlineStr">
        <is>
          <t>10</t>
        </is>
      </c>
      <c r="I146" s="17" t="inlineStr">
        <is>
          <t>6</t>
        </is>
      </c>
      <c r="J146" s="17" t="inlineStr">
        <is>
          <t>3</t>
        </is>
      </c>
      <c r="K146" s="17" t="inlineStr">
        <is>
          <t>N</t>
        </is>
      </c>
      <c r="M146" s="15" t="inlineStr">
        <is>
          <t>INSERT INTO</t>
        </is>
      </c>
      <c r="N146" s="15" t="inlineStr">
        <is>
          <t>MNG_DEAL_LIST_DSP_TBL</t>
        </is>
      </c>
      <c r="O146" s="15" t="inlineStr">
        <is>
          <t>VALUES(</t>
        </is>
      </c>
      <c r="P146" s="15" t="inlineStr">
        <is>
          <t xml:space="preserve">10 , 6 , 3 , 'N' </t>
        </is>
      </c>
      <c r="Q146" s="15" t="inlineStr">
        <is>
          <t>);</t>
        </is>
      </c>
      <c r="S146" s="18">
        <f>EXACT(TRIM(C146),H146&amp;"")</f>
        <v/>
      </c>
      <c r="T146" s="18">
        <f>EXACT(TRIM(D146),I146&amp;"")</f>
        <v/>
      </c>
      <c r="U146" s="18">
        <f>EXACT(TRIM(E146),J146&amp;"")</f>
        <v/>
      </c>
      <c r="V146" s="18">
        <f>EXACT(TRIM(F146),"'"&amp;K146&amp;"'")</f>
        <v/>
      </c>
      <c r="W146" s="18">
        <f>AND(S146:V146)</f>
        <v/>
      </c>
      <c r="X146" s="19">
        <f>TRIM(IF(S146,"",$S$3&amp;" ")&amp;IF(T146,"",$T$3&amp;" ")&amp;IF(U146,"",$U$3&amp;" ")&amp;IF(V146,"",$V$3&amp;" "))</f>
        <v/>
      </c>
      <c r="Y146" s="18">
        <f>EXACT(SUBSTITUTE(A146," ",""),SUBSTITUTE(M146&amp;N146&amp;O146&amp;P146&amp;Q146," ",""))</f>
        <v/>
      </c>
    </row>
    <row r="147">
      <c r="A147" s="15" t="inlineStr">
        <is>
          <t>INSERT INTO MNG_DEAL_LIST_DSP_TBL VALUES(10 , 6 , 4 , 'Y' );</t>
        </is>
      </c>
      <c r="B147" s="16" t="n"/>
      <c r="C147" s="15" t="inlineStr">
        <is>
          <t xml:space="preserve">10 </t>
        </is>
      </c>
      <c r="D147" s="15" t="inlineStr">
        <is>
          <t xml:space="preserve"> 6 </t>
        </is>
      </c>
      <c r="E147" s="15" t="inlineStr">
        <is>
          <t xml:space="preserve"> 4 </t>
        </is>
      </c>
      <c r="F147" s="15" t="inlineStr">
        <is>
          <t xml:space="preserve"> 'Y' </t>
        </is>
      </c>
      <c r="H147" s="17" t="inlineStr">
        <is>
          <t>10</t>
        </is>
      </c>
      <c r="I147" s="17" t="inlineStr">
        <is>
          <t>6</t>
        </is>
      </c>
      <c r="J147" s="17" t="inlineStr">
        <is>
          <t>4</t>
        </is>
      </c>
      <c r="K147" s="17" t="inlineStr">
        <is>
          <t>Y</t>
        </is>
      </c>
      <c r="M147" s="15" t="inlineStr">
        <is>
          <t>INSERT INTO</t>
        </is>
      </c>
      <c r="N147" s="15" t="inlineStr">
        <is>
          <t>MNG_DEAL_LIST_DSP_TBL</t>
        </is>
      </c>
      <c r="O147" s="15" t="inlineStr">
        <is>
          <t>VALUES(</t>
        </is>
      </c>
      <c r="P147" s="15" t="inlineStr">
        <is>
          <t xml:space="preserve">10 , 6 , 4 , 'Y' </t>
        </is>
      </c>
      <c r="Q147" s="15" t="inlineStr">
        <is>
          <t>);</t>
        </is>
      </c>
      <c r="S147" s="18">
        <f>EXACT(TRIM(C147),H147&amp;"")</f>
        <v/>
      </c>
      <c r="T147" s="18">
        <f>EXACT(TRIM(D147),I147&amp;"")</f>
        <v/>
      </c>
      <c r="U147" s="18">
        <f>EXACT(TRIM(E147),J147&amp;"")</f>
        <v/>
      </c>
      <c r="V147" s="18">
        <f>EXACT(TRIM(F147),"'"&amp;K147&amp;"'")</f>
        <v/>
      </c>
      <c r="W147" s="18">
        <f>AND(S147:V147)</f>
        <v/>
      </c>
      <c r="X147" s="19">
        <f>TRIM(IF(S147,"",$S$3&amp;" ")&amp;IF(T147,"",$T$3&amp;" ")&amp;IF(U147,"",$U$3&amp;" ")&amp;IF(V147,"",$V$3&amp;" "))</f>
        <v/>
      </c>
      <c r="Y147" s="18">
        <f>EXACT(SUBSTITUTE(A147," ",""),SUBSTITUTE(M147&amp;N147&amp;O147&amp;P147&amp;Q147," ",""))</f>
        <v/>
      </c>
    </row>
    <row r="148">
      <c r="A148" s="15" t="inlineStr">
        <is>
          <t>INSERT INTO MNG_DEAL_LIST_DSP_TBL VALUES(10 , 6 , 5 , 'Y' );</t>
        </is>
      </c>
      <c r="B148" s="16" t="n"/>
      <c r="C148" s="15" t="inlineStr">
        <is>
          <t xml:space="preserve">10 </t>
        </is>
      </c>
      <c r="D148" s="15" t="inlineStr">
        <is>
          <t xml:space="preserve"> 6 </t>
        </is>
      </c>
      <c r="E148" s="15" t="inlineStr">
        <is>
          <t xml:space="preserve"> 5 </t>
        </is>
      </c>
      <c r="F148" s="15" t="inlineStr">
        <is>
          <t xml:space="preserve"> 'Y' </t>
        </is>
      </c>
      <c r="H148" s="17" t="inlineStr">
        <is>
          <t>10</t>
        </is>
      </c>
      <c r="I148" s="17" t="inlineStr">
        <is>
          <t>6</t>
        </is>
      </c>
      <c r="J148" s="17" t="inlineStr">
        <is>
          <t>5</t>
        </is>
      </c>
      <c r="K148" s="17" t="inlineStr">
        <is>
          <t>Y</t>
        </is>
      </c>
      <c r="M148" s="15" t="inlineStr">
        <is>
          <t>INSERT INTO</t>
        </is>
      </c>
      <c r="N148" s="15" t="inlineStr">
        <is>
          <t>MNG_DEAL_LIST_DSP_TBL</t>
        </is>
      </c>
      <c r="O148" s="15" t="inlineStr">
        <is>
          <t>VALUES(</t>
        </is>
      </c>
      <c r="P148" s="15" t="inlineStr">
        <is>
          <t xml:space="preserve">10 , 6 , 5 , 'Y' </t>
        </is>
      </c>
      <c r="Q148" s="15" t="inlineStr">
        <is>
          <t>);</t>
        </is>
      </c>
      <c r="S148" s="18">
        <f>EXACT(TRIM(C148),H148&amp;"")</f>
        <v/>
      </c>
      <c r="T148" s="18">
        <f>EXACT(TRIM(D148),I148&amp;"")</f>
        <v/>
      </c>
      <c r="U148" s="18">
        <f>EXACT(TRIM(E148),J148&amp;"")</f>
        <v/>
      </c>
      <c r="V148" s="18">
        <f>EXACT(TRIM(F148),"'"&amp;K148&amp;"'")</f>
        <v/>
      </c>
      <c r="W148" s="18">
        <f>AND(S148:V148)</f>
        <v/>
      </c>
      <c r="X148" s="19">
        <f>TRIM(IF(S148,"",$S$3&amp;" ")&amp;IF(T148,"",$T$3&amp;" ")&amp;IF(U148,"",$U$3&amp;" ")&amp;IF(V148,"",$V$3&amp;" "))</f>
        <v/>
      </c>
      <c r="Y148" s="18">
        <f>EXACT(SUBSTITUTE(A148," ",""),SUBSTITUTE(M148&amp;N148&amp;O148&amp;P148&amp;Q148," ",""))</f>
        <v/>
      </c>
    </row>
    <row r="149">
      <c r="A149" s="15" t="inlineStr">
        <is>
          <t>INSERT INTO MNG_DEAL_LIST_DSP_TBL VALUES(10 , 6 , 6 , 'Y' );</t>
        </is>
      </c>
      <c r="B149" s="16" t="n"/>
      <c r="C149" s="15" t="inlineStr">
        <is>
          <t xml:space="preserve">10 </t>
        </is>
      </c>
      <c r="D149" s="15" t="inlineStr">
        <is>
          <t xml:space="preserve"> 6 </t>
        </is>
      </c>
      <c r="E149" s="15" t="inlineStr">
        <is>
          <t xml:space="preserve"> 6 </t>
        </is>
      </c>
      <c r="F149" s="15" t="inlineStr">
        <is>
          <t xml:space="preserve"> 'Y' </t>
        </is>
      </c>
      <c r="H149" s="17" t="inlineStr">
        <is>
          <t>10</t>
        </is>
      </c>
      <c r="I149" s="17" t="inlineStr">
        <is>
          <t>6</t>
        </is>
      </c>
      <c r="J149" s="17" t="inlineStr">
        <is>
          <t>6</t>
        </is>
      </c>
      <c r="K149" s="17" t="inlineStr">
        <is>
          <t>Y</t>
        </is>
      </c>
      <c r="M149" s="15" t="inlineStr">
        <is>
          <t>INSERT INTO</t>
        </is>
      </c>
      <c r="N149" s="15" t="inlineStr">
        <is>
          <t>MNG_DEAL_LIST_DSP_TBL</t>
        </is>
      </c>
      <c r="O149" s="15" t="inlineStr">
        <is>
          <t>VALUES(</t>
        </is>
      </c>
      <c r="P149" s="15" t="inlineStr">
        <is>
          <t xml:space="preserve">10 , 6 , 6 , 'Y' </t>
        </is>
      </c>
      <c r="Q149" s="15" t="inlineStr">
        <is>
          <t>);</t>
        </is>
      </c>
      <c r="S149" s="18">
        <f>EXACT(TRIM(C149),H149&amp;"")</f>
        <v/>
      </c>
      <c r="T149" s="18">
        <f>EXACT(TRIM(D149),I149&amp;"")</f>
        <v/>
      </c>
      <c r="U149" s="18">
        <f>EXACT(TRIM(E149),J149&amp;"")</f>
        <v/>
      </c>
      <c r="V149" s="18">
        <f>EXACT(TRIM(F149),"'"&amp;K149&amp;"'")</f>
        <v/>
      </c>
      <c r="W149" s="18">
        <f>AND(S149:V149)</f>
        <v/>
      </c>
      <c r="X149" s="19">
        <f>TRIM(IF(S149,"",$S$3&amp;" ")&amp;IF(T149,"",$T$3&amp;" ")&amp;IF(U149,"",$U$3&amp;" ")&amp;IF(V149,"",$V$3&amp;" "))</f>
        <v/>
      </c>
      <c r="Y149" s="18">
        <f>EXACT(SUBSTITUTE(A149," ",""),SUBSTITUTE(M149&amp;N149&amp;O149&amp;P149&amp;Q149," ",""))</f>
        <v/>
      </c>
    </row>
    <row r="150">
      <c r="A150" s="15" t="inlineStr">
        <is>
          <t>INSERT INTO MNG_DEAL_LIST_DSP_TBL VALUES(10 , 6 , 7 , 'Y' );</t>
        </is>
      </c>
      <c r="B150" s="16" t="n"/>
      <c r="C150" s="15" t="inlineStr">
        <is>
          <t xml:space="preserve">10 </t>
        </is>
      </c>
      <c r="D150" s="15" t="inlineStr">
        <is>
          <t xml:space="preserve"> 6 </t>
        </is>
      </c>
      <c r="E150" s="15" t="inlineStr">
        <is>
          <t xml:space="preserve"> 7 </t>
        </is>
      </c>
      <c r="F150" s="15" t="inlineStr">
        <is>
          <t xml:space="preserve"> 'Y' </t>
        </is>
      </c>
      <c r="H150" s="17" t="inlineStr">
        <is>
          <t>10</t>
        </is>
      </c>
      <c r="I150" s="17" t="inlineStr">
        <is>
          <t>6</t>
        </is>
      </c>
      <c r="J150" s="17" t="inlineStr">
        <is>
          <t>7</t>
        </is>
      </c>
      <c r="K150" s="17" t="inlineStr">
        <is>
          <t>Y</t>
        </is>
      </c>
      <c r="M150" s="15" t="inlineStr">
        <is>
          <t>INSERT INTO</t>
        </is>
      </c>
      <c r="N150" s="15" t="inlineStr">
        <is>
          <t>MNG_DEAL_LIST_DSP_TBL</t>
        </is>
      </c>
      <c r="O150" s="15" t="inlineStr">
        <is>
          <t>VALUES(</t>
        </is>
      </c>
      <c r="P150" s="15" t="inlineStr">
        <is>
          <t xml:space="preserve">10 , 6 , 7 , 'Y' </t>
        </is>
      </c>
      <c r="Q150" s="15" t="inlineStr">
        <is>
          <t>);</t>
        </is>
      </c>
      <c r="S150" s="18">
        <f>EXACT(TRIM(C150),H150&amp;"")</f>
        <v/>
      </c>
      <c r="T150" s="18">
        <f>EXACT(TRIM(D150),I150&amp;"")</f>
        <v/>
      </c>
      <c r="U150" s="18">
        <f>EXACT(TRIM(E150),J150&amp;"")</f>
        <v/>
      </c>
      <c r="V150" s="18">
        <f>EXACT(TRIM(F150),"'"&amp;K150&amp;"'")</f>
        <v/>
      </c>
      <c r="W150" s="18">
        <f>AND(S150:V150)</f>
        <v/>
      </c>
      <c r="X150" s="19">
        <f>TRIM(IF(S150,"",$S$3&amp;" ")&amp;IF(T150,"",$T$3&amp;" ")&amp;IF(U150,"",$U$3&amp;" ")&amp;IF(V150,"",$V$3&amp;" "))</f>
        <v/>
      </c>
      <c r="Y150" s="18">
        <f>EXACT(SUBSTITUTE(A150," ",""),SUBSTITUTE(M150&amp;N150&amp;O150&amp;P150&amp;Q150," ",""))</f>
        <v/>
      </c>
    </row>
    <row r="151">
      <c r="A151" s="15" t="inlineStr">
        <is>
          <t>INSERT INTO MNG_DEAL_LIST_DSP_TBL VALUES(10 , 6 , 8 , 'Y' );</t>
        </is>
      </c>
      <c r="B151" s="16" t="n"/>
      <c r="C151" s="15" t="inlineStr">
        <is>
          <t xml:space="preserve">10 </t>
        </is>
      </c>
      <c r="D151" s="15" t="inlineStr">
        <is>
          <t xml:space="preserve"> 6 </t>
        </is>
      </c>
      <c r="E151" s="15" t="inlineStr">
        <is>
          <t xml:space="preserve"> 8 </t>
        </is>
      </c>
      <c r="F151" s="15" t="inlineStr">
        <is>
          <t xml:space="preserve"> 'Y' </t>
        </is>
      </c>
      <c r="H151" s="17" t="inlineStr">
        <is>
          <t>10</t>
        </is>
      </c>
      <c r="I151" s="17" t="inlineStr">
        <is>
          <t>6</t>
        </is>
      </c>
      <c r="J151" s="17" t="inlineStr">
        <is>
          <t>8</t>
        </is>
      </c>
      <c r="K151" s="17" t="inlineStr">
        <is>
          <t>Y</t>
        </is>
      </c>
      <c r="M151" s="15" t="inlineStr">
        <is>
          <t>INSERT INTO</t>
        </is>
      </c>
      <c r="N151" s="15" t="inlineStr">
        <is>
          <t>MNG_DEAL_LIST_DSP_TBL</t>
        </is>
      </c>
      <c r="O151" s="15" t="inlineStr">
        <is>
          <t>VALUES(</t>
        </is>
      </c>
      <c r="P151" s="15" t="inlineStr">
        <is>
          <t xml:space="preserve">10 , 6 , 8 , 'Y' </t>
        </is>
      </c>
      <c r="Q151" s="15" t="inlineStr">
        <is>
          <t>);</t>
        </is>
      </c>
      <c r="S151" s="18">
        <f>EXACT(TRIM(C151),H151&amp;"")</f>
        <v/>
      </c>
      <c r="T151" s="18">
        <f>EXACT(TRIM(D151),I151&amp;"")</f>
        <v/>
      </c>
      <c r="U151" s="18">
        <f>EXACT(TRIM(E151),J151&amp;"")</f>
        <v/>
      </c>
      <c r="V151" s="18">
        <f>EXACT(TRIM(F151),"'"&amp;K151&amp;"'")</f>
        <v/>
      </c>
      <c r="W151" s="18">
        <f>AND(S151:V151)</f>
        <v/>
      </c>
      <c r="X151" s="19">
        <f>TRIM(IF(S151,"",$S$3&amp;" ")&amp;IF(T151,"",$T$3&amp;" ")&amp;IF(U151,"",$U$3&amp;" ")&amp;IF(V151,"",$V$3&amp;" "))</f>
        <v/>
      </c>
      <c r="Y151" s="18">
        <f>EXACT(SUBSTITUTE(A151," ",""),SUBSTITUTE(M151&amp;N151&amp;O151&amp;P151&amp;Q151," ",""))</f>
        <v/>
      </c>
    </row>
    <row r="152">
      <c r="A152" s="15" t="inlineStr">
        <is>
          <t>INSERT INTO MNG_DEAL_LIST_DSP_TBL VALUES(10 , 6 , 9 , 'Y' );</t>
        </is>
      </c>
      <c r="B152" s="16" t="n"/>
      <c r="C152" s="15" t="inlineStr">
        <is>
          <t xml:space="preserve">10 </t>
        </is>
      </c>
      <c r="D152" s="15" t="inlineStr">
        <is>
          <t xml:space="preserve"> 6 </t>
        </is>
      </c>
      <c r="E152" s="15" t="inlineStr">
        <is>
          <t xml:space="preserve"> 9 </t>
        </is>
      </c>
      <c r="F152" s="15" t="inlineStr">
        <is>
          <t xml:space="preserve"> 'Y' </t>
        </is>
      </c>
      <c r="H152" s="17" t="inlineStr">
        <is>
          <t>10</t>
        </is>
      </c>
      <c r="I152" s="17" t="inlineStr">
        <is>
          <t>6</t>
        </is>
      </c>
      <c r="J152" s="17" t="inlineStr">
        <is>
          <t>9</t>
        </is>
      </c>
      <c r="K152" s="17" t="inlineStr">
        <is>
          <t>Y</t>
        </is>
      </c>
      <c r="M152" s="15" t="inlineStr">
        <is>
          <t>INSERT INTO</t>
        </is>
      </c>
      <c r="N152" s="15" t="inlineStr">
        <is>
          <t>MNG_DEAL_LIST_DSP_TBL</t>
        </is>
      </c>
      <c r="O152" s="15" t="inlineStr">
        <is>
          <t>VALUES(</t>
        </is>
      </c>
      <c r="P152" s="15" t="inlineStr">
        <is>
          <t xml:space="preserve">10 , 6 , 9 , 'Y' </t>
        </is>
      </c>
      <c r="Q152" s="15" t="inlineStr">
        <is>
          <t>);</t>
        </is>
      </c>
      <c r="S152" s="18">
        <f>EXACT(TRIM(C152),H152&amp;"")</f>
        <v/>
      </c>
      <c r="T152" s="18">
        <f>EXACT(TRIM(D152),I152&amp;"")</f>
        <v/>
      </c>
      <c r="U152" s="18">
        <f>EXACT(TRIM(E152),J152&amp;"")</f>
        <v/>
      </c>
      <c r="V152" s="18">
        <f>EXACT(TRIM(F152),"'"&amp;K152&amp;"'")</f>
        <v/>
      </c>
      <c r="W152" s="18">
        <f>AND(S152:V152)</f>
        <v/>
      </c>
      <c r="X152" s="19">
        <f>TRIM(IF(S152,"",$S$3&amp;" ")&amp;IF(T152,"",$T$3&amp;" ")&amp;IF(U152,"",$U$3&amp;" ")&amp;IF(V152,"",$V$3&amp;" "))</f>
        <v/>
      </c>
      <c r="Y152" s="18">
        <f>EXACT(SUBSTITUTE(A152," ",""),SUBSTITUTE(M152&amp;N152&amp;O152&amp;P152&amp;Q152," ",""))</f>
        <v/>
      </c>
    </row>
    <row r="153">
      <c r="A153" s="15" t="inlineStr">
        <is>
          <t>INSERT INTO MNG_DEAL_LIST_DSP_TBL VALUES(10 , 6 , 10 , 'N' );</t>
        </is>
      </c>
      <c r="B153" s="16" t="n"/>
      <c r="C153" s="15" t="inlineStr">
        <is>
          <t xml:space="preserve">10 </t>
        </is>
      </c>
      <c r="D153" s="15" t="inlineStr">
        <is>
          <t xml:space="preserve"> 6 </t>
        </is>
      </c>
      <c r="E153" s="15" t="inlineStr">
        <is>
          <t xml:space="preserve"> 10 </t>
        </is>
      </c>
      <c r="F153" s="15" t="inlineStr">
        <is>
          <t xml:space="preserve"> 'N' </t>
        </is>
      </c>
      <c r="H153" s="17" t="inlineStr">
        <is>
          <t>10</t>
        </is>
      </c>
      <c r="I153" s="17" t="inlineStr">
        <is>
          <t>6</t>
        </is>
      </c>
      <c r="J153" s="17" t="inlineStr">
        <is>
          <t>10</t>
        </is>
      </c>
      <c r="K153" s="17" t="inlineStr">
        <is>
          <t>N</t>
        </is>
      </c>
      <c r="M153" s="15" t="inlineStr">
        <is>
          <t>INSERT INTO</t>
        </is>
      </c>
      <c r="N153" s="15" t="inlineStr">
        <is>
          <t>MNG_DEAL_LIST_DSP_TBL</t>
        </is>
      </c>
      <c r="O153" s="15" t="inlineStr">
        <is>
          <t>VALUES(</t>
        </is>
      </c>
      <c r="P153" s="15" t="inlineStr">
        <is>
          <t xml:space="preserve">10 , 6 , 10 , 'N' </t>
        </is>
      </c>
      <c r="Q153" s="15" t="inlineStr">
        <is>
          <t>);</t>
        </is>
      </c>
      <c r="S153" s="18">
        <f>EXACT(TRIM(C153),H153&amp;"")</f>
        <v/>
      </c>
      <c r="T153" s="18">
        <f>EXACT(TRIM(D153),I153&amp;"")</f>
        <v/>
      </c>
      <c r="U153" s="18">
        <f>EXACT(TRIM(E153),J153&amp;"")</f>
        <v/>
      </c>
      <c r="V153" s="18">
        <f>EXACT(TRIM(F153),"'"&amp;K153&amp;"'")</f>
        <v/>
      </c>
      <c r="W153" s="18">
        <f>AND(S153:V153)</f>
        <v/>
      </c>
      <c r="X153" s="19">
        <f>TRIM(IF(S153,"",$S$3&amp;" ")&amp;IF(T153,"",$T$3&amp;" ")&amp;IF(U153,"",$U$3&amp;" ")&amp;IF(V153,"",$V$3&amp;" "))</f>
        <v/>
      </c>
      <c r="Y153" s="18">
        <f>EXACT(SUBSTITUTE(A153," ",""),SUBSTITUTE(M153&amp;N153&amp;O153&amp;P153&amp;Q153," ",""))</f>
        <v/>
      </c>
    </row>
    <row r="154">
      <c r="A154" s="15" t="inlineStr">
        <is>
          <t>INSERT INTO MNG_DEAL_LIST_DSP_TBL VALUES(10 , 6 , 11 , 'Y' );</t>
        </is>
      </c>
      <c r="B154" s="16" t="n"/>
      <c r="C154" s="15" t="inlineStr">
        <is>
          <t xml:space="preserve">10 </t>
        </is>
      </c>
      <c r="D154" s="15" t="inlineStr">
        <is>
          <t xml:space="preserve"> 6 </t>
        </is>
      </c>
      <c r="E154" s="15" t="inlineStr">
        <is>
          <t xml:space="preserve"> 11 </t>
        </is>
      </c>
      <c r="F154" s="15" t="inlineStr">
        <is>
          <t xml:space="preserve"> 'Y' </t>
        </is>
      </c>
      <c r="H154" s="17" t="inlineStr">
        <is>
          <t>10</t>
        </is>
      </c>
      <c r="I154" s="17" t="inlineStr">
        <is>
          <t>6</t>
        </is>
      </c>
      <c r="J154" s="17" t="inlineStr">
        <is>
          <t>11</t>
        </is>
      </c>
      <c r="K154" s="17" t="inlineStr">
        <is>
          <t>Y</t>
        </is>
      </c>
      <c r="M154" s="15" t="inlineStr">
        <is>
          <t>INSERT INTO</t>
        </is>
      </c>
      <c r="N154" s="15" t="inlineStr">
        <is>
          <t>MNG_DEAL_LIST_DSP_TBL</t>
        </is>
      </c>
      <c r="O154" s="15" t="inlineStr">
        <is>
          <t>VALUES(</t>
        </is>
      </c>
      <c r="P154" s="15" t="inlineStr">
        <is>
          <t xml:space="preserve">10 , 6 , 11 , 'Y' </t>
        </is>
      </c>
      <c r="Q154" s="15" t="inlineStr">
        <is>
          <t>);</t>
        </is>
      </c>
      <c r="S154" s="18">
        <f>EXACT(TRIM(C154),H154&amp;"")</f>
        <v/>
      </c>
      <c r="T154" s="18">
        <f>EXACT(TRIM(D154),I154&amp;"")</f>
        <v/>
      </c>
      <c r="U154" s="18">
        <f>EXACT(TRIM(E154),J154&amp;"")</f>
        <v/>
      </c>
      <c r="V154" s="18">
        <f>EXACT(TRIM(F154),"'"&amp;K154&amp;"'")</f>
        <v/>
      </c>
      <c r="W154" s="18">
        <f>AND(S154:V154)</f>
        <v/>
      </c>
      <c r="X154" s="19">
        <f>TRIM(IF(S154,"",$S$3&amp;" ")&amp;IF(T154,"",$T$3&amp;" ")&amp;IF(U154,"",$U$3&amp;" ")&amp;IF(V154,"",$V$3&amp;" "))</f>
        <v/>
      </c>
      <c r="Y154" s="18">
        <f>EXACT(SUBSTITUTE(A154," ",""),SUBSTITUTE(M154&amp;N154&amp;O154&amp;P154&amp;Q154," ",""))</f>
        <v/>
      </c>
    </row>
    <row r="155">
      <c r="A155" s="15" t="inlineStr">
        <is>
          <t>INSERT INTO MNG_DEAL_LIST_DSP_TBL VALUES(10 , 6 , 12 , 'Y' );</t>
        </is>
      </c>
      <c r="B155" s="16" t="n"/>
      <c r="C155" s="15" t="inlineStr">
        <is>
          <t xml:space="preserve">10 </t>
        </is>
      </c>
      <c r="D155" s="15" t="inlineStr">
        <is>
          <t xml:space="preserve"> 6 </t>
        </is>
      </c>
      <c r="E155" s="15" t="inlineStr">
        <is>
          <t xml:space="preserve"> 12 </t>
        </is>
      </c>
      <c r="F155" s="15" t="inlineStr">
        <is>
          <t xml:space="preserve"> 'Y' </t>
        </is>
      </c>
      <c r="H155" s="17" t="inlineStr">
        <is>
          <t>10</t>
        </is>
      </c>
      <c r="I155" s="17" t="inlineStr">
        <is>
          <t>6</t>
        </is>
      </c>
      <c r="J155" s="17" t="inlineStr">
        <is>
          <t>12</t>
        </is>
      </c>
      <c r="K155" s="17" t="inlineStr">
        <is>
          <t>Y</t>
        </is>
      </c>
      <c r="M155" s="15" t="inlineStr">
        <is>
          <t>INSERT INTO</t>
        </is>
      </c>
      <c r="N155" s="15" t="inlineStr">
        <is>
          <t>MNG_DEAL_LIST_DSP_TBL</t>
        </is>
      </c>
      <c r="O155" s="15" t="inlineStr">
        <is>
          <t>VALUES(</t>
        </is>
      </c>
      <c r="P155" s="15" t="inlineStr">
        <is>
          <t xml:space="preserve">10 , 6 , 12 , 'Y' </t>
        </is>
      </c>
      <c r="Q155" s="15" t="inlineStr">
        <is>
          <t>);</t>
        </is>
      </c>
      <c r="S155" s="18">
        <f>EXACT(TRIM(C155),H155&amp;"")</f>
        <v/>
      </c>
      <c r="T155" s="18">
        <f>EXACT(TRIM(D155),I155&amp;"")</f>
        <v/>
      </c>
      <c r="U155" s="18">
        <f>EXACT(TRIM(E155),J155&amp;"")</f>
        <v/>
      </c>
      <c r="V155" s="18">
        <f>EXACT(TRIM(F155),"'"&amp;K155&amp;"'")</f>
        <v/>
      </c>
      <c r="W155" s="18">
        <f>AND(S155:V155)</f>
        <v/>
      </c>
      <c r="X155" s="19">
        <f>TRIM(IF(S155,"",$S$3&amp;" ")&amp;IF(T155,"",$T$3&amp;" ")&amp;IF(U155,"",$U$3&amp;" ")&amp;IF(V155,"",$V$3&amp;" "))</f>
        <v/>
      </c>
      <c r="Y155" s="18">
        <f>EXACT(SUBSTITUTE(A155," ",""),SUBSTITUTE(M155&amp;N155&amp;O155&amp;P155&amp;Q155," ",""))</f>
        <v/>
      </c>
    </row>
    <row r="156">
      <c r="A156" s="15" t="inlineStr">
        <is>
          <t>INSERT INTO MNG_DEAL_LIST_DSP_TBL VALUES(10 , 6 , 13 , 'Y' );</t>
        </is>
      </c>
      <c r="B156" s="16" t="n"/>
      <c r="C156" s="15" t="inlineStr">
        <is>
          <t xml:space="preserve">10 </t>
        </is>
      </c>
      <c r="D156" s="15" t="inlineStr">
        <is>
          <t xml:space="preserve"> 6 </t>
        </is>
      </c>
      <c r="E156" s="15" t="inlineStr">
        <is>
          <t xml:space="preserve"> 13 </t>
        </is>
      </c>
      <c r="F156" s="15" t="inlineStr">
        <is>
          <t xml:space="preserve"> 'Y' </t>
        </is>
      </c>
      <c r="H156" s="17" t="inlineStr">
        <is>
          <t>10</t>
        </is>
      </c>
      <c r="I156" s="17" t="inlineStr">
        <is>
          <t>6</t>
        </is>
      </c>
      <c r="J156" s="17" t="inlineStr">
        <is>
          <t>13</t>
        </is>
      </c>
      <c r="K156" s="17" t="inlineStr">
        <is>
          <t>Y</t>
        </is>
      </c>
      <c r="M156" s="15" t="inlineStr">
        <is>
          <t>INSERT INTO</t>
        </is>
      </c>
      <c r="N156" s="15" t="inlineStr">
        <is>
          <t>MNG_DEAL_LIST_DSP_TBL</t>
        </is>
      </c>
      <c r="O156" s="15" t="inlineStr">
        <is>
          <t>VALUES(</t>
        </is>
      </c>
      <c r="P156" s="15" t="inlineStr">
        <is>
          <t xml:space="preserve">10 , 6 , 13 , 'Y' </t>
        </is>
      </c>
      <c r="Q156" s="15" t="inlineStr">
        <is>
          <t>);</t>
        </is>
      </c>
      <c r="S156" s="18">
        <f>EXACT(TRIM(C156),H156&amp;"")</f>
        <v/>
      </c>
      <c r="T156" s="18">
        <f>EXACT(TRIM(D156),I156&amp;"")</f>
        <v/>
      </c>
      <c r="U156" s="18">
        <f>EXACT(TRIM(E156),J156&amp;"")</f>
        <v/>
      </c>
      <c r="V156" s="18">
        <f>EXACT(TRIM(F156),"'"&amp;K156&amp;"'")</f>
        <v/>
      </c>
      <c r="W156" s="18">
        <f>AND(S156:V156)</f>
        <v/>
      </c>
      <c r="X156" s="19">
        <f>TRIM(IF(S156,"",$S$3&amp;" ")&amp;IF(T156,"",$T$3&amp;" ")&amp;IF(U156,"",$U$3&amp;" ")&amp;IF(V156,"",$V$3&amp;" "))</f>
        <v/>
      </c>
      <c r="Y156" s="18">
        <f>EXACT(SUBSTITUTE(A156," ",""),SUBSTITUTE(M156&amp;N156&amp;O156&amp;P156&amp;Q156," ",""))</f>
        <v/>
      </c>
    </row>
    <row r="157">
      <c r="A157" s="15" t="inlineStr">
        <is>
          <t>INSERT INTO MNG_DEAL_LIST_DSP_TBL VALUES(10 , 6 , 14 , 'Y' );</t>
        </is>
      </c>
      <c r="B157" s="16" t="n"/>
      <c r="C157" s="15" t="inlineStr">
        <is>
          <t xml:space="preserve">10 </t>
        </is>
      </c>
      <c r="D157" s="15" t="inlineStr">
        <is>
          <t xml:space="preserve"> 6 </t>
        </is>
      </c>
      <c r="E157" s="15" t="inlineStr">
        <is>
          <t xml:space="preserve"> 14 </t>
        </is>
      </c>
      <c r="F157" s="15" t="inlineStr">
        <is>
          <t xml:space="preserve"> 'Y' </t>
        </is>
      </c>
      <c r="H157" s="17" t="inlineStr">
        <is>
          <t>10</t>
        </is>
      </c>
      <c r="I157" s="17" t="inlineStr">
        <is>
          <t>6</t>
        </is>
      </c>
      <c r="J157" s="17" t="inlineStr">
        <is>
          <t>14</t>
        </is>
      </c>
      <c r="K157" s="17" t="inlineStr">
        <is>
          <t>Y</t>
        </is>
      </c>
      <c r="M157" s="15" t="inlineStr">
        <is>
          <t>INSERT INTO</t>
        </is>
      </c>
      <c r="N157" s="15" t="inlineStr">
        <is>
          <t>MNG_DEAL_LIST_DSP_TBL</t>
        </is>
      </c>
      <c r="O157" s="15" t="inlineStr">
        <is>
          <t>VALUES(</t>
        </is>
      </c>
      <c r="P157" s="15" t="inlineStr">
        <is>
          <t xml:space="preserve">10 , 6 , 14 , 'Y' </t>
        </is>
      </c>
      <c r="Q157" s="15" t="inlineStr">
        <is>
          <t>);</t>
        </is>
      </c>
      <c r="S157" s="18">
        <f>EXACT(TRIM(C157),H157&amp;"")</f>
        <v/>
      </c>
      <c r="T157" s="18">
        <f>EXACT(TRIM(D157),I157&amp;"")</f>
        <v/>
      </c>
      <c r="U157" s="18">
        <f>EXACT(TRIM(E157),J157&amp;"")</f>
        <v/>
      </c>
      <c r="V157" s="18">
        <f>EXACT(TRIM(F157),"'"&amp;K157&amp;"'")</f>
        <v/>
      </c>
      <c r="W157" s="18">
        <f>AND(S157:V157)</f>
        <v/>
      </c>
      <c r="X157" s="19">
        <f>TRIM(IF(S157,"",$S$3&amp;" ")&amp;IF(T157,"",$T$3&amp;" ")&amp;IF(U157,"",$U$3&amp;" ")&amp;IF(V157,"",$V$3&amp;" "))</f>
        <v/>
      </c>
      <c r="Y157" s="18">
        <f>EXACT(SUBSTITUTE(A157," ",""),SUBSTITUTE(M157&amp;N157&amp;O157&amp;P157&amp;Q157," ",""))</f>
        <v/>
      </c>
    </row>
    <row r="158">
      <c r="A158" s="15" t="inlineStr">
        <is>
          <t>INSERT INTO MNG_DEAL_LIST_DSP_TBL VALUES(10 , 6 , 15 , 'Y' );</t>
        </is>
      </c>
      <c r="B158" s="16" t="n"/>
      <c r="C158" s="15" t="inlineStr">
        <is>
          <t xml:space="preserve">10 </t>
        </is>
      </c>
      <c r="D158" s="15" t="inlineStr">
        <is>
          <t xml:space="preserve"> 6 </t>
        </is>
      </c>
      <c r="E158" s="15" t="inlineStr">
        <is>
          <t xml:space="preserve"> 15 </t>
        </is>
      </c>
      <c r="F158" s="15" t="inlineStr">
        <is>
          <t xml:space="preserve"> 'Y' </t>
        </is>
      </c>
      <c r="H158" s="17" t="inlineStr">
        <is>
          <t>10</t>
        </is>
      </c>
      <c r="I158" s="17" t="inlineStr">
        <is>
          <t>6</t>
        </is>
      </c>
      <c r="J158" s="17" t="inlineStr">
        <is>
          <t>15</t>
        </is>
      </c>
      <c r="K158" s="17" t="inlineStr">
        <is>
          <t>Y</t>
        </is>
      </c>
      <c r="M158" s="15" t="inlineStr">
        <is>
          <t>INSERT INTO</t>
        </is>
      </c>
      <c r="N158" s="15" t="inlineStr">
        <is>
          <t>MNG_DEAL_LIST_DSP_TBL</t>
        </is>
      </c>
      <c r="O158" s="15" t="inlineStr">
        <is>
          <t>VALUES(</t>
        </is>
      </c>
      <c r="P158" s="15" t="inlineStr">
        <is>
          <t xml:space="preserve">10 , 6 , 15 , 'Y' </t>
        </is>
      </c>
      <c r="Q158" s="15" t="inlineStr">
        <is>
          <t>);</t>
        </is>
      </c>
      <c r="S158" s="18">
        <f>EXACT(TRIM(C158),H158&amp;"")</f>
        <v/>
      </c>
      <c r="T158" s="18">
        <f>EXACT(TRIM(D158),I158&amp;"")</f>
        <v/>
      </c>
      <c r="U158" s="18">
        <f>EXACT(TRIM(E158),J158&amp;"")</f>
        <v/>
      </c>
      <c r="V158" s="18">
        <f>EXACT(TRIM(F158),"'"&amp;K158&amp;"'")</f>
        <v/>
      </c>
      <c r="W158" s="18">
        <f>AND(S158:V158)</f>
        <v/>
      </c>
      <c r="X158" s="19">
        <f>TRIM(IF(S158,"",$S$3&amp;" ")&amp;IF(T158,"",$T$3&amp;" ")&amp;IF(U158,"",$U$3&amp;" ")&amp;IF(V158,"",$V$3&amp;" "))</f>
        <v/>
      </c>
      <c r="Y158" s="18">
        <f>EXACT(SUBSTITUTE(A158," ",""),SUBSTITUTE(M158&amp;N158&amp;O158&amp;P158&amp;Q158," ",""))</f>
        <v/>
      </c>
    </row>
    <row r="159">
      <c r="A159" s="15" t="inlineStr">
        <is>
          <t>INSERT INTO MNG_DEAL_LIST_DSP_TBL VALUES(10 , 6 , 16 , 'Y' );</t>
        </is>
      </c>
      <c r="B159" s="16" t="n"/>
      <c r="C159" s="15" t="inlineStr">
        <is>
          <t xml:space="preserve">10 </t>
        </is>
      </c>
      <c r="D159" s="15" t="inlineStr">
        <is>
          <t xml:space="preserve"> 6 </t>
        </is>
      </c>
      <c r="E159" s="15" t="inlineStr">
        <is>
          <t xml:space="preserve"> 16 </t>
        </is>
      </c>
      <c r="F159" s="15" t="inlineStr">
        <is>
          <t xml:space="preserve"> 'Y' </t>
        </is>
      </c>
      <c r="H159" s="17" t="inlineStr">
        <is>
          <t>10</t>
        </is>
      </c>
      <c r="I159" s="17" t="inlineStr">
        <is>
          <t>6</t>
        </is>
      </c>
      <c r="J159" s="17" t="inlineStr">
        <is>
          <t>16</t>
        </is>
      </c>
      <c r="K159" s="17" t="inlineStr">
        <is>
          <t>Y</t>
        </is>
      </c>
      <c r="M159" s="15" t="inlineStr">
        <is>
          <t>INSERT INTO</t>
        </is>
      </c>
      <c r="N159" s="15" t="inlineStr">
        <is>
          <t>MNG_DEAL_LIST_DSP_TBL</t>
        </is>
      </c>
      <c r="O159" s="15" t="inlineStr">
        <is>
          <t>VALUES(</t>
        </is>
      </c>
      <c r="P159" s="15" t="inlineStr">
        <is>
          <t xml:space="preserve">10 , 6 , 16 , 'Y' </t>
        </is>
      </c>
      <c r="Q159" s="15" t="inlineStr">
        <is>
          <t>);</t>
        </is>
      </c>
      <c r="S159" s="18">
        <f>EXACT(TRIM(C159),H159&amp;"")</f>
        <v/>
      </c>
      <c r="T159" s="18">
        <f>EXACT(TRIM(D159),I159&amp;"")</f>
        <v/>
      </c>
      <c r="U159" s="18">
        <f>EXACT(TRIM(E159),J159&amp;"")</f>
        <v/>
      </c>
      <c r="V159" s="18">
        <f>EXACT(TRIM(F159),"'"&amp;K159&amp;"'")</f>
        <v/>
      </c>
      <c r="W159" s="18">
        <f>AND(S159:V159)</f>
        <v/>
      </c>
      <c r="X159" s="19">
        <f>TRIM(IF(S159,"",$S$3&amp;" ")&amp;IF(T159,"",$T$3&amp;" ")&amp;IF(U159,"",$U$3&amp;" ")&amp;IF(V159,"",$V$3&amp;" "))</f>
        <v/>
      </c>
      <c r="Y159" s="18">
        <f>EXACT(SUBSTITUTE(A159," ",""),SUBSTITUTE(M159&amp;N159&amp;O159&amp;P159&amp;Q159," ",""))</f>
        <v/>
      </c>
    </row>
    <row r="160">
      <c r="A160" s="15" t="inlineStr">
        <is>
          <t>INSERT INTO MNG_DEAL_LIST_DSP_TBL VALUES(10 , 7 , 1 , 'Y' );</t>
        </is>
      </c>
      <c r="B160" s="16" t="n"/>
      <c r="C160" s="15" t="inlineStr">
        <is>
          <t xml:space="preserve">10 </t>
        </is>
      </c>
      <c r="D160" s="15" t="inlineStr">
        <is>
          <t xml:space="preserve"> 7 </t>
        </is>
      </c>
      <c r="E160" s="15" t="inlineStr">
        <is>
          <t xml:space="preserve"> 1 </t>
        </is>
      </c>
      <c r="F160" s="15" t="inlineStr">
        <is>
          <t xml:space="preserve"> 'Y' </t>
        </is>
      </c>
      <c r="H160" s="17" t="inlineStr">
        <is>
          <t>10</t>
        </is>
      </c>
      <c r="I160" s="17" t="inlineStr">
        <is>
          <t>7</t>
        </is>
      </c>
      <c r="J160" s="17" t="inlineStr">
        <is>
          <t>1</t>
        </is>
      </c>
      <c r="K160" s="17" t="inlineStr">
        <is>
          <t>Y</t>
        </is>
      </c>
      <c r="M160" s="15" t="inlineStr">
        <is>
          <t>INSERT INTO</t>
        </is>
      </c>
      <c r="N160" s="15" t="inlineStr">
        <is>
          <t>MNG_DEAL_LIST_DSP_TBL</t>
        </is>
      </c>
      <c r="O160" s="15" t="inlineStr">
        <is>
          <t>VALUES(</t>
        </is>
      </c>
      <c r="P160" s="15" t="inlineStr">
        <is>
          <t xml:space="preserve">10 , 7 , 1 , 'Y' </t>
        </is>
      </c>
      <c r="Q160" s="15" t="inlineStr">
        <is>
          <t>);</t>
        </is>
      </c>
      <c r="S160" s="18">
        <f>EXACT(TRIM(C160),H160&amp;"")</f>
        <v/>
      </c>
      <c r="T160" s="18">
        <f>EXACT(TRIM(D160),I160&amp;"")</f>
        <v/>
      </c>
      <c r="U160" s="18">
        <f>EXACT(TRIM(E160),J160&amp;"")</f>
        <v/>
      </c>
      <c r="V160" s="18">
        <f>EXACT(TRIM(F160),"'"&amp;K160&amp;"'")</f>
        <v/>
      </c>
      <c r="W160" s="18">
        <f>AND(S160:V160)</f>
        <v/>
      </c>
      <c r="X160" s="19">
        <f>TRIM(IF(S160,"",$S$3&amp;" ")&amp;IF(T160,"",$T$3&amp;" ")&amp;IF(U160,"",$U$3&amp;" ")&amp;IF(V160,"",$V$3&amp;" "))</f>
        <v/>
      </c>
      <c r="Y160" s="18">
        <f>EXACT(SUBSTITUTE(A160," ",""),SUBSTITUTE(M160&amp;N160&amp;O160&amp;P160&amp;Q160," ",""))</f>
        <v/>
      </c>
    </row>
    <row r="161">
      <c r="A161" s="15" t="inlineStr">
        <is>
          <t>INSERT INTO MNG_DEAL_LIST_DSP_TBL VALUES(10 , 7 , 2 , 'N' );</t>
        </is>
      </c>
      <c r="B161" s="16" t="n"/>
      <c r="C161" s="15" t="inlineStr">
        <is>
          <t xml:space="preserve">10 </t>
        </is>
      </c>
      <c r="D161" s="15" t="inlineStr">
        <is>
          <t xml:space="preserve"> 7 </t>
        </is>
      </c>
      <c r="E161" s="15" t="inlineStr">
        <is>
          <t xml:space="preserve"> 2 </t>
        </is>
      </c>
      <c r="F161" s="15" t="inlineStr">
        <is>
          <t xml:space="preserve"> 'N' </t>
        </is>
      </c>
      <c r="H161" s="17" t="inlineStr">
        <is>
          <t>10</t>
        </is>
      </c>
      <c r="I161" s="17" t="inlineStr">
        <is>
          <t>7</t>
        </is>
      </c>
      <c r="J161" s="17" t="inlineStr">
        <is>
          <t>2</t>
        </is>
      </c>
      <c r="K161" s="17" t="inlineStr">
        <is>
          <t>N</t>
        </is>
      </c>
      <c r="M161" s="15" t="inlineStr">
        <is>
          <t>INSERT INTO</t>
        </is>
      </c>
      <c r="N161" s="15" t="inlineStr">
        <is>
          <t>MNG_DEAL_LIST_DSP_TBL</t>
        </is>
      </c>
      <c r="O161" s="15" t="inlineStr">
        <is>
          <t>VALUES(</t>
        </is>
      </c>
      <c r="P161" s="15" t="inlineStr">
        <is>
          <t xml:space="preserve">10 , 7 , 2 , 'N' </t>
        </is>
      </c>
      <c r="Q161" s="15" t="inlineStr">
        <is>
          <t>);</t>
        </is>
      </c>
      <c r="S161" s="18">
        <f>EXACT(TRIM(C161),H161&amp;"")</f>
        <v/>
      </c>
      <c r="T161" s="18">
        <f>EXACT(TRIM(D161),I161&amp;"")</f>
        <v/>
      </c>
      <c r="U161" s="18">
        <f>EXACT(TRIM(E161),J161&amp;"")</f>
        <v/>
      </c>
      <c r="V161" s="18">
        <f>EXACT(TRIM(F161),"'"&amp;K161&amp;"'")</f>
        <v/>
      </c>
      <c r="W161" s="18">
        <f>AND(S161:V161)</f>
        <v/>
      </c>
      <c r="X161" s="19">
        <f>TRIM(IF(S161,"",$S$3&amp;" ")&amp;IF(T161,"",$T$3&amp;" ")&amp;IF(U161,"",$U$3&amp;" ")&amp;IF(V161,"",$V$3&amp;" "))</f>
        <v/>
      </c>
      <c r="Y161" s="18">
        <f>EXACT(SUBSTITUTE(A161," ",""),SUBSTITUTE(M161&amp;N161&amp;O161&amp;P161&amp;Q161," ",""))</f>
        <v/>
      </c>
    </row>
    <row r="162">
      <c r="A162" s="15" t="inlineStr">
        <is>
          <t>INSERT INTO MNG_DEAL_LIST_DSP_TBL VALUES(10 , 7 , 3 , 'N' );</t>
        </is>
      </c>
      <c r="B162" s="16" t="n"/>
      <c r="C162" s="15" t="inlineStr">
        <is>
          <t xml:space="preserve">10 </t>
        </is>
      </c>
      <c r="D162" s="15" t="inlineStr">
        <is>
          <t xml:space="preserve"> 7 </t>
        </is>
      </c>
      <c r="E162" s="15" t="inlineStr">
        <is>
          <t xml:space="preserve"> 3 </t>
        </is>
      </c>
      <c r="F162" s="15" t="inlineStr">
        <is>
          <t xml:space="preserve"> 'N' </t>
        </is>
      </c>
      <c r="H162" s="17" t="inlineStr">
        <is>
          <t>10</t>
        </is>
      </c>
      <c r="I162" s="17" t="inlineStr">
        <is>
          <t>7</t>
        </is>
      </c>
      <c r="J162" s="17" t="inlineStr">
        <is>
          <t>3</t>
        </is>
      </c>
      <c r="K162" s="17" t="inlineStr">
        <is>
          <t>N</t>
        </is>
      </c>
      <c r="M162" s="15" t="inlineStr">
        <is>
          <t>INSERT INTO</t>
        </is>
      </c>
      <c r="N162" s="15" t="inlineStr">
        <is>
          <t>MNG_DEAL_LIST_DSP_TBL</t>
        </is>
      </c>
      <c r="O162" s="15" t="inlineStr">
        <is>
          <t>VALUES(</t>
        </is>
      </c>
      <c r="P162" s="15" t="inlineStr">
        <is>
          <t xml:space="preserve">10 , 7 , 3 , 'N' </t>
        </is>
      </c>
      <c r="Q162" s="15" t="inlineStr">
        <is>
          <t>);</t>
        </is>
      </c>
      <c r="S162" s="18">
        <f>EXACT(TRIM(C162),H162&amp;"")</f>
        <v/>
      </c>
      <c r="T162" s="18">
        <f>EXACT(TRIM(D162),I162&amp;"")</f>
        <v/>
      </c>
      <c r="U162" s="18">
        <f>EXACT(TRIM(E162),J162&amp;"")</f>
        <v/>
      </c>
      <c r="V162" s="18">
        <f>EXACT(TRIM(F162),"'"&amp;K162&amp;"'")</f>
        <v/>
      </c>
      <c r="W162" s="18">
        <f>AND(S162:V162)</f>
        <v/>
      </c>
      <c r="X162" s="19">
        <f>TRIM(IF(S162,"",$S$3&amp;" ")&amp;IF(T162,"",$T$3&amp;" ")&amp;IF(U162,"",$U$3&amp;" ")&amp;IF(V162,"",$V$3&amp;" "))</f>
        <v/>
      </c>
      <c r="Y162" s="18">
        <f>EXACT(SUBSTITUTE(A162," ",""),SUBSTITUTE(M162&amp;N162&amp;O162&amp;P162&amp;Q162," ",""))</f>
        <v/>
      </c>
    </row>
    <row r="163">
      <c r="A163" s="15" t="inlineStr">
        <is>
          <t>INSERT INTO MNG_DEAL_LIST_DSP_TBL VALUES(10 , 7 , 4 , 'Y' );</t>
        </is>
      </c>
      <c r="B163" s="16" t="n"/>
      <c r="C163" s="15" t="inlineStr">
        <is>
          <t xml:space="preserve">10 </t>
        </is>
      </c>
      <c r="D163" s="15" t="inlineStr">
        <is>
          <t xml:space="preserve"> 7 </t>
        </is>
      </c>
      <c r="E163" s="15" t="inlineStr">
        <is>
          <t xml:space="preserve"> 4 </t>
        </is>
      </c>
      <c r="F163" s="15" t="inlineStr">
        <is>
          <t xml:space="preserve"> 'Y' </t>
        </is>
      </c>
      <c r="H163" s="17" t="inlineStr">
        <is>
          <t>10</t>
        </is>
      </c>
      <c r="I163" s="17" t="inlineStr">
        <is>
          <t>7</t>
        </is>
      </c>
      <c r="J163" s="17" t="inlineStr">
        <is>
          <t>4</t>
        </is>
      </c>
      <c r="K163" s="17" t="inlineStr">
        <is>
          <t>Y</t>
        </is>
      </c>
      <c r="M163" s="15" t="inlineStr">
        <is>
          <t>INSERT INTO</t>
        </is>
      </c>
      <c r="N163" s="15" t="inlineStr">
        <is>
          <t>MNG_DEAL_LIST_DSP_TBL</t>
        </is>
      </c>
      <c r="O163" s="15" t="inlineStr">
        <is>
          <t>VALUES(</t>
        </is>
      </c>
      <c r="P163" s="15" t="inlineStr">
        <is>
          <t xml:space="preserve">10 , 7 , 4 , 'Y' </t>
        </is>
      </c>
      <c r="Q163" s="15" t="inlineStr">
        <is>
          <t>);</t>
        </is>
      </c>
      <c r="S163" s="18">
        <f>EXACT(TRIM(C163),H163&amp;"")</f>
        <v/>
      </c>
      <c r="T163" s="18">
        <f>EXACT(TRIM(D163),I163&amp;"")</f>
        <v/>
      </c>
      <c r="U163" s="18">
        <f>EXACT(TRIM(E163),J163&amp;"")</f>
        <v/>
      </c>
      <c r="V163" s="18">
        <f>EXACT(TRIM(F163),"'"&amp;K163&amp;"'")</f>
        <v/>
      </c>
      <c r="W163" s="18">
        <f>AND(S163:V163)</f>
        <v/>
      </c>
      <c r="X163" s="19">
        <f>TRIM(IF(S163,"",$S$3&amp;" ")&amp;IF(T163,"",$T$3&amp;" ")&amp;IF(U163,"",$U$3&amp;" ")&amp;IF(V163,"",$V$3&amp;" "))</f>
        <v/>
      </c>
      <c r="Y163" s="18">
        <f>EXACT(SUBSTITUTE(A163," ",""),SUBSTITUTE(M163&amp;N163&amp;O163&amp;P163&amp;Q163," ",""))</f>
        <v/>
      </c>
    </row>
    <row r="164">
      <c r="A164" s="15" t="inlineStr">
        <is>
          <t>INSERT INTO MNG_DEAL_LIST_DSP_TBL VALUES(10 , 7 , 5 , 'Y' );</t>
        </is>
      </c>
      <c r="B164" s="16" t="n"/>
      <c r="C164" s="15" t="inlineStr">
        <is>
          <t xml:space="preserve">10 </t>
        </is>
      </c>
      <c r="D164" s="15" t="inlineStr">
        <is>
          <t xml:space="preserve"> 7 </t>
        </is>
      </c>
      <c r="E164" s="15" t="inlineStr">
        <is>
          <t xml:space="preserve"> 5 </t>
        </is>
      </c>
      <c r="F164" s="15" t="inlineStr">
        <is>
          <t xml:space="preserve"> 'Y' </t>
        </is>
      </c>
      <c r="H164" s="17" t="inlineStr">
        <is>
          <t>10</t>
        </is>
      </c>
      <c r="I164" s="17" t="inlineStr">
        <is>
          <t>7</t>
        </is>
      </c>
      <c r="J164" s="17" t="inlineStr">
        <is>
          <t>5</t>
        </is>
      </c>
      <c r="K164" s="17" t="inlineStr">
        <is>
          <t>Y</t>
        </is>
      </c>
      <c r="M164" s="15" t="inlineStr">
        <is>
          <t>INSERT INTO</t>
        </is>
      </c>
      <c r="N164" s="15" t="inlineStr">
        <is>
          <t>MNG_DEAL_LIST_DSP_TBL</t>
        </is>
      </c>
      <c r="O164" s="15" t="inlineStr">
        <is>
          <t>VALUES(</t>
        </is>
      </c>
      <c r="P164" s="15" t="inlineStr">
        <is>
          <t xml:space="preserve">10 , 7 , 5 , 'Y' </t>
        </is>
      </c>
      <c r="Q164" s="15" t="inlineStr">
        <is>
          <t>);</t>
        </is>
      </c>
      <c r="S164" s="18">
        <f>EXACT(TRIM(C164),H164&amp;"")</f>
        <v/>
      </c>
      <c r="T164" s="18">
        <f>EXACT(TRIM(D164),I164&amp;"")</f>
        <v/>
      </c>
      <c r="U164" s="18">
        <f>EXACT(TRIM(E164),J164&amp;"")</f>
        <v/>
      </c>
      <c r="V164" s="18">
        <f>EXACT(TRIM(F164),"'"&amp;K164&amp;"'")</f>
        <v/>
      </c>
      <c r="W164" s="18">
        <f>AND(S164:V164)</f>
        <v/>
      </c>
      <c r="X164" s="19">
        <f>TRIM(IF(S164,"",$S$3&amp;" ")&amp;IF(T164,"",$T$3&amp;" ")&amp;IF(U164,"",$U$3&amp;" ")&amp;IF(V164,"",$V$3&amp;" "))</f>
        <v/>
      </c>
      <c r="Y164" s="18">
        <f>EXACT(SUBSTITUTE(A164," ",""),SUBSTITUTE(M164&amp;N164&amp;O164&amp;P164&amp;Q164," ",""))</f>
        <v/>
      </c>
    </row>
    <row r="165">
      <c r="A165" s="15" t="inlineStr">
        <is>
          <t>INSERT INTO MNG_DEAL_LIST_DSP_TBL VALUES(10 , 7 , 6 , 'Y' );</t>
        </is>
      </c>
      <c r="B165" s="16" t="n"/>
      <c r="C165" s="15" t="inlineStr">
        <is>
          <t xml:space="preserve">10 </t>
        </is>
      </c>
      <c r="D165" s="15" t="inlineStr">
        <is>
          <t xml:space="preserve"> 7 </t>
        </is>
      </c>
      <c r="E165" s="15" t="inlineStr">
        <is>
          <t xml:space="preserve"> 6 </t>
        </is>
      </c>
      <c r="F165" s="15" t="inlineStr">
        <is>
          <t xml:space="preserve"> 'Y' </t>
        </is>
      </c>
      <c r="H165" s="17" t="inlineStr">
        <is>
          <t>10</t>
        </is>
      </c>
      <c r="I165" s="17" t="inlineStr">
        <is>
          <t>7</t>
        </is>
      </c>
      <c r="J165" s="17" t="inlineStr">
        <is>
          <t>6</t>
        </is>
      </c>
      <c r="K165" s="17" t="inlineStr">
        <is>
          <t>Y</t>
        </is>
      </c>
      <c r="M165" s="15" t="inlineStr">
        <is>
          <t>INSERT INTO</t>
        </is>
      </c>
      <c r="N165" s="15" t="inlineStr">
        <is>
          <t>MNG_DEAL_LIST_DSP_TBL</t>
        </is>
      </c>
      <c r="O165" s="15" t="inlineStr">
        <is>
          <t>VALUES(</t>
        </is>
      </c>
      <c r="P165" s="15" t="inlineStr">
        <is>
          <t xml:space="preserve">10 , 7 , 6 , 'Y' </t>
        </is>
      </c>
      <c r="Q165" s="15" t="inlineStr">
        <is>
          <t>);</t>
        </is>
      </c>
      <c r="S165" s="18">
        <f>EXACT(TRIM(C165),H165&amp;"")</f>
        <v/>
      </c>
      <c r="T165" s="18">
        <f>EXACT(TRIM(D165),I165&amp;"")</f>
        <v/>
      </c>
      <c r="U165" s="18">
        <f>EXACT(TRIM(E165),J165&amp;"")</f>
        <v/>
      </c>
      <c r="V165" s="18">
        <f>EXACT(TRIM(F165),"'"&amp;K165&amp;"'")</f>
        <v/>
      </c>
      <c r="W165" s="18">
        <f>AND(S165:V165)</f>
        <v/>
      </c>
      <c r="X165" s="19">
        <f>TRIM(IF(S165,"",$S$3&amp;" ")&amp;IF(T165,"",$T$3&amp;" ")&amp;IF(U165,"",$U$3&amp;" ")&amp;IF(V165,"",$V$3&amp;" "))</f>
        <v/>
      </c>
      <c r="Y165" s="18">
        <f>EXACT(SUBSTITUTE(A165," ",""),SUBSTITUTE(M165&amp;N165&amp;O165&amp;P165&amp;Q165," ",""))</f>
        <v/>
      </c>
    </row>
    <row r="166">
      <c r="A166" s="15" t="inlineStr">
        <is>
          <t>INSERT INTO MNG_DEAL_LIST_DSP_TBL VALUES(10 , 7 , 7 , 'Y' );</t>
        </is>
      </c>
      <c r="B166" s="16" t="n"/>
      <c r="C166" s="15" t="inlineStr">
        <is>
          <t xml:space="preserve">10 </t>
        </is>
      </c>
      <c r="D166" s="15" t="inlineStr">
        <is>
          <t xml:space="preserve"> 7 </t>
        </is>
      </c>
      <c r="E166" s="15" t="inlineStr">
        <is>
          <t xml:space="preserve"> 7 </t>
        </is>
      </c>
      <c r="F166" s="15" t="inlineStr">
        <is>
          <t xml:space="preserve"> 'Y' </t>
        </is>
      </c>
      <c r="H166" s="17" t="inlineStr">
        <is>
          <t>10</t>
        </is>
      </c>
      <c r="I166" s="17" t="inlineStr">
        <is>
          <t>7</t>
        </is>
      </c>
      <c r="J166" s="17" t="inlineStr">
        <is>
          <t>7</t>
        </is>
      </c>
      <c r="K166" s="17" t="inlineStr">
        <is>
          <t>Y</t>
        </is>
      </c>
      <c r="M166" s="15" t="inlineStr">
        <is>
          <t>INSERT INTO</t>
        </is>
      </c>
      <c r="N166" s="15" t="inlineStr">
        <is>
          <t>MNG_DEAL_LIST_DSP_TBL</t>
        </is>
      </c>
      <c r="O166" s="15" t="inlineStr">
        <is>
          <t>VALUES(</t>
        </is>
      </c>
      <c r="P166" s="15" t="inlineStr">
        <is>
          <t xml:space="preserve">10 , 7 , 7 , 'Y' </t>
        </is>
      </c>
      <c r="Q166" s="15" t="inlineStr">
        <is>
          <t>);</t>
        </is>
      </c>
      <c r="S166" s="18">
        <f>EXACT(TRIM(C166),H166&amp;"")</f>
        <v/>
      </c>
      <c r="T166" s="18">
        <f>EXACT(TRIM(D166),I166&amp;"")</f>
        <v/>
      </c>
      <c r="U166" s="18">
        <f>EXACT(TRIM(E166),J166&amp;"")</f>
        <v/>
      </c>
      <c r="V166" s="18">
        <f>EXACT(TRIM(F166),"'"&amp;K166&amp;"'")</f>
        <v/>
      </c>
      <c r="W166" s="18">
        <f>AND(S166:V166)</f>
        <v/>
      </c>
      <c r="X166" s="19">
        <f>TRIM(IF(S166,"",$S$3&amp;" ")&amp;IF(T166,"",$T$3&amp;" ")&amp;IF(U166,"",$U$3&amp;" ")&amp;IF(V166,"",$V$3&amp;" "))</f>
        <v/>
      </c>
      <c r="Y166" s="18">
        <f>EXACT(SUBSTITUTE(A166," ",""),SUBSTITUTE(M166&amp;N166&amp;O166&amp;P166&amp;Q166," ",""))</f>
        <v/>
      </c>
    </row>
    <row r="167">
      <c r="A167" s="15" t="inlineStr">
        <is>
          <t>INSERT INTO MNG_DEAL_LIST_DSP_TBL VALUES(10 , 7 , 8 , 'Y' );</t>
        </is>
      </c>
      <c r="B167" s="16" t="n"/>
      <c r="C167" s="15" t="inlineStr">
        <is>
          <t xml:space="preserve">10 </t>
        </is>
      </c>
      <c r="D167" s="15" t="inlineStr">
        <is>
          <t xml:space="preserve"> 7 </t>
        </is>
      </c>
      <c r="E167" s="15" t="inlineStr">
        <is>
          <t xml:space="preserve"> 8 </t>
        </is>
      </c>
      <c r="F167" s="15" t="inlineStr">
        <is>
          <t xml:space="preserve"> 'Y' </t>
        </is>
      </c>
      <c r="H167" s="17" t="inlineStr">
        <is>
          <t>10</t>
        </is>
      </c>
      <c r="I167" s="17" t="inlineStr">
        <is>
          <t>7</t>
        </is>
      </c>
      <c r="J167" s="17" t="inlineStr">
        <is>
          <t>8</t>
        </is>
      </c>
      <c r="K167" s="17" t="inlineStr">
        <is>
          <t>Y</t>
        </is>
      </c>
      <c r="M167" s="15" t="inlineStr">
        <is>
          <t>INSERT INTO</t>
        </is>
      </c>
      <c r="N167" s="15" t="inlineStr">
        <is>
          <t>MNG_DEAL_LIST_DSP_TBL</t>
        </is>
      </c>
      <c r="O167" s="15" t="inlineStr">
        <is>
          <t>VALUES(</t>
        </is>
      </c>
      <c r="P167" s="15" t="inlineStr">
        <is>
          <t xml:space="preserve">10 , 7 , 8 , 'Y' </t>
        </is>
      </c>
      <c r="Q167" s="15" t="inlineStr">
        <is>
          <t>);</t>
        </is>
      </c>
      <c r="S167" s="18">
        <f>EXACT(TRIM(C167),H167&amp;"")</f>
        <v/>
      </c>
      <c r="T167" s="18">
        <f>EXACT(TRIM(D167),I167&amp;"")</f>
        <v/>
      </c>
      <c r="U167" s="18">
        <f>EXACT(TRIM(E167),J167&amp;"")</f>
        <v/>
      </c>
      <c r="V167" s="18">
        <f>EXACT(TRIM(F167),"'"&amp;K167&amp;"'")</f>
        <v/>
      </c>
      <c r="W167" s="18">
        <f>AND(S167:V167)</f>
        <v/>
      </c>
      <c r="X167" s="19">
        <f>TRIM(IF(S167,"",$S$3&amp;" ")&amp;IF(T167,"",$T$3&amp;" ")&amp;IF(U167,"",$U$3&amp;" ")&amp;IF(V167,"",$V$3&amp;" "))</f>
        <v/>
      </c>
      <c r="Y167" s="18">
        <f>EXACT(SUBSTITUTE(A167," ",""),SUBSTITUTE(M167&amp;N167&amp;O167&amp;P167&amp;Q167," ",""))</f>
        <v/>
      </c>
    </row>
    <row r="168">
      <c r="A168" s="15" t="inlineStr">
        <is>
          <t>INSERT INTO MNG_DEAL_LIST_DSP_TBL VALUES(10 , 7 , 9 , 'Y' );</t>
        </is>
      </c>
      <c r="B168" s="16" t="n"/>
      <c r="C168" s="15" t="inlineStr">
        <is>
          <t xml:space="preserve">10 </t>
        </is>
      </c>
      <c r="D168" s="15" t="inlineStr">
        <is>
          <t xml:space="preserve"> 7 </t>
        </is>
      </c>
      <c r="E168" s="15" t="inlineStr">
        <is>
          <t xml:space="preserve"> 9 </t>
        </is>
      </c>
      <c r="F168" s="15" t="inlineStr">
        <is>
          <t xml:space="preserve"> 'Y' </t>
        </is>
      </c>
      <c r="H168" s="17" t="inlineStr">
        <is>
          <t>10</t>
        </is>
      </c>
      <c r="I168" s="17" t="inlineStr">
        <is>
          <t>7</t>
        </is>
      </c>
      <c r="J168" s="17" t="inlineStr">
        <is>
          <t>9</t>
        </is>
      </c>
      <c r="K168" s="17" t="inlineStr">
        <is>
          <t>Y</t>
        </is>
      </c>
      <c r="M168" s="15" t="inlineStr">
        <is>
          <t>INSERT INTO</t>
        </is>
      </c>
      <c r="N168" s="15" t="inlineStr">
        <is>
          <t>MNG_DEAL_LIST_DSP_TBL</t>
        </is>
      </c>
      <c r="O168" s="15" t="inlineStr">
        <is>
          <t>VALUES(</t>
        </is>
      </c>
      <c r="P168" s="15" t="inlineStr">
        <is>
          <t xml:space="preserve">10 , 7 , 9 , 'Y' </t>
        </is>
      </c>
      <c r="Q168" s="15" t="inlineStr">
        <is>
          <t>);</t>
        </is>
      </c>
      <c r="S168" s="18">
        <f>EXACT(TRIM(C168),H168&amp;"")</f>
        <v/>
      </c>
      <c r="T168" s="18">
        <f>EXACT(TRIM(D168),I168&amp;"")</f>
        <v/>
      </c>
      <c r="U168" s="18">
        <f>EXACT(TRIM(E168),J168&amp;"")</f>
        <v/>
      </c>
      <c r="V168" s="18">
        <f>EXACT(TRIM(F168),"'"&amp;K168&amp;"'")</f>
        <v/>
      </c>
      <c r="W168" s="18">
        <f>AND(S168:V168)</f>
        <v/>
      </c>
      <c r="X168" s="19">
        <f>TRIM(IF(S168,"",$S$3&amp;" ")&amp;IF(T168,"",$T$3&amp;" ")&amp;IF(U168,"",$U$3&amp;" ")&amp;IF(V168,"",$V$3&amp;" "))</f>
        <v/>
      </c>
      <c r="Y168" s="18">
        <f>EXACT(SUBSTITUTE(A168," ",""),SUBSTITUTE(M168&amp;N168&amp;O168&amp;P168&amp;Q168," ",""))</f>
        <v/>
      </c>
    </row>
    <row r="169">
      <c r="A169" s="15" t="inlineStr">
        <is>
          <t>INSERT INTO MNG_DEAL_LIST_DSP_TBL VALUES(10 , 7 , 10 , 'N' );</t>
        </is>
      </c>
      <c r="B169" s="16" t="n"/>
      <c r="C169" s="15" t="inlineStr">
        <is>
          <t xml:space="preserve">10 </t>
        </is>
      </c>
      <c r="D169" s="15" t="inlineStr">
        <is>
          <t xml:space="preserve"> 7 </t>
        </is>
      </c>
      <c r="E169" s="15" t="inlineStr">
        <is>
          <t xml:space="preserve"> 10 </t>
        </is>
      </c>
      <c r="F169" s="15" t="inlineStr">
        <is>
          <t xml:space="preserve"> 'N' </t>
        </is>
      </c>
      <c r="H169" s="17" t="inlineStr">
        <is>
          <t>10</t>
        </is>
      </c>
      <c r="I169" s="17" t="inlineStr">
        <is>
          <t>7</t>
        </is>
      </c>
      <c r="J169" s="17" t="inlineStr">
        <is>
          <t>10</t>
        </is>
      </c>
      <c r="K169" s="17" t="inlineStr">
        <is>
          <t>N</t>
        </is>
      </c>
      <c r="M169" s="15" t="inlineStr">
        <is>
          <t>INSERT INTO</t>
        </is>
      </c>
      <c r="N169" s="15" t="inlineStr">
        <is>
          <t>MNG_DEAL_LIST_DSP_TBL</t>
        </is>
      </c>
      <c r="O169" s="15" t="inlineStr">
        <is>
          <t>VALUES(</t>
        </is>
      </c>
      <c r="P169" s="15" t="inlineStr">
        <is>
          <t xml:space="preserve">10 , 7 , 10 , 'N' </t>
        </is>
      </c>
      <c r="Q169" s="15" t="inlineStr">
        <is>
          <t>);</t>
        </is>
      </c>
      <c r="S169" s="18">
        <f>EXACT(TRIM(C169),H169&amp;"")</f>
        <v/>
      </c>
      <c r="T169" s="18">
        <f>EXACT(TRIM(D169),I169&amp;"")</f>
        <v/>
      </c>
      <c r="U169" s="18">
        <f>EXACT(TRIM(E169),J169&amp;"")</f>
        <v/>
      </c>
      <c r="V169" s="18">
        <f>EXACT(TRIM(F169),"'"&amp;K169&amp;"'")</f>
        <v/>
      </c>
      <c r="W169" s="18">
        <f>AND(S169:V169)</f>
        <v/>
      </c>
      <c r="X169" s="19">
        <f>TRIM(IF(S169,"",$S$3&amp;" ")&amp;IF(T169,"",$T$3&amp;" ")&amp;IF(U169,"",$U$3&amp;" ")&amp;IF(V169,"",$V$3&amp;" "))</f>
        <v/>
      </c>
      <c r="Y169" s="18">
        <f>EXACT(SUBSTITUTE(A169," ",""),SUBSTITUTE(M169&amp;N169&amp;O169&amp;P169&amp;Q169," ",""))</f>
        <v/>
      </c>
    </row>
    <row r="170">
      <c r="A170" s="15" t="inlineStr">
        <is>
          <t>INSERT INTO MNG_DEAL_LIST_DSP_TBL VALUES(10 , 7 , 11 , 'Y' );</t>
        </is>
      </c>
      <c r="B170" s="16" t="n"/>
      <c r="C170" s="15" t="inlineStr">
        <is>
          <t xml:space="preserve">10 </t>
        </is>
      </c>
      <c r="D170" s="15" t="inlineStr">
        <is>
          <t xml:space="preserve"> 7 </t>
        </is>
      </c>
      <c r="E170" s="15" t="inlineStr">
        <is>
          <t xml:space="preserve"> 11 </t>
        </is>
      </c>
      <c r="F170" s="15" t="inlineStr">
        <is>
          <t xml:space="preserve"> 'Y' </t>
        </is>
      </c>
      <c r="H170" s="17" t="inlineStr">
        <is>
          <t>10</t>
        </is>
      </c>
      <c r="I170" s="17" t="inlineStr">
        <is>
          <t>7</t>
        </is>
      </c>
      <c r="J170" s="17" t="inlineStr">
        <is>
          <t>11</t>
        </is>
      </c>
      <c r="K170" s="17" t="inlineStr">
        <is>
          <t>Y</t>
        </is>
      </c>
      <c r="M170" s="15" t="inlineStr">
        <is>
          <t>INSERT INTO</t>
        </is>
      </c>
      <c r="N170" s="15" t="inlineStr">
        <is>
          <t>MNG_DEAL_LIST_DSP_TBL</t>
        </is>
      </c>
      <c r="O170" s="15" t="inlineStr">
        <is>
          <t>VALUES(</t>
        </is>
      </c>
      <c r="P170" s="15" t="inlineStr">
        <is>
          <t xml:space="preserve">10 , 7 , 11 , 'Y' </t>
        </is>
      </c>
      <c r="Q170" s="15" t="inlineStr">
        <is>
          <t>);</t>
        </is>
      </c>
      <c r="S170" s="18">
        <f>EXACT(TRIM(C170),H170&amp;"")</f>
        <v/>
      </c>
      <c r="T170" s="18">
        <f>EXACT(TRIM(D170),I170&amp;"")</f>
        <v/>
      </c>
      <c r="U170" s="18">
        <f>EXACT(TRIM(E170),J170&amp;"")</f>
        <v/>
      </c>
      <c r="V170" s="18">
        <f>EXACT(TRIM(F170),"'"&amp;K170&amp;"'")</f>
        <v/>
      </c>
      <c r="W170" s="18">
        <f>AND(S170:V170)</f>
        <v/>
      </c>
      <c r="X170" s="19">
        <f>TRIM(IF(S170,"",$S$3&amp;" ")&amp;IF(T170,"",$T$3&amp;" ")&amp;IF(U170,"",$U$3&amp;" ")&amp;IF(V170,"",$V$3&amp;" "))</f>
        <v/>
      </c>
      <c r="Y170" s="18">
        <f>EXACT(SUBSTITUTE(A170," ",""),SUBSTITUTE(M170&amp;N170&amp;O170&amp;P170&amp;Q170," ",""))</f>
        <v/>
      </c>
    </row>
    <row r="171">
      <c r="A171" s="15" t="inlineStr">
        <is>
          <t>INSERT INTO MNG_DEAL_LIST_DSP_TBL VALUES(10 , 7 , 12 , 'Y' );</t>
        </is>
      </c>
      <c r="B171" s="16" t="n"/>
      <c r="C171" s="15" t="inlineStr">
        <is>
          <t xml:space="preserve">10 </t>
        </is>
      </c>
      <c r="D171" s="15" t="inlineStr">
        <is>
          <t xml:space="preserve"> 7 </t>
        </is>
      </c>
      <c r="E171" s="15" t="inlineStr">
        <is>
          <t xml:space="preserve"> 12 </t>
        </is>
      </c>
      <c r="F171" s="15" t="inlineStr">
        <is>
          <t xml:space="preserve"> 'Y' </t>
        </is>
      </c>
      <c r="H171" s="17" t="inlineStr">
        <is>
          <t>10</t>
        </is>
      </c>
      <c r="I171" s="17" t="inlineStr">
        <is>
          <t>7</t>
        </is>
      </c>
      <c r="J171" s="17" t="inlineStr">
        <is>
          <t>12</t>
        </is>
      </c>
      <c r="K171" s="17" t="inlineStr">
        <is>
          <t>Y</t>
        </is>
      </c>
      <c r="M171" s="15" t="inlineStr">
        <is>
          <t>INSERT INTO</t>
        </is>
      </c>
      <c r="N171" s="15" t="inlineStr">
        <is>
          <t>MNG_DEAL_LIST_DSP_TBL</t>
        </is>
      </c>
      <c r="O171" s="15" t="inlineStr">
        <is>
          <t>VALUES(</t>
        </is>
      </c>
      <c r="P171" s="15" t="inlineStr">
        <is>
          <t xml:space="preserve">10 , 7 , 12 , 'Y' </t>
        </is>
      </c>
      <c r="Q171" s="15" t="inlineStr">
        <is>
          <t>);</t>
        </is>
      </c>
      <c r="S171" s="18">
        <f>EXACT(TRIM(C171),H171&amp;"")</f>
        <v/>
      </c>
      <c r="T171" s="18">
        <f>EXACT(TRIM(D171),I171&amp;"")</f>
        <v/>
      </c>
      <c r="U171" s="18">
        <f>EXACT(TRIM(E171),J171&amp;"")</f>
        <v/>
      </c>
      <c r="V171" s="18">
        <f>EXACT(TRIM(F171),"'"&amp;K171&amp;"'")</f>
        <v/>
      </c>
      <c r="W171" s="18">
        <f>AND(S171:V171)</f>
        <v/>
      </c>
      <c r="X171" s="19">
        <f>TRIM(IF(S171,"",$S$3&amp;" ")&amp;IF(T171,"",$T$3&amp;" ")&amp;IF(U171,"",$U$3&amp;" ")&amp;IF(V171,"",$V$3&amp;" "))</f>
        <v/>
      </c>
      <c r="Y171" s="18">
        <f>EXACT(SUBSTITUTE(A171," ",""),SUBSTITUTE(M171&amp;N171&amp;O171&amp;P171&amp;Q171," ",""))</f>
        <v/>
      </c>
    </row>
    <row r="172">
      <c r="A172" s="15" t="inlineStr">
        <is>
          <t>INSERT INTO MNG_DEAL_LIST_DSP_TBL VALUES(10 , 7 , 13 , 'Y' );</t>
        </is>
      </c>
      <c r="B172" s="16" t="n"/>
      <c r="C172" s="15" t="inlineStr">
        <is>
          <t xml:space="preserve">10 </t>
        </is>
      </c>
      <c r="D172" s="15" t="inlineStr">
        <is>
          <t xml:space="preserve"> 7 </t>
        </is>
      </c>
      <c r="E172" s="15" t="inlineStr">
        <is>
          <t xml:space="preserve"> 13 </t>
        </is>
      </c>
      <c r="F172" s="15" t="inlineStr">
        <is>
          <t xml:space="preserve"> 'Y' </t>
        </is>
      </c>
      <c r="H172" s="17" t="inlineStr">
        <is>
          <t>10</t>
        </is>
      </c>
      <c r="I172" s="17" t="inlineStr">
        <is>
          <t>7</t>
        </is>
      </c>
      <c r="J172" s="17" t="inlineStr">
        <is>
          <t>13</t>
        </is>
      </c>
      <c r="K172" s="17" t="inlineStr">
        <is>
          <t>Y</t>
        </is>
      </c>
      <c r="M172" s="15" t="inlineStr">
        <is>
          <t>INSERT INTO</t>
        </is>
      </c>
      <c r="N172" s="15" t="inlineStr">
        <is>
          <t>MNG_DEAL_LIST_DSP_TBL</t>
        </is>
      </c>
      <c r="O172" s="15" t="inlineStr">
        <is>
          <t>VALUES(</t>
        </is>
      </c>
      <c r="P172" s="15" t="inlineStr">
        <is>
          <t xml:space="preserve">10 , 7 , 13 , 'Y' </t>
        </is>
      </c>
      <c r="Q172" s="15" t="inlineStr">
        <is>
          <t>);</t>
        </is>
      </c>
      <c r="S172" s="18">
        <f>EXACT(TRIM(C172),H172&amp;"")</f>
        <v/>
      </c>
      <c r="T172" s="18">
        <f>EXACT(TRIM(D172),I172&amp;"")</f>
        <v/>
      </c>
      <c r="U172" s="18">
        <f>EXACT(TRIM(E172),J172&amp;"")</f>
        <v/>
      </c>
      <c r="V172" s="18">
        <f>EXACT(TRIM(F172),"'"&amp;K172&amp;"'")</f>
        <v/>
      </c>
      <c r="W172" s="18">
        <f>AND(S172:V172)</f>
        <v/>
      </c>
      <c r="X172" s="19">
        <f>TRIM(IF(S172,"",$S$3&amp;" ")&amp;IF(T172,"",$T$3&amp;" ")&amp;IF(U172,"",$U$3&amp;" ")&amp;IF(V172,"",$V$3&amp;" "))</f>
        <v/>
      </c>
      <c r="Y172" s="18">
        <f>EXACT(SUBSTITUTE(A172," ",""),SUBSTITUTE(M172&amp;N172&amp;O172&amp;P172&amp;Q172," ",""))</f>
        <v/>
      </c>
    </row>
    <row r="173">
      <c r="A173" s="15" t="inlineStr">
        <is>
          <t>INSERT INTO MNG_DEAL_LIST_DSP_TBL VALUES(10 , 7 , 14 , 'Y' );</t>
        </is>
      </c>
      <c r="B173" s="16" t="n"/>
      <c r="C173" s="15" t="inlineStr">
        <is>
          <t xml:space="preserve">10 </t>
        </is>
      </c>
      <c r="D173" s="15" t="inlineStr">
        <is>
          <t xml:space="preserve"> 7 </t>
        </is>
      </c>
      <c r="E173" s="15" t="inlineStr">
        <is>
          <t xml:space="preserve"> 14 </t>
        </is>
      </c>
      <c r="F173" s="15" t="inlineStr">
        <is>
          <t xml:space="preserve"> 'Y' </t>
        </is>
      </c>
      <c r="H173" s="17" t="inlineStr">
        <is>
          <t>10</t>
        </is>
      </c>
      <c r="I173" s="17" t="inlineStr">
        <is>
          <t>7</t>
        </is>
      </c>
      <c r="J173" s="17" t="inlineStr">
        <is>
          <t>14</t>
        </is>
      </c>
      <c r="K173" s="17" t="inlineStr">
        <is>
          <t>Y</t>
        </is>
      </c>
      <c r="M173" s="15" t="inlineStr">
        <is>
          <t>INSERT INTO</t>
        </is>
      </c>
      <c r="N173" s="15" t="inlineStr">
        <is>
          <t>MNG_DEAL_LIST_DSP_TBL</t>
        </is>
      </c>
      <c r="O173" s="15" t="inlineStr">
        <is>
          <t>VALUES(</t>
        </is>
      </c>
      <c r="P173" s="15" t="inlineStr">
        <is>
          <t xml:space="preserve">10 , 7 , 14 , 'Y' </t>
        </is>
      </c>
      <c r="Q173" s="15" t="inlineStr">
        <is>
          <t>);</t>
        </is>
      </c>
      <c r="S173" s="18">
        <f>EXACT(TRIM(C173),H173&amp;"")</f>
        <v/>
      </c>
      <c r="T173" s="18">
        <f>EXACT(TRIM(D173),I173&amp;"")</f>
        <v/>
      </c>
      <c r="U173" s="18">
        <f>EXACT(TRIM(E173),J173&amp;"")</f>
        <v/>
      </c>
      <c r="V173" s="18">
        <f>EXACT(TRIM(F173),"'"&amp;K173&amp;"'")</f>
        <v/>
      </c>
      <c r="W173" s="18">
        <f>AND(S173:V173)</f>
        <v/>
      </c>
      <c r="X173" s="19">
        <f>TRIM(IF(S173,"",$S$3&amp;" ")&amp;IF(T173,"",$T$3&amp;" ")&amp;IF(U173,"",$U$3&amp;" ")&amp;IF(V173,"",$V$3&amp;" "))</f>
        <v/>
      </c>
      <c r="Y173" s="18">
        <f>EXACT(SUBSTITUTE(A173," ",""),SUBSTITUTE(M173&amp;N173&amp;O173&amp;P173&amp;Q173," ",""))</f>
        <v/>
      </c>
    </row>
    <row r="174">
      <c r="A174" s="15" t="inlineStr">
        <is>
          <t>INSERT INTO MNG_DEAL_LIST_DSP_TBL VALUES(10 , 7 , 15 , 'Y' );</t>
        </is>
      </c>
      <c r="B174" s="16" t="n"/>
      <c r="C174" s="15" t="inlineStr">
        <is>
          <t xml:space="preserve">10 </t>
        </is>
      </c>
      <c r="D174" s="15" t="inlineStr">
        <is>
          <t xml:space="preserve"> 7 </t>
        </is>
      </c>
      <c r="E174" s="15" t="inlineStr">
        <is>
          <t xml:space="preserve"> 15 </t>
        </is>
      </c>
      <c r="F174" s="15" t="inlineStr">
        <is>
          <t xml:space="preserve"> 'Y' </t>
        </is>
      </c>
      <c r="H174" s="17" t="inlineStr">
        <is>
          <t>10</t>
        </is>
      </c>
      <c r="I174" s="17" t="inlineStr">
        <is>
          <t>7</t>
        </is>
      </c>
      <c r="J174" s="17" t="inlineStr">
        <is>
          <t>15</t>
        </is>
      </c>
      <c r="K174" s="17" t="inlineStr">
        <is>
          <t>Y</t>
        </is>
      </c>
      <c r="M174" s="15" t="inlineStr">
        <is>
          <t>INSERT INTO</t>
        </is>
      </c>
      <c r="N174" s="15" t="inlineStr">
        <is>
          <t>MNG_DEAL_LIST_DSP_TBL</t>
        </is>
      </c>
      <c r="O174" s="15" t="inlineStr">
        <is>
          <t>VALUES(</t>
        </is>
      </c>
      <c r="P174" s="15" t="inlineStr">
        <is>
          <t xml:space="preserve">10 , 7 , 15 , 'Y' </t>
        </is>
      </c>
      <c r="Q174" s="15" t="inlineStr">
        <is>
          <t>);</t>
        </is>
      </c>
      <c r="S174" s="18">
        <f>EXACT(TRIM(C174),H174&amp;"")</f>
        <v/>
      </c>
      <c r="T174" s="18">
        <f>EXACT(TRIM(D174),I174&amp;"")</f>
        <v/>
      </c>
      <c r="U174" s="18">
        <f>EXACT(TRIM(E174),J174&amp;"")</f>
        <v/>
      </c>
      <c r="V174" s="18">
        <f>EXACT(TRIM(F174),"'"&amp;K174&amp;"'")</f>
        <v/>
      </c>
      <c r="W174" s="18">
        <f>AND(S174:V174)</f>
        <v/>
      </c>
      <c r="X174" s="19">
        <f>TRIM(IF(S174,"",$S$3&amp;" ")&amp;IF(T174,"",$T$3&amp;" ")&amp;IF(U174,"",$U$3&amp;" ")&amp;IF(V174,"",$V$3&amp;" "))</f>
        <v/>
      </c>
      <c r="Y174" s="18">
        <f>EXACT(SUBSTITUTE(A174," ",""),SUBSTITUTE(M174&amp;N174&amp;O174&amp;P174&amp;Q174," ",""))</f>
        <v/>
      </c>
    </row>
    <row r="175">
      <c r="A175" s="15" t="inlineStr">
        <is>
          <t>INSERT INTO MNG_DEAL_LIST_DSP_TBL VALUES(10 , 7 , 16 , 'Y' );</t>
        </is>
      </c>
      <c r="B175" s="16" t="n"/>
      <c r="C175" s="15" t="inlineStr">
        <is>
          <t xml:space="preserve">10 </t>
        </is>
      </c>
      <c r="D175" s="15" t="inlineStr">
        <is>
          <t xml:space="preserve"> 7 </t>
        </is>
      </c>
      <c r="E175" s="15" t="inlineStr">
        <is>
          <t xml:space="preserve"> 16 </t>
        </is>
      </c>
      <c r="F175" s="15" t="inlineStr">
        <is>
          <t xml:space="preserve"> 'Y' </t>
        </is>
      </c>
      <c r="H175" s="17" t="inlineStr">
        <is>
          <t>10</t>
        </is>
      </c>
      <c r="I175" s="17" t="inlineStr">
        <is>
          <t>7</t>
        </is>
      </c>
      <c r="J175" s="17" t="inlineStr">
        <is>
          <t>16</t>
        </is>
      </c>
      <c r="K175" s="17" t="inlineStr">
        <is>
          <t>Y</t>
        </is>
      </c>
      <c r="M175" s="15" t="inlineStr">
        <is>
          <t>INSERT INTO</t>
        </is>
      </c>
      <c r="N175" s="15" t="inlineStr">
        <is>
          <t>MNG_DEAL_LIST_DSP_TBL</t>
        </is>
      </c>
      <c r="O175" s="15" t="inlineStr">
        <is>
          <t>VALUES(</t>
        </is>
      </c>
      <c r="P175" s="15" t="inlineStr">
        <is>
          <t xml:space="preserve">10 , 7 , 16 , 'Y' </t>
        </is>
      </c>
      <c r="Q175" s="15" t="inlineStr">
        <is>
          <t>);</t>
        </is>
      </c>
      <c r="S175" s="18">
        <f>EXACT(TRIM(C175),H175&amp;"")</f>
        <v/>
      </c>
      <c r="T175" s="18">
        <f>EXACT(TRIM(D175),I175&amp;"")</f>
        <v/>
      </c>
      <c r="U175" s="18">
        <f>EXACT(TRIM(E175),J175&amp;"")</f>
        <v/>
      </c>
      <c r="V175" s="18">
        <f>EXACT(TRIM(F175),"'"&amp;K175&amp;"'")</f>
        <v/>
      </c>
      <c r="W175" s="18">
        <f>AND(S175:V175)</f>
        <v/>
      </c>
      <c r="X175" s="19">
        <f>TRIM(IF(S175,"",$S$3&amp;" ")&amp;IF(T175,"",$T$3&amp;" ")&amp;IF(U175,"",$U$3&amp;" ")&amp;IF(V175,"",$V$3&amp;" "))</f>
        <v/>
      </c>
      <c r="Y175" s="18">
        <f>EXACT(SUBSTITUTE(A175," ",""),SUBSTITUTE(M175&amp;N175&amp;O175&amp;P175&amp;Q175," ",""))</f>
        <v/>
      </c>
    </row>
    <row r="176">
      <c r="A176" s="15" t="inlineStr">
        <is>
          <t>INSERT INTO MNG_DEAL_LIST_DSP_TBL VALUES(10 , 8 , 1 , 'Y' );</t>
        </is>
      </c>
      <c r="B176" s="16" t="n"/>
      <c r="C176" s="15" t="inlineStr">
        <is>
          <t xml:space="preserve">10 </t>
        </is>
      </c>
      <c r="D176" s="15" t="inlineStr">
        <is>
          <t xml:space="preserve"> 8 </t>
        </is>
      </c>
      <c r="E176" s="15" t="inlineStr">
        <is>
          <t xml:space="preserve"> 1 </t>
        </is>
      </c>
      <c r="F176" s="15" t="inlineStr">
        <is>
          <t xml:space="preserve"> 'Y' </t>
        </is>
      </c>
      <c r="H176" s="17" t="inlineStr">
        <is>
          <t>10</t>
        </is>
      </c>
      <c r="I176" s="17" t="inlineStr">
        <is>
          <t>8</t>
        </is>
      </c>
      <c r="J176" s="17" t="inlineStr">
        <is>
          <t>1</t>
        </is>
      </c>
      <c r="K176" s="17" t="inlineStr">
        <is>
          <t>Y</t>
        </is>
      </c>
      <c r="M176" s="15" t="inlineStr">
        <is>
          <t>INSERT INTO</t>
        </is>
      </c>
      <c r="N176" s="15" t="inlineStr">
        <is>
          <t>MNG_DEAL_LIST_DSP_TBL</t>
        </is>
      </c>
      <c r="O176" s="15" t="inlineStr">
        <is>
          <t>VALUES(</t>
        </is>
      </c>
      <c r="P176" s="15" t="inlineStr">
        <is>
          <t xml:space="preserve">10 , 8 , 1 , 'Y' </t>
        </is>
      </c>
      <c r="Q176" s="15" t="inlineStr">
        <is>
          <t>);</t>
        </is>
      </c>
      <c r="S176" s="18">
        <f>EXACT(TRIM(C176),H176&amp;"")</f>
        <v/>
      </c>
      <c r="T176" s="18">
        <f>EXACT(TRIM(D176),I176&amp;"")</f>
        <v/>
      </c>
      <c r="U176" s="18">
        <f>EXACT(TRIM(E176),J176&amp;"")</f>
        <v/>
      </c>
      <c r="V176" s="18">
        <f>EXACT(TRIM(F176),"'"&amp;K176&amp;"'")</f>
        <v/>
      </c>
      <c r="W176" s="18">
        <f>AND(S176:V176)</f>
        <v/>
      </c>
      <c r="X176" s="19">
        <f>TRIM(IF(S176,"",$S$3&amp;" ")&amp;IF(T176,"",$T$3&amp;" ")&amp;IF(U176,"",$U$3&amp;" ")&amp;IF(V176,"",$V$3&amp;" "))</f>
        <v/>
      </c>
      <c r="Y176" s="18">
        <f>EXACT(SUBSTITUTE(A176," ",""),SUBSTITUTE(M176&amp;N176&amp;O176&amp;P176&amp;Q176," ",""))</f>
        <v/>
      </c>
    </row>
    <row r="177">
      <c r="A177" s="15" t="inlineStr">
        <is>
          <t>INSERT INTO MNG_DEAL_LIST_DSP_TBL VALUES(10 , 8 , 2 , 'N' );</t>
        </is>
      </c>
      <c r="B177" s="16" t="n"/>
      <c r="C177" s="15" t="inlineStr">
        <is>
          <t xml:space="preserve">10 </t>
        </is>
      </c>
      <c r="D177" s="15" t="inlineStr">
        <is>
          <t xml:space="preserve"> 8 </t>
        </is>
      </c>
      <c r="E177" s="15" t="inlineStr">
        <is>
          <t xml:space="preserve"> 2 </t>
        </is>
      </c>
      <c r="F177" s="15" t="inlineStr">
        <is>
          <t xml:space="preserve"> 'N' </t>
        </is>
      </c>
      <c r="H177" s="17" t="inlineStr">
        <is>
          <t>10</t>
        </is>
      </c>
      <c r="I177" s="17" t="inlineStr">
        <is>
          <t>8</t>
        </is>
      </c>
      <c r="J177" s="17" t="inlineStr">
        <is>
          <t>2</t>
        </is>
      </c>
      <c r="K177" s="17" t="inlineStr">
        <is>
          <t>N</t>
        </is>
      </c>
      <c r="M177" s="15" t="inlineStr">
        <is>
          <t>INSERT INTO</t>
        </is>
      </c>
      <c r="N177" s="15" t="inlineStr">
        <is>
          <t>MNG_DEAL_LIST_DSP_TBL</t>
        </is>
      </c>
      <c r="O177" s="15" t="inlineStr">
        <is>
          <t>VALUES(</t>
        </is>
      </c>
      <c r="P177" s="15" t="inlineStr">
        <is>
          <t xml:space="preserve">10 , 8 , 2 , 'N' </t>
        </is>
      </c>
      <c r="Q177" s="15" t="inlineStr">
        <is>
          <t>);</t>
        </is>
      </c>
      <c r="S177" s="18">
        <f>EXACT(TRIM(C177),H177&amp;"")</f>
        <v/>
      </c>
      <c r="T177" s="18">
        <f>EXACT(TRIM(D177),I177&amp;"")</f>
        <v/>
      </c>
      <c r="U177" s="18">
        <f>EXACT(TRIM(E177),J177&amp;"")</f>
        <v/>
      </c>
      <c r="V177" s="18">
        <f>EXACT(TRIM(F177),"'"&amp;K177&amp;"'")</f>
        <v/>
      </c>
      <c r="W177" s="18">
        <f>AND(S177:V177)</f>
        <v/>
      </c>
      <c r="X177" s="19">
        <f>TRIM(IF(S177,"",$S$3&amp;" ")&amp;IF(T177,"",$T$3&amp;" ")&amp;IF(U177,"",$U$3&amp;" ")&amp;IF(V177,"",$V$3&amp;" "))</f>
        <v/>
      </c>
      <c r="Y177" s="18">
        <f>EXACT(SUBSTITUTE(A177," ",""),SUBSTITUTE(M177&amp;N177&amp;O177&amp;P177&amp;Q177," ",""))</f>
        <v/>
      </c>
    </row>
    <row r="178">
      <c r="A178" s="15" t="inlineStr">
        <is>
          <t>INSERT INTO MNG_DEAL_LIST_DSP_TBL VALUES(10 , 8 , 3 , 'N' );</t>
        </is>
      </c>
      <c r="B178" s="16" t="n"/>
      <c r="C178" s="15" t="inlineStr">
        <is>
          <t xml:space="preserve">10 </t>
        </is>
      </c>
      <c r="D178" s="15" t="inlineStr">
        <is>
          <t xml:space="preserve"> 8 </t>
        </is>
      </c>
      <c r="E178" s="15" t="inlineStr">
        <is>
          <t xml:space="preserve"> 3 </t>
        </is>
      </c>
      <c r="F178" s="15" t="inlineStr">
        <is>
          <t xml:space="preserve"> 'N' </t>
        </is>
      </c>
      <c r="H178" s="17" t="inlineStr">
        <is>
          <t>10</t>
        </is>
      </c>
      <c r="I178" s="17" t="inlineStr">
        <is>
          <t>8</t>
        </is>
      </c>
      <c r="J178" s="17" t="inlineStr">
        <is>
          <t>3</t>
        </is>
      </c>
      <c r="K178" s="17" t="inlineStr">
        <is>
          <t>N</t>
        </is>
      </c>
      <c r="M178" s="15" t="inlineStr">
        <is>
          <t>INSERT INTO</t>
        </is>
      </c>
      <c r="N178" s="15" t="inlineStr">
        <is>
          <t>MNG_DEAL_LIST_DSP_TBL</t>
        </is>
      </c>
      <c r="O178" s="15" t="inlineStr">
        <is>
          <t>VALUES(</t>
        </is>
      </c>
      <c r="P178" s="15" t="inlineStr">
        <is>
          <t xml:space="preserve">10 , 8 , 3 , 'N' </t>
        </is>
      </c>
      <c r="Q178" s="15" t="inlineStr">
        <is>
          <t>);</t>
        </is>
      </c>
      <c r="S178" s="18">
        <f>EXACT(TRIM(C178),H178&amp;"")</f>
        <v/>
      </c>
      <c r="T178" s="18">
        <f>EXACT(TRIM(D178),I178&amp;"")</f>
        <v/>
      </c>
      <c r="U178" s="18">
        <f>EXACT(TRIM(E178),J178&amp;"")</f>
        <v/>
      </c>
      <c r="V178" s="18">
        <f>EXACT(TRIM(F178),"'"&amp;K178&amp;"'")</f>
        <v/>
      </c>
      <c r="W178" s="18">
        <f>AND(S178:V178)</f>
        <v/>
      </c>
      <c r="X178" s="19">
        <f>TRIM(IF(S178,"",$S$3&amp;" ")&amp;IF(T178,"",$T$3&amp;" ")&amp;IF(U178,"",$U$3&amp;" ")&amp;IF(V178,"",$V$3&amp;" "))</f>
        <v/>
      </c>
      <c r="Y178" s="18">
        <f>EXACT(SUBSTITUTE(A178," ",""),SUBSTITUTE(M178&amp;N178&amp;O178&amp;P178&amp;Q178," ",""))</f>
        <v/>
      </c>
    </row>
    <row r="179">
      <c r="A179" s="15" t="inlineStr">
        <is>
          <t>INSERT INTO MNG_DEAL_LIST_DSP_TBL VALUES(10 , 8 , 4 , 'Y' );</t>
        </is>
      </c>
      <c r="B179" s="16" t="n"/>
      <c r="C179" s="15" t="inlineStr">
        <is>
          <t xml:space="preserve">10 </t>
        </is>
      </c>
      <c r="D179" s="15" t="inlineStr">
        <is>
          <t xml:space="preserve"> 8 </t>
        </is>
      </c>
      <c r="E179" s="15" t="inlineStr">
        <is>
          <t xml:space="preserve"> 4 </t>
        </is>
      </c>
      <c r="F179" s="15" t="inlineStr">
        <is>
          <t xml:space="preserve"> 'Y' </t>
        </is>
      </c>
      <c r="H179" s="17" t="inlineStr">
        <is>
          <t>10</t>
        </is>
      </c>
      <c r="I179" s="17" t="inlineStr">
        <is>
          <t>8</t>
        </is>
      </c>
      <c r="J179" s="17" t="inlineStr">
        <is>
          <t>4</t>
        </is>
      </c>
      <c r="K179" s="17" t="inlineStr">
        <is>
          <t>Y</t>
        </is>
      </c>
      <c r="M179" s="15" t="inlineStr">
        <is>
          <t>INSERT INTO</t>
        </is>
      </c>
      <c r="N179" s="15" t="inlineStr">
        <is>
          <t>MNG_DEAL_LIST_DSP_TBL</t>
        </is>
      </c>
      <c r="O179" s="15" t="inlineStr">
        <is>
          <t>VALUES(</t>
        </is>
      </c>
      <c r="P179" s="15" t="inlineStr">
        <is>
          <t xml:space="preserve">10 , 8 , 4 , 'Y' </t>
        </is>
      </c>
      <c r="Q179" s="15" t="inlineStr">
        <is>
          <t>);</t>
        </is>
      </c>
      <c r="S179" s="18">
        <f>EXACT(TRIM(C179),H179&amp;"")</f>
        <v/>
      </c>
      <c r="T179" s="18">
        <f>EXACT(TRIM(D179),I179&amp;"")</f>
        <v/>
      </c>
      <c r="U179" s="18">
        <f>EXACT(TRIM(E179),J179&amp;"")</f>
        <v/>
      </c>
      <c r="V179" s="18">
        <f>EXACT(TRIM(F179),"'"&amp;K179&amp;"'")</f>
        <v/>
      </c>
      <c r="W179" s="18">
        <f>AND(S179:V179)</f>
        <v/>
      </c>
      <c r="X179" s="19">
        <f>TRIM(IF(S179,"",$S$3&amp;" ")&amp;IF(T179,"",$T$3&amp;" ")&amp;IF(U179,"",$U$3&amp;" ")&amp;IF(V179,"",$V$3&amp;" "))</f>
        <v/>
      </c>
      <c r="Y179" s="18">
        <f>EXACT(SUBSTITUTE(A179," ",""),SUBSTITUTE(M179&amp;N179&amp;O179&amp;P179&amp;Q179," ",""))</f>
        <v/>
      </c>
    </row>
    <row r="180">
      <c r="A180" s="15" t="inlineStr">
        <is>
          <t>INSERT INTO MNG_DEAL_LIST_DSP_TBL VALUES(10 , 8 , 5 , 'Y' );</t>
        </is>
      </c>
      <c r="B180" s="16" t="n"/>
      <c r="C180" s="15" t="inlineStr">
        <is>
          <t xml:space="preserve">10 </t>
        </is>
      </c>
      <c r="D180" s="15" t="inlineStr">
        <is>
          <t xml:space="preserve"> 8 </t>
        </is>
      </c>
      <c r="E180" s="15" t="inlineStr">
        <is>
          <t xml:space="preserve"> 5 </t>
        </is>
      </c>
      <c r="F180" s="15" t="inlineStr">
        <is>
          <t xml:space="preserve"> 'Y' </t>
        </is>
      </c>
      <c r="H180" s="17" t="inlineStr">
        <is>
          <t>10</t>
        </is>
      </c>
      <c r="I180" s="17" t="inlineStr">
        <is>
          <t>8</t>
        </is>
      </c>
      <c r="J180" s="17" t="inlineStr">
        <is>
          <t>5</t>
        </is>
      </c>
      <c r="K180" s="17" t="inlineStr">
        <is>
          <t>Y</t>
        </is>
      </c>
      <c r="M180" s="15" t="inlineStr">
        <is>
          <t>INSERT INTO</t>
        </is>
      </c>
      <c r="N180" s="15" t="inlineStr">
        <is>
          <t>MNG_DEAL_LIST_DSP_TBL</t>
        </is>
      </c>
      <c r="O180" s="15" t="inlineStr">
        <is>
          <t>VALUES(</t>
        </is>
      </c>
      <c r="P180" s="15" t="inlineStr">
        <is>
          <t xml:space="preserve">10 , 8 , 5 , 'Y' </t>
        </is>
      </c>
      <c r="Q180" s="15" t="inlineStr">
        <is>
          <t>);</t>
        </is>
      </c>
      <c r="S180" s="18">
        <f>EXACT(TRIM(C180),H180&amp;"")</f>
        <v/>
      </c>
      <c r="T180" s="18">
        <f>EXACT(TRIM(D180),I180&amp;"")</f>
        <v/>
      </c>
      <c r="U180" s="18">
        <f>EXACT(TRIM(E180),J180&amp;"")</f>
        <v/>
      </c>
      <c r="V180" s="18">
        <f>EXACT(TRIM(F180),"'"&amp;K180&amp;"'")</f>
        <v/>
      </c>
      <c r="W180" s="18">
        <f>AND(S180:V180)</f>
        <v/>
      </c>
      <c r="X180" s="19">
        <f>TRIM(IF(S180,"",$S$3&amp;" ")&amp;IF(T180,"",$T$3&amp;" ")&amp;IF(U180,"",$U$3&amp;" ")&amp;IF(V180,"",$V$3&amp;" "))</f>
        <v/>
      </c>
      <c r="Y180" s="18">
        <f>EXACT(SUBSTITUTE(A180," ",""),SUBSTITUTE(M180&amp;N180&amp;O180&amp;P180&amp;Q180," ",""))</f>
        <v/>
      </c>
    </row>
    <row r="181">
      <c r="A181" s="15" t="inlineStr">
        <is>
          <t>INSERT INTO MNG_DEAL_LIST_DSP_TBL VALUES(10 , 8 , 6 , 'Y' );</t>
        </is>
      </c>
      <c r="B181" s="16" t="n"/>
      <c r="C181" s="15" t="inlineStr">
        <is>
          <t xml:space="preserve">10 </t>
        </is>
      </c>
      <c r="D181" s="15" t="inlineStr">
        <is>
          <t xml:space="preserve"> 8 </t>
        </is>
      </c>
      <c r="E181" s="15" t="inlineStr">
        <is>
          <t xml:space="preserve"> 6 </t>
        </is>
      </c>
      <c r="F181" s="15" t="inlineStr">
        <is>
          <t xml:space="preserve"> 'Y' </t>
        </is>
      </c>
      <c r="H181" s="17" t="inlineStr">
        <is>
          <t>10</t>
        </is>
      </c>
      <c r="I181" s="17" t="inlineStr">
        <is>
          <t>8</t>
        </is>
      </c>
      <c r="J181" s="17" t="inlineStr">
        <is>
          <t>6</t>
        </is>
      </c>
      <c r="K181" s="17" t="inlineStr">
        <is>
          <t>Y</t>
        </is>
      </c>
      <c r="M181" s="15" t="inlineStr">
        <is>
          <t>INSERT INTO</t>
        </is>
      </c>
      <c r="N181" s="15" t="inlineStr">
        <is>
          <t>MNG_DEAL_LIST_DSP_TBL</t>
        </is>
      </c>
      <c r="O181" s="15" t="inlineStr">
        <is>
          <t>VALUES(</t>
        </is>
      </c>
      <c r="P181" s="15" t="inlineStr">
        <is>
          <t xml:space="preserve">10 , 8 , 6 , 'Y' </t>
        </is>
      </c>
      <c r="Q181" s="15" t="inlineStr">
        <is>
          <t>);</t>
        </is>
      </c>
      <c r="S181" s="18">
        <f>EXACT(TRIM(C181),H181&amp;"")</f>
        <v/>
      </c>
      <c r="T181" s="18">
        <f>EXACT(TRIM(D181),I181&amp;"")</f>
        <v/>
      </c>
      <c r="U181" s="18">
        <f>EXACT(TRIM(E181),J181&amp;"")</f>
        <v/>
      </c>
      <c r="V181" s="18">
        <f>EXACT(TRIM(F181),"'"&amp;K181&amp;"'")</f>
        <v/>
      </c>
      <c r="W181" s="18">
        <f>AND(S181:V181)</f>
        <v/>
      </c>
      <c r="X181" s="19">
        <f>TRIM(IF(S181,"",$S$3&amp;" ")&amp;IF(T181,"",$T$3&amp;" ")&amp;IF(U181,"",$U$3&amp;" ")&amp;IF(V181,"",$V$3&amp;" "))</f>
        <v/>
      </c>
      <c r="Y181" s="18">
        <f>EXACT(SUBSTITUTE(A181," ",""),SUBSTITUTE(M181&amp;N181&amp;O181&amp;P181&amp;Q181," ",""))</f>
        <v/>
      </c>
    </row>
    <row r="182">
      <c r="A182" s="15" t="inlineStr">
        <is>
          <t>INSERT INTO MNG_DEAL_LIST_DSP_TBL VALUES(10 , 8 , 7 , 'Y' );</t>
        </is>
      </c>
      <c r="B182" s="16" t="n"/>
      <c r="C182" s="15" t="inlineStr">
        <is>
          <t xml:space="preserve">10 </t>
        </is>
      </c>
      <c r="D182" s="15" t="inlineStr">
        <is>
          <t xml:space="preserve"> 8 </t>
        </is>
      </c>
      <c r="E182" s="15" t="inlineStr">
        <is>
          <t xml:space="preserve"> 7 </t>
        </is>
      </c>
      <c r="F182" s="15" t="inlineStr">
        <is>
          <t xml:space="preserve"> 'Y' </t>
        </is>
      </c>
      <c r="H182" s="17" t="inlineStr">
        <is>
          <t>10</t>
        </is>
      </c>
      <c r="I182" s="17" t="inlineStr">
        <is>
          <t>8</t>
        </is>
      </c>
      <c r="J182" s="17" t="inlineStr">
        <is>
          <t>7</t>
        </is>
      </c>
      <c r="K182" s="17" t="inlineStr">
        <is>
          <t>Y</t>
        </is>
      </c>
      <c r="M182" s="15" t="inlineStr">
        <is>
          <t>INSERT INTO</t>
        </is>
      </c>
      <c r="N182" s="15" t="inlineStr">
        <is>
          <t>MNG_DEAL_LIST_DSP_TBL</t>
        </is>
      </c>
      <c r="O182" s="15" t="inlineStr">
        <is>
          <t>VALUES(</t>
        </is>
      </c>
      <c r="P182" s="15" t="inlineStr">
        <is>
          <t xml:space="preserve">10 , 8 , 7 , 'Y' </t>
        </is>
      </c>
      <c r="Q182" s="15" t="inlineStr">
        <is>
          <t>);</t>
        </is>
      </c>
      <c r="S182" s="18">
        <f>EXACT(TRIM(C182),H182&amp;"")</f>
        <v/>
      </c>
      <c r="T182" s="18">
        <f>EXACT(TRIM(D182),I182&amp;"")</f>
        <v/>
      </c>
      <c r="U182" s="18">
        <f>EXACT(TRIM(E182),J182&amp;"")</f>
        <v/>
      </c>
      <c r="V182" s="18">
        <f>EXACT(TRIM(F182),"'"&amp;K182&amp;"'")</f>
        <v/>
      </c>
      <c r="W182" s="18">
        <f>AND(S182:V182)</f>
        <v/>
      </c>
      <c r="X182" s="19">
        <f>TRIM(IF(S182,"",$S$3&amp;" ")&amp;IF(T182,"",$T$3&amp;" ")&amp;IF(U182,"",$U$3&amp;" ")&amp;IF(V182,"",$V$3&amp;" "))</f>
        <v/>
      </c>
      <c r="Y182" s="18">
        <f>EXACT(SUBSTITUTE(A182," ",""),SUBSTITUTE(M182&amp;N182&amp;O182&amp;P182&amp;Q182," ",""))</f>
        <v/>
      </c>
    </row>
    <row r="183">
      <c r="A183" s="15" t="inlineStr">
        <is>
          <t>INSERT INTO MNG_DEAL_LIST_DSP_TBL VALUES(10 , 8 , 8 , 'Y' );</t>
        </is>
      </c>
      <c r="B183" s="16" t="n"/>
      <c r="C183" s="15" t="inlineStr">
        <is>
          <t xml:space="preserve">10 </t>
        </is>
      </c>
      <c r="D183" s="15" t="inlineStr">
        <is>
          <t xml:space="preserve"> 8 </t>
        </is>
      </c>
      <c r="E183" s="15" t="inlineStr">
        <is>
          <t xml:space="preserve"> 8 </t>
        </is>
      </c>
      <c r="F183" s="15" t="inlineStr">
        <is>
          <t xml:space="preserve"> 'Y' </t>
        </is>
      </c>
      <c r="H183" s="17" t="inlineStr">
        <is>
          <t>10</t>
        </is>
      </c>
      <c r="I183" s="17" t="inlineStr">
        <is>
          <t>8</t>
        </is>
      </c>
      <c r="J183" s="17" t="inlineStr">
        <is>
          <t>8</t>
        </is>
      </c>
      <c r="K183" s="17" t="inlineStr">
        <is>
          <t>Y</t>
        </is>
      </c>
      <c r="M183" s="15" t="inlineStr">
        <is>
          <t>INSERT INTO</t>
        </is>
      </c>
      <c r="N183" s="15" t="inlineStr">
        <is>
          <t>MNG_DEAL_LIST_DSP_TBL</t>
        </is>
      </c>
      <c r="O183" s="15" t="inlineStr">
        <is>
          <t>VALUES(</t>
        </is>
      </c>
      <c r="P183" s="15" t="inlineStr">
        <is>
          <t xml:space="preserve">10 , 8 , 8 , 'Y' </t>
        </is>
      </c>
      <c r="Q183" s="15" t="inlineStr">
        <is>
          <t>);</t>
        </is>
      </c>
      <c r="S183" s="18">
        <f>EXACT(TRIM(C183),H183&amp;"")</f>
        <v/>
      </c>
      <c r="T183" s="18">
        <f>EXACT(TRIM(D183),I183&amp;"")</f>
        <v/>
      </c>
      <c r="U183" s="18">
        <f>EXACT(TRIM(E183),J183&amp;"")</f>
        <v/>
      </c>
      <c r="V183" s="18">
        <f>EXACT(TRIM(F183),"'"&amp;K183&amp;"'")</f>
        <v/>
      </c>
      <c r="W183" s="18">
        <f>AND(S183:V183)</f>
        <v/>
      </c>
      <c r="X183" s="19">
        <f>TRIM(IF(S183,"",$S$3&amp;" ")&amp;IF(T183,"",$T$3&amp;" ")&amp;IF(U183,"",$U$3&amp;" ")&amp;IF(V183,"",$V$3&amp;" "))</f>
        <v/>
      </c>
      <c r="Y183" s="18">
        <f>EXACT(SUBSTITUTE(A183," ",""),SUBSTITUTE(M183&amp;N183&amp;O183&amp;P183&amp;Q183," ",""))</f>
        <v/>
      </c>
    </row>
    <row r="184">
      <c r="A184" s="15" t="inlineStr">
        <is>
          <t>INSERT INTO MNG_DEAL_LIST_DSP_TBL VALUES(10 , 8 , 9 , 'Y' );</t>
        </is>
      </c>
      <c r="B184" s="16" t="n"/>
      <c r="C184" s="15" t="inlineStr">
        <is>
          <t xml:space="preserve">10 </t>
        </is>
      </c>
      <c r="D184" s="15" t="inlineStr">
        <is>
          <t xml:space="preserve"> 8 </t>
        </is>
      </c>
      <c r="E184" s="15" t="inlineStr">
        <is>
          <t xml:space="preserve"> 9 </t>
        </is>
      </c>
      <c r="F184" s="15" t="inlineStr">
        <is>
          <t xml:space="preserve"> 'Y' </t>
        </is>
      </c>
      <c r="H184" s="17" t="inlineStr">
        <is>
          <t>10</t>
        </is>
      </c>
      <c r="I184" s="17" t="inlineStr">
        <is>
          <t>8</t>
        </is>
      </c>
      <c r="J184" s="17" t="inlineStr">
        <is>
          <t>9</t>
        </is>
      </c>
      <c r="K184" s="17" t="inlineStr">
        <is>
          <t>Y</t>
        </is>
      </c>
      <c r="M184" s="15" t="inlineStr">
        <is>
          <t>INSERT INTO</t>
        </is>
      </c>
      <c r="N184" s="15" t="inlineStr">
        <is>
          <t>MNG_DEAL_LIST_DSP_TBL</t>
        </is>
      </c>
      <c r="O184" s="15" t="inlineStr">
        <is>
          <t>VALUES(</t>
        </is>
      </c>
      <c r="P184" s="15" t="inlineStr">
        <is>
          <t xml:space="preserve">10 , 8 , 9 , 'Y' </t>
        </is>
      </c>
      <c r="Q184" s="15" t="inlineStr">
        <is>
          <t>);</t>
        </is>
      </c>
      <c r="S184" s="18">
        <f>EXACT(TRIM(C184),H184&amp;"")</f>
        <v/>
      </c>
      <c r="T184" s="18">
        <f>EXACT(TRIM(D184),I184&amp;"")</f>
        <v/>
      </c>
      <c r="U184" s="18">
        <f>EXACT(TRIM(E184),J184&amp;"")</f>
        <v/>
      </c>
      <c r="V184" s="18">
        <f>EXACT(TRIM(F184),"'"&amp;K184&amp;"'")</f>
        <v/>
      </c>
      <c r="W184" s="18">
        <f>AND(S184:V184)</f>
        <v/>
      </c>
      <c r="X184" s="19">
        <f>TRIM(IF(S184,"",$S$3&amp;" ")&amp;IF(T184,"",$T$3&amp;" ")&amp;IF(U184,"",$U$3&amp;" ")&amp;IF(V184,"",$V$3&amp;" "))</f>
        <v/>
      </c>
      <c r="Y184" s="18">
        <f>EXACT(SUBSTITUTE(A184," ",""),SUBSTITUTE(M184&amp;N184&amp;O184&amp;P184&amp;Q184," ",""))</f>
        <v/>
      </c>
    </row>
    <row r="185">
      <c r="A185" s="15" t="inlineStr">
        <is>
          <t>INSERT INTO MNG_DEAL_LIST_DSP_TBL VALUES(10 , 8 , 10 , 'N' );</t>
        </is>
      </c>
      <c r="B185" s="16" t="n"/>
      <c r="C185" s="15" t="inlineStr">
        <is>
          <t xml:space="preserve">10 </t>
        </is>
      </c>
      <c r="D185" s="15" t="inlineStr">
        <is>
          <t xml:space="preserve"> 8 </t>
        </is>
      </c>
      <c r="E185" s="15" t="inlineStr">
        <is>
          <t xml:space="preserve"> 10 </t>
        </is>
      </c>
      <c r="F185" s="15" t="inlineStr">
        <is>
          <t xml:space="preserve"> 'N' </t>
        </is>
      </c>
      <c r="H185" s="17" t="inlineStr">
        <is>
          <t>10</t>
        </is>
      </c>
      <c r="I185" s="17" t="inlineStr">
        <is>
          <t>8</t>
        </is>
      </c>
      <c r="J185" s="17" t="inlineStr">
        <is>
          <t>10</t>
        </is>
      </c>
      <c r="K185" s="17" t="inlineStr">
        <is>
          <t>N</t>
        </is>
      </c>
      <c r="M185" s="15" t="inlineStr">
        <is>
          <t>INSERT INTO</t>
        </is>
      </c>
      <c r="N185" s="15" t="inlineStr">
        <is>
          <t>MNG_DEAL_LIST_DSP_TBL</t>
        </is>
      </c>
      <c r="O185" s="15" t="inlineStr">
        <is>
          <t>VALUES(</t>
        </is>
      </c>
      <c r="P185" s="15" t="inlineStr">
        <is>
          <t xml:space="preserve">10 , 8 , 10 , 'N' </t>
        </is>
      </c>
      <c r="Q185" s="15" t="inlineStr">
        <is>
          <t>);</t>
        </is>
      </c>
      <c r="S185" s="18">
        <f>EXACT(TRIM(C185),H185&amp;"")</f>
        <v/>
      </c>
      <c r="T185" s="18">
        <f>EXACT(TRIM(D185),I185&amp;"")</f>
        <v/>
      </c>
      <c r="U185" s="18">
        <f>EXACT(TRIM(E185),J185&amp;"")</f>
        <v/>
      </c>
      <c r="V185" s="18">
        <f>EXACT(TRIM(F185),"'"&amp;K185&amp;"'")</f>
        <v/>
      </c>
      <c r="W185" s="18">
        <f>AND(S185:V185)</f>
        <v/>
      </c>
      <c r="X185" s="19">
        <f>TRIM(IF(S185,"",$S$3&amp;" ")&amp;IF(T185,"",$T$3&amp;" ")&amp;IF(U185,"",$U$3&amp;" ")&amp;IF(V185,"",$V$3&amp;" "))</f>
        <v/>
      </c>
      <c r="Y185" s="18">
        <f>EXACT(SUBSTITUTE(A185," ",""),SUBSTITUTE(M185&amp;N185&amp;O185&amp;P185&amp;Q185," ",""))</f>
        <v/>
      </c>
    </row>
    <row r="186">
      <c r="A186" s="15" t="inlineStr">
        <is>
          <t>INSERT INTO MNG_DEAL_LIST_DSP_TBL VALUES(10 , 8 , 11 , 'Y' );</t>
        </is>
      </c>
      <c r="B186" s="16" t="n"/>
      <c r="C186" s="15" t="inlineStr">
        <is>
          <t xml:space="preserve">10 </t>
        </is>
      </c>
      <c r="D186" s="15" t="inlineStr">
        <is>
          <t xml:space="preserve"> 8 </t>
        </is>
      </c>
      <c r="E186" s="15" t="inlineStr">
        <is>
          <t xml:space="preserve"> 11 </t>
        </is>
      </c>
      <c r="F186" s="15" t="inlineStr">
        <is>
          <t xml:space="preserve"> 'Y' </t>
        </is>
      </c>
      <c r="H186" s="17" t="inlineStr">
        <is>
          <t>10</t>
        </is>
      </c>
      <c r="I186" s="17" t="inlineStr">
        <is>
          <t>8</t>
        </is>
      </c>
      <c r="J186" s="17" t="inlineStr">
        <is>
          <t>11</t>
        </is>
      </c>
      <c r="K186" s="17" t="inlineStr">
        <is>
          <t>Y</t>
        </is>
      </c>
      <c r="M186" s="15" t="inlineStr">
        <is>
          <t>INSERT INTO</t>
        </is>
      </c>
      <c r="N186" s="15" t="inlineStr">
        <is>
          <t>MNG_DEAL_LIST_DSP_TBL</t>
        </is>
      </c>
      <c r="O186" s="15" t="inlineStr">
        <is>
          <t>VALUES(</t>
        </is>
      </c>
      <c r="P186" s="15" t="inlineStr">
        <is>
          <t xml:space="preserve">10 , 8 , 11 , 'Y' </t>
        </is>
      </c>
      <c r="Q186" s="15" t="inlineStr">
        <is>
          <t>);</t>
        </is>
      </c>
      <c r="S186" s="18">
        <f>EXACT(TRIM(C186),H186&amp;"")</f>
        <v/>
      </c>
      <c r="T186" s="18">
        <f>EXACT(TRIM(D186),I186&amp;"")</f>
        <v/>
      </c>
      <c r="U186" s="18">
        <f>EXACT(TRIM(E186),J186&amp;"")</f>
        <v/>
      </c>
      <c r="V186" s="18">
        <f>EXACT(TRIM(F186),"'"&amp;K186&amp;"'")</f>
        <v/>
      </c>
      <c r="W186" s="18">
        <f>AND(S186:V186)</f>
        <v/>
      </c>
      <c r="X186" s="19">
        <f>TRIM(IF(S186,"",$S$3&amp;" ")&amp;IF(T186,"",$T$3&amp;" ")&amp;IF(U186,"",$U$3&amp;" ")&amp;IF(V186,"",$V$3&amp;" "))</f>
        <v/>
      </c>
      <c r="Y186" s="18">
        <f>EXACT(SUBSTITUTE(A186," ",""),SUBSTITUTE(M186&amp;N186&amp;O186&amp;P186&amp;Q186," ",""))</f>
        <v/>
      </c>
    </row>
    <row r="187">
      <c r="A187" s="15" t="inlineStr">
        <is>
          <t>INSERT INTO MNG_DEAL_LIST_DSP_TBL VALUES(10 , 8 , 12 , 'Y' );</t>
        </is>
      </c>
      <c r="B187" s="16" t="n"/>
      <c r="C187" s="15" t="inlineStr">
        <is>
          <t xml:space="preserve">10 </t>
        </is>
      </c>
      <c r="D187" s="15" t="inlineStr">
        <is>
          <t xml:space="preserve"> 8 </t>
        </is>
      </c>
      <c r="E187" s="15" t="inlineStr">
        <is>
          <t xml:space="preserve"> 12 </t>
        </is>
      </c>
      <c r="F187" s="15" t="inlineStr">
        <is>
          <t xml:space="preserve"> 'Y' </t>
        </is>
      </c>
      <c r="H187" s="17" t="inlineStr">
        <is>
          <t>10</t>
        </is>
      </c>
      <c r="I187" s="17" t="inlineStr">
        <is>
          <t>8</t>
        </is>
      </c>
      <c r="J187" s="17" t="inlineStr">
        <is>
          <t>12</t>
        </is>
      </c>
      <c r="K187" s="17" t="inlineStr">
        <is>
          <t>Y</t>
        </is>
      </c>
      <c r="M187" s="15" t="inlineStr">
        <is>
          <t>INSERT INTO</t>
        </is>
      </c>
      <c r="N187" s="15" t="inlineStr">
        <is>
          <t>MNG_DEAL_LIST_DSP_TBL</t>
        </is>
      </c>
      <c r="O187" s="15" t="inlineStr">
        <is>
          <t>VALUES(</t>
        </is>
      </c>
      <c r="P187" s="15" t="inlineStr">
        <is>
          <t xml:space="preserve">10 , 8 , 12 , 'Y' </t>
        </is>
      </c>
      <c r="Q187" s="15" t="inlineStr">
        <is>
          <t>);</t>
        </is>
      </c>
      <c r="S187" s="18">
        <f>EXACT(TRIM(C187),H187&amp;"")</f>
        <v/>
      </c>
      <c r="T187" s="18">
        <f>EXACT(TRIM(D187),I187&amp;"")</f>
        <v/>
      </c>
      <c r="U187" s="18">
        <f>EXACT(TRIM(E187),J187&amp;"")</f>
        <v/>
      </c>
      <c r="V187" s="18">
        <f>EXACT(TRIM(F187),"'"&amp;K187&amp;"'")</f>
        <v/>
      </c>
      <c r="W187" s="18">
        <f>AND(S187:V187)</f>
        <v/>
      </c>
      <c r="X187" s="19">
        <f>TRIM(IF(S187,"",$S$3&amp;" ")&amp;IF(T187,"",$T$3&amp;" ")&amp;IF(U187,"",$U$3&amp;" ")&amp;IF(V187,"",$V$3&amp;" "))</f>
        <v/>
      </c>
      <c r="Y187" s="18">
        <f>EXACT(SUBSTITUTE(A187," ",""),SUBSTITUTE(M187&amp;N187&amp;O187&amp;P187&amp;Q187," ",""))</f>
        <v/>
      </c>
    </row>
    <row r="188">
      <c r="A188" s="15" t="inlineStr">
        <is>
          <t>INSERT INTO MNG_DEAL_LIST_DSP_TBL VALUES(10 , 8 , 13 , 'Y' );</t>
        </is>
      </c>
      <c r="B188" s="16" t="n"/>
      <c r="C188" s="15" t="inlineStr">
        <is>
          <t xml:space="preserve">10 </t>
        </is>
      </c>
      <c r="D188" s="15" t="inlineStr">
        <is>
          <t xml:space="preserve"> 8 </t>
        </is>
      </c>
      <c r="E188" s="15" t="inlineStr">
        <is>
          <t xml:space="preserve"> 13 </t>
        </is>
      </c>
      <c r="F188" s="15" t="inlineStr">
        <is>
          <t xml:space="preserve"> 'Y' </t>
        </is>
      </c>
      <c r="H188" s="17" t="inlineStr">
        <is>
          <t>10</t>
        </is>
      </c>
      <c r="I188" s="17" t="inlineStr">
        <is>
          <t>8</t>
        </is>
      </c>
      <c r="J188" s="17" t="inlineStr">
        <is>
          <t>13</t>
        </is>
      </c>
      <c r="K188" s="17" t="inlineStr">
        <is>
          <t>Y</t>
        </is>
      </c>
      <c r="M188" s="15" t="inlineStr">
        <is>
          <t>INSERT INTO</t>
        </is>
      </c>
      <c r="N188" s="15" t="inlineStr">
        <is>
          <t>MNG_DEAL_LIST_DSP_TBL</t>
        </is>
      </c>
      <c r="O188" s="15" t="inlineStr">
        <is>
          <t>VALUES(</t>
        </is>
      </c>
      <c r="P188" s="15" t="inlineStr">
        <is>
          <t xml:space="preserve">10 , 8 , 13 , 'Y' </t>
        </is>
      </c>
      <c r="Q188" s="15" t="inlineStr">
        <is>
          <t>);</t>
        </is>
      </c>
      <c r="S188" s="18">
        <f>EXACT(TRIM(C188),H188&amp;"")</f>
        <v/>
      </c>
      <c r="T188" s="18">
        <f>EXACT(TRIM(D188),I188&amp;"")</f>
        <v/>
      </c>
      <c r="U188" s="18">
        <f>EXACT(TRIM(E188),J188&amp;"")</f>
        <v/>
      </c>
      <c r="V188" s="18">
        <f>EXACT(TRIM(F188),"'"&amp;K188&amp;"'")</f>
        <v/>
      </c>
      <c r="W188" s="18">
        <f>AND(S188:V188)</f>
        <v/>
      </c>
      <c r="X188" s="19">
        <f>TRIM(IF(S188,"",$S$3&amp;" ")&amp;IF(T188,"",$T$3&amp;" ")&amp;IF(U188,"",$U$3&amp;" ")&amp;IF(V188,"",$V$3&amp;" "))</f>
        <v/>
      </c>
      <c r="Y188" s="18">
        <f>EXACT(SUBSTITUTE(A188," ",""),SUBSTITUTE(M188&amp;N188&amp;O188&amp;P188&amp;Q188," ",""))</f>
        <v/>
      </c>
    </row>
    <row r="189">
      <c r="A189" s="15" t="inlineStr">
        <is>
          <t>INSERT INTO MNG_DEAL_LIST_DSP_TBL VALUES(10 , 8 , 14 , 'Y' );</t>
        </is>
      </c>
      <c r="B189" s="16" t="n"/>
      <c r="C189" s="15" t="inlineStr">
        <is>
          <t xml:space="preserve">10 </t>
        </is>
      </c>
      <c r="D189" s="15" t="inlineStr">
        <is>
          <t xml:space="preserve"> 8 </t>
        </is>
      </c>
      <c r="E189" s="15" t="inlineStr">
        <is>
          <t xml:space="preserve"> 14 </t>
        </is>
      </c>
      <c r="F189" s="15" t="inlineStr">
        <is>
          <t xml:space="preserve"> 'Y' </t>
        </is>
      </c>
      <c r="H189" s="17" t="inlineStr">
        <is>
          <t>10</t>
        </is>
      </c>
      <c r="I189" s="17" t="inlineStr">
        <is>
          <t>8</t>
        </is>
      </c>
      <c r="J189" s="17" t="inlineStr">
        <is>
          <t>14</t>
        </is>
      </c>
      <c r="K189" s="17" t="inlineStr">
        <is>
          <t>Y</t>
        </is>
      </c>
      <c r="M189" s="15" t="inlineStr">
        <is>
          <t>INSERT INTO</t>
        </is>
      </c>
      <c r="N189" s="15" t="inlineStr">
        <is>
          <t>MNG_DEAL_LIST_DSP_TBL</t>
        </is>
      </c>
      <c r="O189" s="15" t="inlineStr">
        <is>
          <t>VALUES(</t>
        </is>
      </c>
      <c r="P189" s="15" t="inlineStr">
        <is>
          <t xml:space="preserve">10 , 8 , 14 , 'Y' </t>
        </is>
      </c>
      <c r="Q189" s="15" t="inlineStr">
        <is>
          <t>);</t>
        </is>
      </c>
      <c r="S189" s="18">
        <f>EXACT(TRIM(C189),H189&amp;"")</f>
        <v/>
      </c>
      <c r="T189" s="18">
        <f>EXACT(TRIM(D189),I189&amp;"")</f>
        <v/>
      </c>
      <c r="U189" s="18">
        <f>EXACT(TRIM(E189),J189&amp;"")</f>
        <v/>
      </c>
      <c r="V189" s="18">
        <f>EXACT(TRIM(F189),"'"&amp;K189&amp;"'")</f>
        <v/>
      </c>
      <c r="W189" s="18">
        <f>AND(S189:V189)</f>
        <v/>
      </c>
      <c r="X189" s="19">
        <f>TRIM(IF(S189,"",$S$3&amp;" ")&amp;IF(T189,"",$T$3&amp;" ")&amp;IF(U189,"",$U$3&amp;" ")&amp;IF(V189,"",$V$3&amp;" "))</f>
        <v/>
      </c>
      <c r="Y189" s="18">
        <f>EXACT(SUBSTITUTE(A189," ",""),SUBSTITUTE(M189&amp;N189&amp;O189&amp;P189&amp;Q189," ",""))</f>
        <v/>
      </c>
    </row>
    <row r="190">
      <c r="A190" s="15" t="inlineStr">
        <is>
          <t>INSERT INTO MNG_DEAL_LIST_DSP_TBL VALUES(10 , 8 , 15 , 'Y' );</t>
        </is>
      </c>
      <c r="B190" s="16" t="n"/>
      <c r="C190" s="15" t="inlineStr">
        <is>
          <t xml:space="preserve">10 </t>
        </is>
      </c>
      <c r="D190" s="15" t="inlineStr">
        <is>
          <t xml:space="preserve"> 8 </t>
        </is>
      </c>
      <c r="E190" s="15" t="inlineStr">
        <is>
          <t xml:space="preserve"> 15 </t>
        </is>
      </c>
      <c r="F190" s="15" t="inlineStr">
        <is>
          <t xml:space="preserve"> 'Y' </t>
        </is>
      </c>
      <c r="H190" s="17" t="inlineStr">
        <is>
          <t>10</t>
        </is>
      </c>
      <c r="I190" s="17" t="inlineStr">
        <is>
          <t>8</t>
        </is>
      </c>
      <c r="J190" s="17" t="inlineStr">
        <is>
          <t>15</t>
        </is>
      </c>
      <c r="K190" s="17" t="inlineStr">
        <is>
          <t>Y</t>
        </is>
      </c>
      <c r="M190" s="15" t="inlineStr">
        <is>
          <t>INSERT INTO</t>
        </is>
      </c>
      <c r="N190" s="15" t="inlineStr">
        <is>
          <t>MNG_DEAL_LIST_DSP_TBL</t>
        </is>
      </c>
      <c r="O190" s="15" t="inlineStr">
        <is>
          <t>VALUES(</t>
        </is>
      </c>
      <c r="P190" s="15" t="inlineStr">
        <is>
          <t xml:space="preserve">10 , 8 , 15 , 'Y' </t>
        </is>
      </c>
      <c r="Q190" s="15" t="inlineStr">
        <is>
          <t>);</t>
        </is>
      </c>
      <c r="S190" s="18">
        <f>EXACT(TRIM(C190),H190&amp;"")</f>
        <v/>
      </c>
      <c r="T190" s="18">
        <f>EXACT(TRIM(D190),I190&amp;"")</f>
        <v/>
      </c>
      <c r="U190" s="18">
        <f>EXACT(TRIM(E190),J190&amp;"")</f>
        <v/>
      </c>
      <c r="V190" s="18">
        <f>EXACT(TRIM(F190),"'"&amp;K190&amp;"'")</f>
        <v/>
      </c>
      <c r="W190" s="18">
        <f>AND(S190:V190)</f>
        <v/>
      </c>
      <c r="X190" s="19">
        <f>TRIM(IF(S190,"",$S$3&amp;" ")&amp;IF(T190,"",$T$3&amp;" ")&amp;IF(U190,"",$U$3&amp;" ")&amp;IF(V190,"",$V$3&amp;" "))</f>
        <v/>
      </c>
      <c r="Y190" s="18">
        <f>EXACT(SUBSTITUTE(A190," ",""),SUBSTITUTE(M190&amp;N190&amp;O190&amp;P190&amp;Q190," ",""))</f>
        <v/>
      </c>
    </row>
    <row r="191">
      <c r="A191" s="15" t="inlineStr">
        <is>
          <t>INSERT INTO MNG_DEAL_LIST_DSP_TBL VALUES(10 , 8 , 16 , 'Y' );</t>
        </is>
      </c>
      <c r="B191" s="16" t="n"/>
      <c r="C191" s="15" t="inlineStr">
        <is>
          <t xml:space="preserve">10 </t>
        </is>
      </c>
      <c r="D191" s="15" t="inlineStr">
        <is>
          <t xml:space="preserve"> 8 </t>
        </is>
      </c>
      <c r="E191" s="15" t="inlineStr">
        <is>
          <t xml:space="preserve"> 16 </t>
        </is>
      </c>
      <c r="F191" s="15" t="inlineStr">
        <is>
          <t xml:space="preserve"> 'Y' </t>
        </is>
      </c>
      <c r="H191" s="17" t="inlineStr">
        <is>
          <t>10</t>
        </is>
      </c>
      <c r="I191" s="17" t="inlineStr">
        <is>
          <t>8</t>
        </is>
      </c>
      <c r="J191" s="17" t="inlineStr">
        <is>
          <t>16</t>
        </is>
      </c>
      <c r="K191" s="17" t="inlineStr">
        <is>
          <t>Y</t>
        </is>
      </c>
      <c r="M191" s="15" t="inlineStr">
        <is>
          <t>INSERT INTO</t>
        </is>
      </c>
      <c r="N191" s="15" t="inlineStr">
        <is>
          <t>MNG_DEAL_LIST_DSP_TBL</t>
        </is>
      </c>
      <c r="O191" s="15" t="inlineStr">
        <is>
          <t>VALUES(</t>
        </is>
      </c>
      <c r="P191" s="15" t="inlineStr">
        <is>
          <t xml:space="preserve">10 , 8 , 16 , 'Y' </t>
        </is>
      </c>
      <c r="Q191" s="15" t="inlineStr">
        <is>
          <t>);</t>
        </is>
      </c>
      <c r="S191" s="18">
        <f>EXACT(TRIM(C191),H191&amp;"")</f>
        <v/>
      </c>
      <c r="T191" s="18">
        <f>EXACT(TRIM(D191),I191&amp;"")</f>
        <v/>
      </c>
      <c r="U191" s="18">
        <f>EXACT(TRIM(E191),J191&amp;"")</f>
        <v/>
      </c>
      <c r="V191" s="18">
        <f>EXACT(TRIM(F191),"'"&amp;K191&amp;"'")</f>
        <v/>
      </c>
      <c r="W191" s="18">
        <f>AND(S191:V191)</f>
        <v/>
      </c>
      <c r="X191" s="19">
        <f>TRIM(IF(S191,"",$S$3&amp;" ")&amp;IF(T191,"",$T$3&amp;" ")&amp;IF(U191,"",$U$3&amp;" ")&amp;IF(V191,"",$V$3&amp;" "))</f>
        <v/>
      </c>
      <c r="Y191" s="18">
        <f>EXACT(SUBSTITUTE(A191," ",""),SUBSTITUTE(M191&amp;N191&amp;O191&amp;P191&amp;Q191," ",""))</f>
        <v/>
      </c>
    </row>
    <row r="192">
      <c r="A192" s="15" t="inlineStr">
        <is>
          <t>INSERT INTO MNG_DEAL_LIST_DSP_TBL VALUES(10 , 10 , 1 , 'Y' );</t>
        </is>
      </c>
      <c r="B192" s="16" t="n"/>
      <c r="C192" s="15" t="inlineStr">
        <is>
          <t xml:space="preserve">10 </t>
        </is>
      </c>
      <c r="D192" s="15" t="inlineStr">
        <is>
          <t xml:space="preserve"> 10 </t>
        </is>
      </c>
      <c r="E192" s="15" t="inlineStr">
        <is>
          <t xml:space="preserve"> 1 </t>
        </is>
      </c>
      <c r="F192" s="15" t="inlineStr">
        <is>
          <t xml:space="preserve"> 'Y' </t>
        </is>
      </c>
      <c r="H192" s="17" t="inlineStr">
        <is>
          <t>10</t>
        </is>
      </c>
      <c r="I192" s="17" t="inlineStr">
        <is>
          <t>10</t>
        </is>
      </c>
      <c r="J192" s="17" t="inlineStr">
        <is>
          <t>1</t>
        </is>
      </c>
      <c r="K192" s="17" t="inlineStr">
        <is>
          <t>Y</t>
        </is>
      </c>
      <c r="M192" s="15" t="inlineStr">
        <is>
          <t>INSERT INTO</t>
        </is>
      </c>
      <c r="N192" s="15" t="inlineStr">
        <is>
          <t>MNG_DEAL_LIST_DSP_TBL</t>
        </is>
      </c>
      <c r="O192" s="15" t="inlineStr">
        <is>
          <t>VALUES(</t>
        </is>
      </c>
      <c r="P192" s="15" t="inlineStr">
        <is>
          <t xml:space="preserve">10 , 10 , 1 , 'Y' </t>
        </is>
      </c>
      <c r="Q192" s="15" t="inlineStr">
        <is>
          <t>);</t>
        </is>
      </c>
      <c r="S192" s="18">
        <f>EXACT(TRIM(C192),H192&amp;"")</f>
        <v/>
      </c>
      <c r="T192" s="18">
        <f>EXACT(TRIM(D192),I192&amp;"")</f>
        <v/>
      </c>
      <c r="U192" s="18">
        <f>EXACT(TRIM(E192),J192&amp;"")</f>
        <v/>
      </c>
      <c r="V192" s="18">
        <f>EXACT(TRIM(F192),"'"&amp;K192&amp;"'")</f>
        <v/>
      </c>
      <c r="W192" s="18">
        <f>AND(S192:V192)</f>
        <v/>
      </c>
      <c r="X192" s="19">
        <f>TRIM(IF(S192,"",$S$3&amp;" ")&amp;IF(T192,"",$T$3&amp;" ")&amp;IF(U192,"",$U$3&amp;" ")&amp;IF(V192,"",$V$3&amp;" "))</f>
        <v/>
      </c>
      <c r="Y192" s="18">
        <f>EXACT(SUBSTITUTE(A192," ",""),SUBSTITUTE(M192&amp;N192&amp;O192&amp;P192&amp;Q192," ",""))</f>
        <v/>
      </c>
    </row>
    <row r="193">
      <c r="A193" s="15" t="inlineStr">
        <is>
          <t>INSERT INTO MNG_DEAL_LIST_DSP_TBL VALUES(10 , 10 , 2 , 'N' );</t>
        </is>
      </c>
      <c r="B193" s="16" t="n"/>
      <c r="C193" s="15" t="inlineStr">
        <is>
          <t xml:space="preserve">10 </t>
        </is>
      </c>
      <c r="D193" s="15" t="inlineStr">
        <is>
          <t xml:space="preserve"> 10 </t>
        </is>
      </c>
      <c r="E193" s="15" t="inlineStr">
        <is>
          <t xml:space="preserve"> 2 </t>
        </is>
      </c>
      <c r="F193" s="15" t="inlineStr">
        <is>
          <t xml:space="preserve"> 'N' </t>
        </is>
      </c>
      <c r="H193" s="17" t="inlineStr">
        <is>
          <t>10</t>
        </is>
      </c>
      <c r="I193" s="17" t="inlineStr">
        <is>
          <t>10</t>
        </is>
      </c>
      <c r="J193" s="17" t="inlineStr">
        <is>
          <t>2</t>
        </is>
      </c>
      <c r="K193" s="17" t="inlineStr">
        <is>
          <t>N</t>
        </is>
      </c>
      <c r="M193" s="15" t="inlineStr">
        <is>
          <t>INSERT INTO</t>
        </is>
      </c>
      <c r="N193" s="15" t="inlineStr">
        <is>
          <t>MNG_DEAL_LIST_DSP_TBL</t>
        </is>
      </c>
      <c r="O193" s="15" t="inlineStr">
        <is>
          <t>VALUES(</t>
        </is>
      </c>
      <c r="P193" s="15" t="inlineStr">
        <is>
          <t xml:space="preserve">10 , 10 , 2 , 'N' </t>
        </is>
      </c>
      <c r="Q193" s="15" t="inlineStr">
        <is>
          <t>);</t>
        </is>
      </c>
      <c r="S193" s="18">
        <f>EXACT(TRIM(C193),H193&amp;"")</f>
        <v/>
      </c>
      <c r="T193" s="18">
        <f>EXACT(TRIM(D193),I193&amp;"")</f>
        <v/>
      </c>
      <c r="U193" s="18">
        <f>EXACT(TRIM(E193),J193&amp;"")</f>
        <v/>
      </c>
      <c r="V193" s="18">
        <f>EXACT(TRIM(F193),"'"&amp;K193&amp;"'")</f>
        <v/>
      </c>
      <c r="W193" s="18">
        <f>AND(S193:V193)</f>
        <v/>
      </c>
      <c r="X193" s="19">
        <f>TRIM(IF(S193,"",$S$3&amp;" ")&amp;IF(T193,"",$T$3&amp;" ")&amp;IF(U193,"",$U$3&amp;" ")&amp;IF(V193,"",$V$3&amp;" "))</f>
        <v/>
      </c>
      <c r="Y193" s="18">
        <f>EXACT(SUBSTITUTE(A193," ",""),SUBSTITUTE(M193&amp;N193&amp;O193&amp;P193&amp;Q193," ",""))</f>
        <v/>
      </c>
    </row>
    <row r="194">
      <c r="A194" s="15" t="inlineStr">
        <is>
          <t>INSERT INTO MNG_DEAL_LIST_DSP_TBL VALUES(10 , 10 , 3 , 'N' );</t>
        </is>
      </c>
      <c r="B194" s="16" t="n"/>
      <c r="C194" s="15" t="inlineStr">
        <is>
          <t xml:space="preserve">10 </t>
        </is>
      </c>
      <c r="D194" s="15" t="inlineStr">
        <is>
          <t xml:space="preserve"> 10 </t>
        </is>
      </c>
      <c r="E194" s="15" t="inlineStr">
        <is>
          <t xml:space="preserve"> 3 </t>
        </is>
      </c>
      <c r="F194" s="15" t="inlineStr">
        <is>
          <t xml:space="preserve"> 'N' </t>
        </is>
      </c>
      <c r="H194" s="17" t="inlineStr">
        <is>
          <t>10</t>
        </is>
      </c>
      <c r="I194" s="17" t="inlineStr">
        <is>
          <t>10</t>
        </is>
      </c>
      <c r="J194" s="17" t="inlineStr">
        <is>
          <t>3</t>
        </is>
      </c>
      <c r="K194" s="17" t="inlineStr">
        <is>
          <t>N</t>
        </is>
      </c>
      <c r="M194" s="15" t="inlineStr">
        <is>
          <t>INSERT INTO</t>
        </is>
      </c>
      <c r="N194" s="15" t="inlineStr">
        <is>
          <t>MNG_DEAL_LIST_DSP_TBL</t>
        </is>
      </c>
      <c r="O194" s="15" t="inlineStr">
        <is>
          <t>VALUES(</t>
        </is>
      </c>
      <c r="P194" s="15" t="inlineStr">
        <is>
          <t xml:space="preserve">10 , 10 , 3 , 'N' </t>
        </is>
      </c>
      <c r="Q194" s="15" t="inlineStr">
        <is>
          <t>);</t>
        </is>
      </c>
      <c r="S194" s="18">
        <f>EXACT(TRIM(C194),H194&amp;"")</f>
        <v/>
      </c>
      <c r="T194" s="18">
        <f>EXACT(TRIM(D194),I194&amp;"")</f>
        <v/>
      </c>
      <c r="U194" s="18">
        <f>EXACT(TRIM(E194),J194&amp;"")</f>
        <v/>
      </c>
      <c r="V194" s="18">
        <f>EXACT(TRIM(F194),"'"&amp;K194&amp;"'")</f>
        <v/>
      </c>
      <c r="W194" s="18">
        <f>AND(S194:V194)</f>
        <v/>
      </c>
      <c r="X194" s="19">
        <f>TRIM(IF(S194,"",$S$3&amp;" ")&amp;IF(T194,"",$T$3&amp;" ")&amp;IF(U194,"",$U$3&amp;" ")&amp;IF(V194,"",$V$3&amp;" "))</f>
        <v/>
      </c>
      <c r="Y194" s="18">
        <f>EXACT(SUBSTITUTE(A194," ",""),SUBSTITUTE(M194&amp;N194&amp;O194&amp;P194&amp;Q194," ",""))</f>
        <v/>
      </c>
    </row>
    <row r="195">
      <c r="A195" s="15" t="inlineStr">
        <is>
          <t>INSERT INTO MNG_DEAL_LIST_DSP_TBL VALUES(10 , 10 , 4 , 'Y' );</t>
        </is>
      </c>
      <c r="B195" s="16" t="n"/>
      <c r="C195" s="15" t="inlineStr">
        <is>
          <t xml:space="preserve">10 </t>
        </is>
      </c>
      <c r="D195" s="15" t="inlineStr">
        <is>
          <t xml:space="preserve"> 10 </t>
        </is>
      </c>
      <c r="E195" s="15" t="inlineStr">
        <is>
          <t xml:space="preserve"> 4 </t>
        </is>
      </c>
      <c r="F195" s="15" t="inlineStr">
        <is>
          <t xml:space="preserve"> 'Y' </t>
        </is>
      </c>
      <c r="H195" s="17" t="inlineStr">
        <is>
          <t>10</t>
        </is>
      </c>
      <c r="I195" s="17" t="inlineStr">
        <is>
          <t>10</t>
        </is>
      </c>
      <c r="J195" s="17" t="inlineStr">
        <is>
          <t>4</t>
        </is>
      </c>
      <c r="K195" s="17" t="inlineStr">
        <is>
          <t>Y</t>
        </is>
      </c>
      <c r="M195" s="15" t="inlineStr">
        <is>
          <t>INSERT INTO</t>
        </is>
      </c>
      <c r="N195" s="15" t="inlineStr">
        <is>
          <t>MNG_DEAL_LIST_DSP_TBL</t>
        </is>
      </c>
      <c r="O195" s="15" t="inlineStr">
        <is>
          <t>VALUES(</t>
        </is>
      </c>
      <c r="P195" s="15" t="inlineStr">
        <is>
          <t xml:space="preserve">10 , 10 , 4 , 'Y' </t>
        </is>
      </c>
      <c r="Q195" s="15" t="inlineStr">
        <is>
          <t>);</t>
        </is>
      </c>
      <c r="S195" s="18">
        <f>EXACT(TRIM(C195),H195&amp;"")</f>
        <v/>
      </c>
      <c r="T195" s="18">
        <f>EXACT(TRIM(D195),I195&amp;"")</f>
        <v/>
      </c>
      <c r="U195" s="18">
        <f>EXACT(TRIM(E195),J195&amp;"")</f>
        <v/>
      </c>
      <c r="V195" s="18">
        <f>EXACT(TRIM(F195),"'"&amp;K195&amp;"'")</f>
        <v/>
      </c>
      <c r="W195" s="18">
        <f>AND(S195:V195)</f>
        <v/>
      </c>
      <c r="X195" s="19">
        <f>TRIM(IF(S195,"",$S$3&amp;" ")&amp;IF(T195,"",$T$3&amp;" ")&amp;IF(U195,"",$U$3&amp;" ")&amp;IF(V195,"",$V$3&amp;" "))</f>
        <v/>
      </c>
      <c r="Y195" s="18">
        <f>EXACT(SUBSTITUTE(A195," ",""),SUBSTITUTE(M195&amp;N195&amp;O195&amp;P195&amp;Q195," ",""))</f>
        <v/>
      </c>
    </row>
    <row r="196">
      <c r="A196" s="15" t="inlineStr">
        <is>
          <t>INSERT INTO MNG_DEAL_LIST_DSP_TBL VALUES(10 , 10 , 5 , 'Y' );</t>
        </is>
      </c>
      <c r="B196" s="16" t="n"/>
      <c r="C196" s="15" t="inlineStr">
        <is>
          <t xml:space="preserve">10 </t>
        </is>
      </c>
      <c r="D196" s="15" t="inlineStr">
        <is>
          <t xml:space="preserve"> 10 </t>
        </is>
      </c>
      <c r="E196" s="15" t="inlineStr">
        <is>
          <t xml:space="preserve"> 5 </t>
        </is>
      </c>
      <c r="F196" s="15" t="inlineStr">
        <is>
          <t xml:space="preserve"> 'Y' </t>
        </is>
      </c>
      <c r="H196" s="17" t="inlineStr">
        <is>
          <t>10</t>
        </is>
      </c>
      <c r="I196" s="17" t="inlineStr">
        <is>
          <t>10</t>
        </is>
      </c>
      <c r="J196" s="17" t="inlineStr">
        <is>
          <t>5</t>
        </is>
      </c>
      <c r="K196" s="17" t="inlineStr">
        <is>
          <t>Y</t>
        </is>
      </c>
      <c r="M196" s="15" t="inlineStr">
        <is>
          <t>INSERT INTO</t>
        </is>
      </c>
      <c r="N196" s="15" t="inlineStr">
        <is>
          <t>MNG_DEAL_LIST_DSP_TBL</t>
        </is>
      </c>
      <c r="O196" s="15" t="inlineStr">
        <is>
          <t>VALUES(</t>
        </is>
      </c>
      <c r="P196" s="15" t="inlineStr">
        <is>
          <t xml:space="preserve">10 , 10 , 5 , 'Y' </t>
        </is>
      </c>
      <c r="Q196" s="15" t="inlineStr">
        <is>
          <t>);</t>
        </is>
      </c>
      <c r="S196" s="18">
        <f>EXACT(TRIM(C196),H196&amp;"")</f>
        <v/>
      </c>
      <c r="T196" s="18">
        <f>EXACT(TRIM(D196),I196&amp;"")</f>
        <v/>
      </c>
      <c r="U196" s="18">
        <f>EXACT(TRIM(E196),J196&amp;"")</f>
        <v/>
      </c>
      <c r="V196" s="18">
        <f>EXACT(TRIM(F196),"'"&amp;K196&amp;"'")</f>
        <v/>
      </c>
      <c r="W196" s="18">
        <f>AND(S196:V196)</f>
        <v/>
      </c>
      <c r="X196" s="19">
        <f>TRIM(IF(S196,"",$S$3&amp;" ")&amp;IF(T196,"",$T$3&amp;" ")&amp;IF(U196,"",$U$3&amp;" ")&amp;IF(V196,"",$V$3&amp;" "))</f>
        <v/>
      </c>
      <c r="Y196" s="18">
        <f>EXACT(SUBSTITUTE(A196," ",""),SUBSTITUTE(M196&amp;N196&amp;O196&amp;P196&amp;Q196," ",""))</f>
        <v/>
      </c>
    </row>
    <row r="197">
      <c r="A197" s="15" t="inlineStr">
        <is>
          <t>INSERT INTO MNG_DEAL_LIST_DSP_TBL VALUES(10 , 10 , 6 , 'Y' );</t>
        </is>
      </c>
      <c r="B197" s="16" t="n"/>
      <c r="C197" s="15" t="inlineStr">
        <is>
          <t xml:space="preserve">10 </t>
        </is>
      </c>
      <c r="D197" s="15" t="inlineStr">
        <is>
          <t xml:space="preserve"> 10 </t>
        </is>
      </c>
      <c r="E197" s="15" t="inlineStr">
        <is>
          <t xml:space="preserve"> 6 </t>
        </is>
      </c>
      <c r="F197" s="15" t="inlineStr">
        <is>
          <t xml:space="preserve"> 'Y' </t>
        </is>
      </c>
      <c r="H197" s="17" t="inlineStr">
        <is>
          <t>10</t>
        </is>
      </c>
      <c r="I197" s="17" t="inlineStr">
        <is>
          <t>10</t>
        </is>
      </c>
      <c r="J197" s="17" t="inlineStr">
        <is>
          <t>6</t>
        </is>
      </c>
      <c r="K197" s="17" t="inlineStr">
        <is>
          <t>Y</t>
        </is>
      </c>
      <c r="M197" s="15" t="inlineStr">
        <is>
          <t>INSERT INTO</t>
        </is>
      </c>
      <c r="N197" s="15" t="inlineStr">
        <is>
          <t>MNG_DEAL_LIST_DSP_TBL</t>
        </is>
      </c>
      <c r="O197" s="15" t="inlineStr">
        <is>
          <t>VALUES(</t>
        </is>
      </c>
      <c r="P197" s="15" t="inlineStr">
        <is>
          <t xml:space="preserve">10 , 10 , 6 , 'Y' </t>
        </is>
      </c>
      <c r="Q197" s="15" t="inlineStr">
        <is>
          <t>);</t>
        </is>
      </c>
      <c r="S197" s="18">
        <f>EXACT(TRIM(C197),H197&amp;"")</f>
        <v/>
      </c>
      <c r="T197" s="18">
        <f>EXACT(TRIM(D197),I197&amp;"")</f>
        <v/>
      </c>
      <c r="U197" s="18">
        <f>EXACT(TRIM(E197),J197&amp;"")</f>
        <v/>
      </c>
      <c r="V197" s="18">
        <f>EXACT(TRIM(F197),"'"&amp;K197&amp;"'")</f>
        <v/>
      </c>
      <c r="W197" s="18">
        <f>AND(S197:V197)</f>
        <v/>
      </c>
      <c r="X197" s="19">
        <f>TRIM(IF(S197,"",$S$3&amp;" ")&amp;IF(T197,"",$T$3&amp;" ")&amp;IF(U197,"",$U$3&amp;" ")&amp;IF(V197,"",$V$3&amp;" "))</f>
        <v/>
      </c>
      <c r="Y197" s="18">
        <f>EXACT(SUBSTITUTE(A197," ",""),SUBSTITUTE(M197&amp;N197&amp;O197&amp;P197&amp;Q197," ",""))</f>
        <v/>
      </c>
    </row>
    <row r="198">
      <c r="A198" s="15" t="inlineStr">
        <is>
          <t>INSERT INTO MNG_DEAL_LIST_DSP_TBL VALUES(10 , 10 , 7 , 'Y' );</t>
        </is>
      </c>
      <c r="B198" s="16" t="n"/>
      <c r="C198" s="15" t="inlineStr">
        <is>
          <t xml:space="preserve">10 </t>
        </is>
      </c>
      <c r="D198" s="15" t="inlineStr">
        <is>
          <t xml:space="preserve"> 10 </t>
        </is>
      </c>
      <c r="E198" s="15" t="inlineStr">
        <is>
          <t xml:space="preserve"> 7 </t>
        </is>
      </c>
      <c r="F198" s="15" t="inlineStr">
        <is>
          <t xml:space="preserve"> 'Y' </t>
        </is>
      </c>
      <c r="H198" s="17" t="inlineStr">
        <is>
          <t>10</t>
        </is>
      </c>
      <c r="I198" s="17" t="inlineStr">
        <is>
          <t>10</t>
        </is>
      </c>
      <c r="J198" s="17" t="inlineStr">
        <is>
          <t>7</t>
        </is>
      </c>
      <c r="K198" s="17" t="inlineStr">
        <is>
          <t>Y</t>
        </is>
      </c>
      <c r="M198" s="15" t="inlineStr">
        <is>
          <t>INSERT INTO</t>
        </is>
      </c>
      <c r="N198" s="15" t="inlineStr">
        <is>
          <t>MNG_DEAL_LIST_DSP_TBL</t>
        </is>
      </c>
      <c r="O198" s="15" t="inlineStr">
        <is>
          <t>VALUES(</t>
        </is>
      </c>
      <c r="P198" s="15" t="inlineStr">
        <is>
          <t xml:space="preserve">10 , 10 , 7 , 'Y' </t>
        </is>
      </c>
      <c r="Q198" s="15" t="inlineStr">
        <is>
          <t>);</t>
        </is>
      </c>
      <c r="S198" s="18">
        <f>EXACT(TRIM(C198),H198&amp;"")</f>
        <v/>
      </c>
      <c r="T198" s="18">
        <f>EXACT(TRIM(D198),I198&amp;"")</f>
        <v/>
      </c>
      <c r="U198" s="18">
        <f>EXACT(TRIM(E198),J198&amp;"")</f>
        <v/>
      </c>
      <c r="V198" s="18">
        <f>EXACT(TRIM(F198),"'"&amp;K198&amp;"'")</f>
        <v/>
      </c>
      <c r="W198" s="18">
        <f>AND(S198:V198)</f>
        <v/>
      </c>
      <c r="X198" s="19">
        <f>TRIM(IF(S198,"",$S$3&amp;" ")&amp;IF(T198,"",$T$3&amp;" ")&amp;IF(U198,"",$U$3&amp;" ")&amp;IF(V198,"",$V$3&amp;" "))</f>
        <v/>
      </c>
      <c r="Y198" s="18">
        <f>EXACT(SUBSTITUTE(A198," ",""),SUBSTITUTE(M198&amp;N198&amp;O198&amp;P198&amp;Q198," ",""))</f>
        <v/>
      </c>
    </row>
    <row r="199">
      <c r="A199" s="15" t="inlineStr">
        <is>
          <t>INSERT INTO MNG_DEAL_LIST_DSP_TBL VALUES(10 , 10 , 8 , 'Y' );</t>
        </is>
      </c>
      <c r="B199" s="16" t="n"/>
      <c r="C199" s="15" t="inlineStr">
        <is>
          <t xml:space="preserve">10 </t>
        </is>
      </c>
      <c r="D199" s="15" t="inlineStr">
        <is>
          <t xml:space="preserve"> 10 </t>
        </is>
      </c>
      <c r="E199" s="15" t="inlineStr">
        <is>
          <t xml:space="preserve"> 8 </t>
        </is>
      </c>
      <c r="F199" s="15" t="inlineStr">
        <is>
          <t xml:space="preserve"> 'Y' </t>
        </is>
      </c>
      <c r="H199" s="17" t="inlineStr">
        <is>
          <t>10</t>
        </is>
      </c>
      <c r="I199" s="17" t="inlineStr">
        <is>
          <t>10</t>
        </is>
      </c>
      <c r="J199" s="17" t="inlineStr">
        <is>
          <t>8</t>
        </is>
      </c>
      <c r="K199" s="17" t="inlineStr">
        <is>
          <t>Y</t>
        </is>
      </c>
      <c r="M199" s="15" t="inlineStr">
        <is>
          <t>INSERT INTO</t>
        </is>
      </c>
      <c r="N199" s="15" t="inlineStr">
        <is>
          <t>MNG_DEAL_LIST_DSP_TBL</t>
        </is>
      </c>
      <c r="O199" s="15" t="inlineStr">
        <is>
          <t>VALUES(</t>
        </is>
      </c>
      <c r="P199" s="15" t="inlineStr">
        <is>
          <t xml:space="preserve">10 , 10 , 8 , 'Y' </t>
        </is>
      </c>
      <c r="Q199" s="15" t="inlineStr">
        <is>
          <t>);</t>
        </is>
      </c>
      <c r="S199" s="18">
        <f>EXACT(TRIM(C199),H199&amp;"")</f>
        <v/>
      </c>
      <c r="T199" s="18">
        <f>EXACT(TRIM(D199),I199&amp;"")</f>
        <v/>
      </c>
      <c r="U199" s="18">
        <f>EXACT(TRIM(E199),J199&amp;"")</f>
        <v/>
      </c>
      <c r="V199" s="18">
        <f>EXACT(TRIM(F199),"'"&amp;K199&amp;"'")</f>
        <v/>
      </c>
      <c r="W199" s="18">
        <f>AND(S199:V199)</f>
        <v/>
      </c>
      <c r="X199" s="19">
        <f>TRIM(IF(S199,"",$S$3&amp;" ")&amp;IF(T199,"",$T$3&amp;" ")&amp;IF(U199,"",$U$3&amp;" ")&amp;IF(V199,"",$V$3&amp;" "))</f>
        <v/>
      </c>
      <c r="Y199" s="18">
        <f>EXACT(SUBSTITUTE(A199," ",""),SUBSTITUTE(M199&amp;N199&amp;O199&amp;P199&amp;Q199," ",""))</f>
        <v/>
      </c>
    </row>
    <row r="200">
      <c r="A200" s="15" t="inlineStr">
        <is>
          <t>INSERT INTO MNG_DEAL_LIST_DSP_TBL VALUES(10 , 10 , 9 , 'Y' );</t>
        </is>
      </c>
      <c r="B200" s="16" t="n"/>
      <c r="C200" s="15" t="inlineStr">
        <is>
          <t xml:space="preserve">10 </t>
        </is>
      </c>
      <c r="D200" s="15" t="inlineStr">
        <is>
          <t xml:space="preserve"> 10 </t>
        </is>
      </c>
      <c r="E200" s="15" t="inlineStr">
        <is>
          <t xml:space="preserve"> 9 </t>
        </is>
      </c>
      <c r="F200" s="15" t="inlineStr">
        <is>
          <t xml:space="preserve"> 'Y' </t>
        </is>
      </c>
      <c r="H200" s="17" t="inlineStr">
        <is>
          <t>10</t>
        </is>
      </c>
      <c r="I200" s="17" t="inlineStr">
        <is>
          <t>10</t>
        </is>
      </c>
      <c r="J200" s="17" t="inlineStr">
        <is>
          <t>9</t>
        </is>
      </c>
      <c r="K200" s="17" t="inlineStr">
        <is>
          <t>Y</t>
        </is>
      </c>
      <c r="M200" s="15" t="inlineStr">
        <is>
          <t>INSERT INTO</t>
        </is>
      </c>
      <c r="N200" s="15" t="inlineStr">
        <is>
          <t>MNG_DEAL_LIST_DSP_TBL</t>
        </is>
      </c>
      <c r="O200" s="15" t="inlineStr">
        <is>
          <t>VALUES(</t>
        </is>
      </c>
      <c r="P200" s="15" t="inlineStr">
        <is>
          <t xml:space="preserve">10 , 10 , 9 , 'Y' </t>
        </is>
      </c>
      <c r="Q200" s="15" t="inlineStr">
        <is>
          <t>);</t>
        </is>
      </c>
      <c r="S200" s="18">
        <f>EXACT(TRIM(C200),H200&amp;"")</f>
        <v/>
      </c>
      <c r="T200" s="18">
        <f>EXACT(TRIM(D200),I200&amp;"")</f>
        <v/>
      </c>
      <c r="U200" s="18">
        <f>EXACT(TRIM(E200),J200&amp;"")</f>
        <v/>
      </c>
      <c r="V200" s="18">
        <f>EXACT(TRIM(F200),"'"&amp;K200&amp;"'")</f>
        <v/>
      </c>
      <c r="W200" s="18">
        <f>AND(S200:V200)</f>
        <v/>
      </c>
      <c r="X200" s="19">
        <f>TRIM(IF(S200,"",$S$3&amp;" ")&amp;IF(T200,"",$T$3&amp;" ")&amp;IF(U200,"",$U$3&amp;" ")&amp;IF(V200,"",$V$3&amp;" "))</f>
        <v/>
      </c>
      <c r="Y200" s="18">
        <f>EXACT(SUBSTITUTE(A200," ",""),SUBSTITUTE(M200&amp;N200&amp;O200&amp;P200&amp;Q200," ",""))</f>
        <v/>
      </c>
    </row>
    <row r="201">
      <c r="A201" s="15" t="inlineStr">
        <is>
          <t>INSERT INTO MNG_DEAL_LIST_DSP_TBL VALUES(10 , 10 , 10 , 'N' );</t>
        </is>
      </c>
      <c r="B201" s="16" t="n"/>
      <c r="C201" s="15" t="inlineStr">
        <is>
          <t xml:space="preserve">10 </t>
        </is>
      </c>
      <c r="D201" s="15" t="inlineStr">
        <is>
          <t xml:space="preserve"> 10 </t>
        </is>
      </c>
      <c r="E201" s="15" t="inlineStr">
        <is>
          <t xml:space="preserve"> 10 </t>
        </is>
      </c>
      <c r="F201" s="15" t="inlineStr">
        <is>
          <t xml:space="preserve"> 'N' </t>
        </is>
      </c>
      <c r="H201" s="17" t="inlineStr">
        <is>
          <t>10</t>
        </is>
      </c>
      <c r="I201" s="17" t="inlineStr">
        <is>
          <t>10</t>
        </is>
      </c>
      <c r="J201" s="17" t="inlineStr">
        <is>
          <t>10</t>
        </is>
      </c>
      <c r="K201" s="17" t="inlineStr">
        <is>
          <t>N</t>
        </is>
      </c>
      <c r="M201" s="15" t="inlineStr">
        <is>
          <t>INSERT INTO</t>
        </is>
      </c>
      <c r="N201" s="15" t="inlineStr">
        <is>
          <t>MNG_DEAL_LIST_DSP_TBL</t>
        </is>
      </c>
      <c r="O201" s="15" t="inlineStr">
        <is>
          <t>VALUES(</t>
        </is>
      </c>
      <c r="P201" s="15" t="inlineStr">
        <is>
          <t xml:space="preserve">10 , 10 , 10 , 'N' </t>
        </is>
      </c>
      <c r="Q201" s="15" t="inlineStr">
        <is>
          <t>);</t>
        </is>
      </c>
      <c r="S201" s="18">
        <f>EXACT(TRIM(C201),H201&amp;"")</f>
        <v/>
      </c>
      <c r="T201" s="18">
        <f>EXACT(TRIM(D201),I201&amp;"")</f>
        <v/>
      </c>
      <c r="U201" s="18">
        <f>EXACT(TRIM(E201),J201&amp;"")</f>
        <v/>
      </c>
      <c r="V201" s="18">
        <f>EXACT(TRIM(F201),"'"&amp;K201&amp;"'")</f>
        <v/>
      </c>
      <c r="W201" s="18">
        <f>AND(S201:V201)</f>
        <v/>
      </c>
      <c r="X201" s="19">
        <f>TRIM(IF(S201,"",$S$3&amp;" ")&amp;IF(T201,"",$T$3&amp;" ")&amp;IF(U201,"",$U$3&amp;" ")&amp;IF(V201,"",$V$3&amp;" "))</f>
        <v/>
      </c>
      <c r="Y201" s="18">
        <f>EXACT(SUBSTITUTE(A201," ",""),SUBSTITUTE(M201&amp;N201&amp;O201&amp;P201&amp;Q201," ",""))</f>
        <v/>
      </c>
    </row>
    <row r="202">
      <c r="A202" s="15" t="inlineStr">
        <is>
          <t>INSERT INTO MNG_DEAL_LIST_DSP_TBL VALUES(10 , 10 , 11 , 'Y' );</t>
        </is>
      </c>
      <c r="B202" s="16" t="n"/>
      <c r="C202" s="15" t="inlineStr">
        <is>
          <t xml:space="preserve">10 </t>
        </is>
      </c>
      <c r="D202" s="15" t="inlineStr">
        <is>
          <t xml:space="preserve"> 10 </t>
        </is>
      </c>
      <c r="E202" s="15" t="inlineStr">
        <is>
          <t xml:space="preserve"> 11 </t>
        </is>
      </c>
      <c r="F202" s="15" t="inlineStr">
        <is>
          <t xml:space="preserve"> 'Y' </t>
        </is>
      </c>
      <c r="H202" s="17" t="inlineStr">
        <is>
          <t>10</t>
        </is>
      </c>
      <c r="I202" s="17" t="inlineStr">
        <is>
          <t>10</t>
        </is>
      </c>
      <c r="J202" s="17" t="inlineStr">
        <is>
          <t>11</t>
        </is>
      </c>
      <c r="K202" s="17" t="inlineStr">
        <is>
          <t>Y</t>
        </is>
      </c>
      <c r="M202" s="15" t="inlineStr">
        <is>
          <t>INSERT INTO</t>
        </is>
      </c>
      <c r="N202" s="15" t="inlineStr">
        <is>
          <t>MNG_DEAL_LIST_DSP_TBL</t>
        </is>
      </c>
      <c r="O202" s="15" t="inlineStr">
        <is>
          <t>VALUES(</t>
        </is>
      </c>
      <c r="P202" s="15" t="inlineStr">
        <is>
          <t xml:space="preserve">10 , 10 , 11 , 'Y' </t>
        </is>
      </c>
      <c r="Q202" s="15" t="inlineStr">
        <is>
          <t>);</t>
        </is>
      </c>
      <c r="S202" s="18">
        <f>EXACT(TRIM(C202),H202&amp;"")</f>
        <v/>
      </c>
      <c r="T202" s="18">
        <f>EXACT(TRIM(D202),I202&amp;"")</f>
        <v/>
      </c>
      <c r="U202" s="18">
        <f>EXACT(TRIM(E202),J202&amp;"")</f>
        <v/>
      </c>
      <c r="V202" s="18">
        <f>EXACT(TRIM(F202),"'"&amp;K202&amp;"'")</f>
        <v/>
      </c>
      <c r="W202" s="18">
        <f>AND(S202:V202)</f>
        <v/>
      </c>
      <c r="X202" s="19">
        <f>TRIM(IF(S202,"",$S$3&amp;" ")&amp;IF(T202,"",$T$3&amp;" ")&amp;IF(U202,"",$U$3&amp;" ")&amp;IF(V202,"",$V$3&amp;" "))</f>
        <v/>
      </c>
      <c r="Y202" s="18">
        <f>EXACT(SUBSTITUTE(A202," ",""),SUBSTITUTE(M202&amp;N202&amp;O202&amp;P202&amp;Q202," ",""))</f>
        <v/>
      </c>
    </row>
    <row r="203">
      <c r="A203" s="15" t="inlineStr">
        <is>
          <t>INSERT INTO MNG_DEAL_LIST_DSP_TBL VALUES(10 , 10 , 12 , 'Y' );</t>
        </is>
      </c>
      <c r="B203" s="16" t="n"/>
      <c r="C203" s="15" t="inlineStr">
        <is>
          <t xml:space="preserve">10 </t>
        </is>
      </c>
      <c r="D203" s="15" t="inlineStr">
        <is>
          <t xml:space="preserve"> 10 </t>
        </is>
      </c>
      <c r="E203" s="15" t="inlineStr">
        <is>
          <t xml:space="preserve"> 12 </t>
        </is>
      </c>
      <c r="F203" s="15" t="inlineStr">
        <is>
          <t xml:space="preserve"> 'Y' </t>
        </is>
      </c>
      <c r="H203" s="17" t="inlineStr">
        <is>
          <t>10</t>
        </is>
      </c>
      <c r="I203" s="17" t="inlineStr">
        <is>
          <t>10</t>
        </is>
      </c>
      <c r="J203" s="17" t="inlineStr">
        <is>
          <t>12</t>
        </is>
      </c>
      <c r="K203" s="17" t="inlineStr">
        <is>
          <t>Y</t>
        </is>
      </c>
      <c r="M203" s="15" t="inlineStr">
        <is>
          <t>INSERT INTO</t>
        </is>
      </c>
      <c r="N203" s="15" t="inlineStr">
        <is>
          <t>MNG_DEAL_LIST_DSP_TBL</t>
        </is>
      </c>
      <c r="O203" s="15" t="inlineStr">
        <is>
          <t>VALUES(</t>
        </is>
      </c>
      <c r="P203" s="15" t="inlineStr">
        <is>
          <t xml:space="preserve">10 , 10 , 12 , 'Y' </t>
        </is>
      </c>
      <c r="Q203" s="15" t="inlineStr">
        <is>
          <t>);</t>
        </is>
      </c>
      <c r="S203" s="18">
        <f>EXACT(TRIM(C203),H203&amp;"")</f>
        <v/>
      </c>
      <c r="T203" s="18">
        <f>EXACT(TRIM(D203),I203&amp;"")</f>
        <v/>
      </c>
      <c r="U203" s="18">
        <f>EXACT(TRIM(E203),J203&amp;"")</f>
        <v/>
      </c>
      <c r="V203" s="18">
        <f>EXACT(TRIM(F203),"'"&amp;K203&amp;"'")</f>
        <v/>
      </c>
      <c r="W203" s="18">
        <f>AND(S203:V203)</f>
        <v/>
      </c>
      <c r="X203" s="19">
        <f>TRIM(IF(S203,"",$S$3&amp;" ")&amp;IF(T203,"",$T$3&amp;" ")&amp;IF(U203,"",$U$3&amp;" ")&amp;IF(V203,"",$V$3&amp;" "))</f>
        <v/>
      </c>
      <c r="Y203" s="18">
        <f>EXACT(SUBSTITUTE(A203," ",""),SUBSTITUTE(M203&amp;N203&amp;O203&amp;P203&amp;Q203," ",""))</f>
        <v/>
      </c>
    </row>
    <row r="204">
      <c r="A204" s="15" t="inlineStr">
        <is>
          <t>INSERT INTO MNG_DEAL_LIST_DSP_TBL VALUES(10 , 10 , 13 , 'Y' );</t>
        </is>
      </c>
      <c r="B204" s="16" t="n"/>
      <c r="C204" s="15" t="inlineStr">
        <is>
          <t xml:space="preserve">10 </t>
        </is>
      </c>
      <c r="D204" s="15" t="inlineStr">
        <is>
          <t xml:space="preserve"> 10 </t>
        </is>
      </c>
      <c r="E204" s="15" t="inlineStr">
        <is>
          <t xml:space="preserve"> 13 </t>
        </is>
      </c>
      <c r="F204" s="15" t="inlineStr">
        <is>
          <t xml:space="preserve"> 'Y' </t>
        </is>
      </c>
      <c r="H204" s="17" t="inlineStr">
        <is>
          <t>10</t>
        </is>
      </c>
      <c r="I204" s="17" t="inlineStr">
        <is>
          <t>10</t>
        </is>
      </c>
      <c r="J204" s="17" t="inlineStr">
        <is>
          <t>13</t>
        </is>
      </c>
      <c r="K204" s="17" t="inlineStr">
        <is>
          <t>Y</t>
        </is>
      </c>
      <c r="M204" s="15" t="inlineStr">
        <is>
          <t>INSERT INTO</t>
        </is>
      </c>
      <c r="N204" s="15" t="inlineStr">
        <is>
          <t>MNG_DEAL_LIST_DSP_TBL</t>
        </is>
      </c>
      <c r="O204" s="15" t="inlineStr">
        <is>
          <t>VALUES(</t>
        </is>
      </c>
      <c r="P204" s="15" t="inlineStr">
        <is>
          <t xml:space="preserve">10 , 10 , 13 , 'Y' </t>
        </is>
      </c>
      <c r="Q204" s="15" t="inlineStr">
        <is>
          <t>);</t>
        </is>
      </c>
      <c r="S204" s="18">
        <f>EXACT(TRIM(C204),H204&amp;"")</f>
        <v/>
      </c>
      <c r="T204" s="18">
        <f>EXACT(TRIM(D204),I204&amp;"")</f>
        <v/>
      </c>
      <c r="U204" s="18">
        <f>EXACT(TRIM(E204),J204&amp;"")</f>
        <v/>
      </c>
      <c r="V204" s="18">
        <f>EXACT(TRIM(F204),"'"&amp;K204&amp;"'")</f>
        <v/>
      </c>
      <c r="W204" s="18">
        <f>AND(S204:V204)</f>
        <v/>
      </c>
      <c r="X204" s="19">
        <f>TRIM(IF(S204,"",$S$3&amp;" ")&amp;IF(T204,"",$T$3&amp;" ")&amp;IF(U204,"",$U$3&amp;" ")&amp;IF(V204,"",$V$3&amp;" "))</f>
        <v/>
      </c>
      <c r="Y204" s="18">
        <f>EXACT(SUBSTITUTE(A204," ",""),SUBSTITUTE(M204&amp;N204&amp;O204&amp;P204&amp;Q204," ",""))</f>
        <v/>
      </c>
    </row>
    <row r="205">
      <c r="A205" s="15" t="inlineStr">
        <is>
          <t>INSERT INTO MNG_DEAL_LIST_DSP_TBL VALUES(10 , 10 , 14 , 'Y' );</t>
        </is>
      </c>
      <c r="B205" s="16" t="n"/>
      <c r="C205" s="15" t="inlineStr">
        <is>
          <t xml:space="preserve">10 </t>
        </is>
      </c>
      <c r="D205" s="15" t="inlineStr">
        <is>
          <t xml:space="preserve"> 10 </t>
        </is>
      </c>
      <c r="E205" s="15" t="inlineStr">
        <is>
          <t xml:space="preserve"> 14 </t>
        </is>
      </c>
      <c r="F205" s="15" t="inlineStr">
        <is>
          <t xml:space="preserve"> 'Y' </t>
        </is>
      </c>
      <c r="H205" s="17" t="inlineStr">
        <is>
          <t>10</t>
        </is>
      </c>
      <c r="I205" s="17" t="inlineStr">
        <is>
          <t>10</t>
        </is>
      </c>
      <c r="J205" s="17" t="inlineStr">
        <is>
          <t>14</t>
        </is>
      </c>
      <c r="K205" s="17" t="inlineStr">
        <is>
          <t>Y</t>
        </is>
      </c>
      <c r="M205" s="15" t="inlineStr">
        <is>
          <t>INSERT INTO</t>
        </is>
      </c>
      <c r="N205" s="15" t="inlineStr">
        <is>
          <t>MNG_DEAL_LIST_DSP_TBL</t>
        </is>
      </c>
      <c r="O205" s="15" t="inlineStr">
        <is>
          <t>VALUES(</t>
        </is>
      </c>
      <c r="P205" s="15" t="inlineStr">
        <is>
          <t xml:space="preserve">10 , 10 , 14 , 'Y' </t>
        </is>
      </c>
      <c r="Q205" s="15" t="inlineStr">
        <is>
          <t>);</t>
        </is>
      </c>
      <c r="S205" s="18">
        <f>EXACT(TRIM(C205),H205&amp;"")</f>
        <v/>
      </c>
      <c r="T205" s="18">
        <f>EXACT(TRIM(D205),I205&amp;"")</f>
        <v/>
      </c>
      <c r="U205" s="18">
        <f>EXACT(TRIM(E205),J205&amp;"")</f>
        <v/>
      </c>
      <c r="V205" s="18">
        <f>EXACT(TRIM(F205),"'"&amp;K205&amp;"'")</f>
        <v/>
      </c>
      <c r="W205" s="18">
        <f>AND(S205:V205)</f>
        <v/>
      </c>
      <c r="X205" s="19">
        <f>TRIM(IF(S205,"",$S$3&amp;" ")&amp;IF(T205,"",$T$3&amp;" ")&amp;IF(U205,"",$U$3&amp;" ")&amp;IF(V205,"",$V$3&amp;" "))</f>
        <v/>
      </c>
      <c r="Y205" s="18">
        <f>EXACT(SUBSTITUTE(A205," ",""),SUBSTITUTE(M205&amp;N205&amp;O205&amp;P205&amp;Q205," ",""))</f>
        <v/>
      </c>
    </row>
    <row r="206">
      <c r="A206" s="15" t="inlineStr">
        <is>
          <t>INSERT INTO MNG_DEAL_LIST_DSP_TBL VALUES(10 , 10 , 15 , 'Y' );</t>
        </is>
      </c>
      <c r="B206" s="16" t="n"/>
      <c r="C206" s="15" t="inlineStr">
        <is>
          <t xml:space="preserve">10 </t>
        </is>
      </c>
      <c r="D206" s="15" t="inlineStr">
        <is>
          <t xml:space="preserve"> 10 </t>
        </is>
      </c>
      <c r="E206" s="15" t="inlineStr">
        <is>
          <t xml:space="preserve"> 15 </t>
        </is>
      </c>
      <c r="F206" s="15" t="inlineStr">
        <is>
          <t xml:space="preserve"> 'Y' </t>
        </is>
      </c>
      <c r="H206" s="17" t="inlineStr">
        <is>
          <t>10</t>
        </is>
      </c>
      <c r="I206" s="17" t="inlineStr">
        <is>
          <t>10</t>
        </is>
      </c>
      <c r="J206" s="17" t="inlineStr">
        <is>
          <t>15</t>
        </is>
      </c>
      <c r="K206" s="17" t="inlineStr">
        <is>
          <t>Y</t>
        </is>
      </c>
      <c r="M206" s="15" t="inlineStr">
        <is>
          <t>INSERT INTO</t>
        </is>
      </c>
      <c r="N206" s="15" t="inlineStr">
        <is>
          <t>MNG_DEAL_LIST_DSP_TBL</t>
        </is>
      </c>
      <c r="O206" s="15" t="inlineStr">
        <is>
          <t>VALUES(</t>
        </is>
      </c>
      <c r="P206" s="15" t="inlineStr">
        <is>
          <t xml:space="preserve">10 , 10 , 15 , 'Y' </t>
        </is>
      </c>
      <c r="Q206" s="15" t="inlineStr">
        <is>
          <t>);</t>
        </is>
      </c>
      <c r="S206" s="18">
        <f>EXACT(TRIM(C206),H206&amp;"")</f>
        <v/>
      </c>
      <c r="T206" s="18">
        <f>EXACT(TRIM(D206),I206&amp;"")</f>
        <v/>
      </c>
      <c r="U206" s="18">
        <f>EXACT(TRIM(E206),J206&amp;"")</f>
        <v/>
      </c>
      <c r="V206" s="18">
        <f>EXACT(TRIM(F206),"'"&amp;K206&amp;"'")</f>
        <v/>
      </c>
      <c r="W206" s="18">
        <f>AND(S206:V206)</f>
        <v/>
      </c>
      <c r="X206" s="19">
        <f>TRIM(IF(S206,"",$S$3&amp;" ")&amp;IF(T206,"",$T$3&amp;" ")&amp;IF(U206,"",$U$3&amp;" ")&amp;IF(V206,"",$V$3&amp;" "))</f>
        <v/>
      </c>
      <c r="Y206" s="18">
        <f>EXACT(SUBSTITUTE(A206," ",""),SUBSTITUTE(M206&amp;N206&amp;O206&amp;P206&amp;Q206," ",""))</f>
        <v/>
      </c>
    </row>
    <row r="207">
      <c r="A207" s="15" t="inlineStr">
        <is>
          <t>INSERT INTO MNG_DEAL_LIST_DSP_TBL VALUES(10 , 10 , 16 , 'Y' );</t>
        </is>
      </c>
      <c r="B207" s="16" t="n"/>
      <c r="C207" s="15" t="inlineStr">
        <is>
          <t xml:space="preserve">10 </t>
        </is>
      </c>
      <c r="D207" s="15" t="inlineStr">
        <is>
          <t xml:space="preserve"> 10 </t>
        </is>
      </c>
      <c r="E207" s="15" t="inlineStr">
        <is>
          <t xml:space="preserve"> 16 </t>
        </is>
      </c>
      <c r="F207" s="15" t="inlineStr">
        <is>
          <t xml:space="preserve"> 'Y' </t>
        </is>
      </c>
      <c r="H207" s="17" t="inlineStr">
        <is>
          <t>10</t>
        </is>
      </c>
      <c r="I207" s="17" t="inlineStr">
        <is>
          <t>10</t>
        </is>
      </c>
      <c r="J207" s="17" t="inlineStr">
        <is>
          <t>16</t>
        </is>
      </c>
      <c r="K207" s="17" t="inlineStr">
        <is>
          <t>Y</t>
        </is>
      </c>
      <c r="M207" s="15" t="inlineStr">
        <is>
          <t>INSERT INTO</t>
        </is>
      </c>
      <c r="N207" s="15" t="inlineStr">
        <is>
          <t>MNG_DEAL_LIST_DSP_TBL</t>
        </is>
      </c>
      <c r="O207" s="15" t="inlineStr">
        <is>
          <t>VALUES(</t>
        </is>
      </c>
      <c r="P207" s="15" t="inlineStr">
        <is>
          <t xml:space="preserve">10 , 10 , 16 , 'Y' </t>
        </is>
      </c>
      <c r="Q207" s="15" t="inlineStr">
        <is>
          <t>);</t>
        </is>
      </c>
      <c r="S207" s="18">
        <f>EXACT(TRIM(C207),H207&amp;"")</f>
        <v/>
      </c>
      <c r="T207" s="18">
        <f>EXACT(TRIM(D207),I207&amp;"")</f>
        <v/>
      </c>
      <c r="U207" s="18">
        <f>EXACT(TRIM(E207),J207&amp;"")</f>
        <v/>
      </c>
      <c r="V207" s="18">
        <f>EXACT(TRIM(F207),"'"&amp;K207&amp;"'")</f>
        <v/>
      </c>
      <c r="W207" s="18">
        <f>AND(S207:V207)</f>
        <v/>
      </c>
      <c r="X207" s="19">
        <f>TRIM(IF(S207,"",$S$3&amp;" ")&amp;IF(T207,"",$T$3&amp;" ")&amp;IF(U207,"",$U$3&amp;" ")&amp;IF(V207,"",$V$3&amp;" "))</f>
        <v/>
      </c>
      <c r="Y207" s="18">
        <f>EXACT(SUBSTITUTE(A207," ",""),SUBSTITUTE(M207&amp;N207&amp;O207&amp;P207&amp;Q207," ",""))</f>
        <v/>
      </c>
    </row>
    <row r="208">
      <c r="A208" s="15" t="inlineStr">
        <is>
          <t>INSERT INTO MNG_DEAL_LIST_DSP_TBL VALUES(10 , 11 , 1 , 'Y' );</t>
        </is>
      </c>
      <c r="B208" s="16" t="n"/>
      <c r="C208" s="15" t="inlineStr">
        <is>
          <t xml:space="preserve">10 </t>
        </is>
      </c>
      <c r="D208" s="15" t="inlineStr">
        <is>
          <t xml:space="preserve"> 11 </t>
        </is>
      </c>
      <c r="E208" s="15" t="inlineStr">
        <is>
          <t xml:space="preserve"> 1 </t>
        </is>
      </c>
      <c r="F208" s="15" t="inlineStr">
        <is>
          <t xml:space="preserve"> 'Y' </t>
        </is>
      </c>
      <c r="H208" s="17" t="inlineStr">
        <is>
          <t>10</t>
        </is>
      </c>
      <c r="I208" s="17" t="inlineStr">
        <is>
          <t>11</t>
        </is>
      </c>
      <c r="J208" s="17" t="inlineStr">
        <is>
          <t>1</t>
        </is>
      </c>
      <c r="K208" s="17" t="inlineStr">
        <is>
          <t>Y</t>
        </is>
      </c>
      <c r="M208" s="15" t="inlineStr">
        <is>
          <t>INSERT INTO</t>
        </is>
      </c>
      <c r="N208" s="15" t="inlineStr">
        <is>
          <t>MNG_DEAL_LIST_DSP_TBL</t>
        </is>
      </c>
      <c r="O208" s="15" t="inlineStr">
        <is>
          <t>VALUES(</t>
        </is>
      </c>
      <c r="P208" s="15" t="inlineStr">
        <is>
          <t xml:space="preserve">10 , 11 , 1 , 'Y' </t>
        </is>
      </c>
      <c r="Q208" s="15" t="inlineStr">
        <is>
          <t>);</t>
        </is>
      </c>
      <c r="S208" s="18">
        <f>EXACT(TRIM(C208),H208&amp;"")</f>
        <v/>
      </c>
      <c r="T208" s="18">
        <f>EXACT(TRIM(D208),I208&amp;"")</f>
        <v/>
      </c>
      <c r="U208" s="18">
        <f>EXACT(TRIM(E208),J208&amp;"")</f>
        <v/>
      </c>
      <c r="V208" s="18">
        <f>EXACT(TRIM(F208),"'"&amp;K208&amp;"'")</f>
        <v/>
      </c>
      <c r="W208" s="18">
        <f>AND(S208:V208)</f>
        <v/>
      </c>
      <c r="X208" s="19">
        <f>TRIM(IF(S208,"",$S$3&amp;" ")&amp;IF(T208,"",$T$3&amp;" ")&amp;IF(U208,"",$U$3&amp;" ")&amp;IF(V208,"",$V$3&amp;" "))</f>
        <v/>
      </c>
      <c r="Y208" s="18">
        <f>EXACT(SUBSTITUTE(A208," ",""),SUBSTITUTE(M208&amp;N208&amp;O208&amp;P208&amp;Q208," ",""))</f>
        <v/>
      </c>
    </row>
    <row r="209">
      <c r="A209" s="15" t="inlineStr">
        <is>
          <t>INSERT INTO MNG_DEAL_LIST_DSP_TBL VALUES(10 , 11 , 2 , 'N' );</t>
        </is>
      </c>
      <c r="B209" s="16" t="n"/>
      <c r="C209" s="15" t="inlineStr">
        <is>
          <t xml:space="preserve">10 </t>
        </is>
      </c>
      <c r="D209" s="15" t="inlineStr">
        <is>
          <t xml:space="preserve"> 11 </t>
        </is>
      </c>
      <c r="E209" s="15" t="inlineStr">
        <is>
          <t xml:space="preserve"> 2 </t>
        </is>
      </c>
      <c r="F209" s="15" t="inlineStr">
        <is>
          <t xml:space="preserve"> 'N' </t>
        </is>
      </c>
      <c r="H209" s="17" t="inlineStr">
        <is>
          <t>10</t>
        </is>
      </c>
      <c r="I209" s="17" t="inlineStr">
        <is>
          <t>11</t>
        </is>
      </c>
      <c r="J209" s="17" t="inlineStr">
        <is>
          <t>2</t>
        </is>
      </c>
      <c r="K209" s="17" t="inlineStr">
        <is>
          <t>N</t>
        </is>
      </c>
      <c r="M209" s="15" t="inlineStr">
        <is>
          <t>INSERT INTO</t>
        </is>
      </c>
      <c r="N209" s="15" t="inlineStr">
        <is>
          <t>MNG_DEAL_LIST_DSP_TBL</t>
        </is>
      </c>
      <c r="O209" s="15" t="inlineStr">
        <is>
          <t>VALUES(</t>
        </is>
      </c>
      <c r="P209" s="15" t="inlineStr">
        <is>
          <t xml:space="preserve">10 , 11 , 2 , 'N' </t>
        </is>
      </c>
      <c r="Q209" s="15" t="inlineStr">
        <is>
          <t>);</t>
        </is>
      </c>
      <c r="S209" s="18">
        <f>EXACT(TRIM(C209),H209&amp;"")</f>
        <v/>
      </c>
      <c r="T209" s="18">
        <f>EXACT(TRIM(D209),I209&amp;"")</f>
        <v/>
      </c>
      <c r="U209" s="18">
        <f>EXACT(TRIM(E209),J209&amp;"")</f>
        <v/>
      </c>
      <c r="V209" s="18">
        <f>EXACT(TRIM(F209),"'"&amp;K209&amp;"'")</f>
        <v/>
      </c>
      <c r="W209" s="18">
        <f>AND(S209:V209)</f>
        <v/>
      </c>
      <c r="X209" s="19">
        <f>TRIM(IF(S209,"",$S$3&amp;" ")&amp;IF(T209,"",$T$3&amp;" ")&amp;IF(U209,"",$U$3&amp;" ")&amp;IF(V209,"",$V$3&amp;" "))</f>
        <v/>
      </c>
      <c r="Y209" s="18">
        <f>EXACT(SUBSTITUTE(A209," ",""),SUBSTITUTE(M209&amp;N209&amp;O209&amp;P209&amp;Q209," ",""))</f>
        <v/>
      </c>
    </row>
    <row r="210">
      <c r="A210" s="15" t="inlineStr">
        <is>
          <t>INSERT INTO MNG_DEAL_LIST_DSP_TBL VALUES(10 , 11 , 3 , 'N' );</t>
        </is>
      </c>
      <c r="B210" s="16" t="n"/>
      <c r="C210" s="15" t="inlineStr">
        <is>
          <t xml:space="preserve">10 </t>
        </is>
      </c>
      <c r="D210" s="15" t="inlineStr">
        <is>
          <t xml:space="preserve"> 11 </t>
        </is>
      </c>
      <c r="E210" s="15" t="inlineStr">
        <is>
          <t xml:space="preserve"> 3 </t>
        </is>
      </c>
      <c r="F210" s="15" t="inlineStr">
        <is>
          <t xml:space="preserve"> 'N' </t>
        </is>
      </c>
      <c r="H210" s="17" t="inlineStr">
        <is>
          <t>10</t>
        </is>
      </c>
      <c r="I210" s="17" t="inlineStr">
        <is>
          <t>11</t>
        </is>
      </c>
      <c r="J210" s="17" t="inlineStr">
        <is>
          <t>3</t>
        </is>
      </c>
      <c r="K210" s="17" t="inlineStr">
        <is>
          <t>N</t>
        </is>
      </c>
      <c r="M210" s="15" t="inlineStr">
        <is>
          <t>INSERT INTO</t>
        </is>
      </c>
      <c r="N210" s="15" t="inlineStr">
        <is>
          <t>MNG_DEAL_LIST_DSP_TBL</t>
        </is>
      </c>
      <c r="O210" s="15" t="inlineStr">
        <is>
          <t>VALUES(</t>
        </is>
      </c>
      <c r="P210" s="15" t="inlineStr">
        <is>
          <t xml:space="preserve">10 , 11 , 3 , 'N' </t>
        </is>
      </c>
      <c r="Q210" s="15" t="inlineStr">
        <is>
          <t>);</t>
        </is>
      </c>
      <c r="S210" s="18">
        <f>EXACT(TRIM(C210),H210&amp;"")</f>
        <v/>
      </c>
      <c r="T210" s="18">
        <f>EXACT(TRIM(D210),I210&amp;"")</f>
        <v/>
      </c>
      <c r="U210" s="18">
        <f>EXACT(TRIM(E210),J210&amp;"")</f>
        <v/>
      </c>
      <c r="V210" s="18">
        <f>EXACT(TRIM(F210),"'"&amp;K210&amp;"'")</f>
        <v/>
      </c>
      <c r="W210" s="18">
        <f>AND(S210:V210)</f>
        <v/>
      </c>
      <c r="X210" s="19">
        <f>TRIM(IF(S210,"",$S$3&amp;" ")&amp;IF(T210,"",$T$3&amp;" ")&amp;IF(U210,"",$U$3&amp;" ")&amp;IF(V210,"",$V$3&amp;" "))</f>
        <v/>
      </c>
      <c r="Y210" s="18">
        <f>EXACT(SUBSTITUTE(A210," ",""),SUBSTITUTE(M210&amp;N210&amp;O210&amp;P210&amp;Q210," ",""))</f>
        <v/>
      </c>
    </row>
    <row r="211">
      <c r="A211" s="15" t="inlineStr">
        <is>
          <t>INSERT INTO MNG_DEAL_LIST_DSP_TBL VALUES(10 , 11 , 4 , 'Y' );</t>
        </is>
      </c>
      <c r="B211" s="16" t="n"/>
      <c r="C211" s="15" t="inlineStr">
        <is>
          <t xml:space="preserve">10 </t>
        </is>
      </c>
      <c r="D211" s="15" t="inlineStr">
        <is>
          <t xml:space="preserve"> 11 </t>
        </is>
      </c>
      <c r="E211" s="15" t="inlineStr">
        <is>
          <t xml:space="preserve"> 4 </t>
        </is>
      </c>
      <c r="F211" s="15" t="inlineStr">
        <is>
          <t xml:space="preserve"> 'Y' </t>
        </is>
      </c>
      <c r="H211" s="17" t="inlineStr">
        <is>
          <t>10</t>
        </is>
      </c>
      <c r="I211" s="17" t="inlineStr">
        <is>
          <t>11</t>
        </is>
      </c>
      <c r="J211" s="17" t="inlineStr">
        <is>
          <t>4</t>
        </is>
      </c>
      <c r="K211" s="17" t="inlineStr">
        <is>
          <t>Y</t>
        </is>
      </c>
      <c r="M211" s="15" t="inlineStr">
        <is>
          <t>INSERT INTO</t>
        </is>
      </c>
      <c r="N211" s="15" t="inlineStr">
        <is>
          <t>MNG_DEAL_LIST_DSP_TBL</t>
        </is>
      </c>
      <c r="O211" s="15" t="inlineStr">
        <is>
          <t>VALUES(</t>
        </is>
      </c>
      <c r="P211" s="15" t="inlineStr">
        <is>
          <t xml:space="preserve">10 , 11 , 4 , 'Y' </t>
        </is>
      </c>
      <c r="Q211" s="15" t="inlineStr">
        <is>
          <t>);</t>
        </is>
      </c>
      <c r="S211" s="18">
        <f>EXACT(TRIM(C211),H211&amp;"")</f>
        <v/>
      </c>
      <c r="T211" s="18">
        <f>EXACT(TRIM(D211),I211&amp;"")</f>
        <v/>
      </c>
      <c r="U211" s="18">
        <f>EXACT(TRIM(E211),J211&amp;"")</f>
        <v/>
      </c>
      <c r="V211" s="18">
        <f>EXACT(TRIM(F211),"'"&amp;K211&amp;"'")</f>
        <v/>
      </c>
      <c r="W211" s="18">
        <f>AND(S211:V211)</f>
        <v/>
      </c>
      <c r="X211" s="19">
        <f>TRIM(IF(S211,"",$S$3&amp;" ")&amp;IF(T211,"",$T$3&amp;" ")&amp;IF(U211,"",$U$3&amp;" ")&amp;IF(V211,"",$V$3&amp;" "))</f>
        <v/>
      </c>
      <c r="Y211" s="18">
        <f>EXACT(SUBSTITUTE(A211," ",""),SUBSTITUTE(M211&amp;N211&amp;O211&amp;P211&amp;Q211," ",""))</f>
        <v/>
      </c>
    </row>
    <row r="212">
      <c r="A212" s="15" t="inlineStr">
        <is>
          <t>INSERT INTO MNG_DEAL_LIST_DSP_TBL VALUES(10 , 11 , 5 , 'Y' );</t>
        </is>
      </c>
      <c r="B212" s="16" t="n"/>
      <c r="C212" s="15" t="inlineStr">
        <is>
          <t xml:space="preserve">10 </t>
        </is>
      </c>
      <c r="D212" s="15" t="inlineStr">
        <is>
          <t xml:space="preserve"> 11 </t>
        </is>
      </c>
      <c r="E212" s="15" t="inlineStr">
        <is>
          <t xml:space="preserve"> 5 </t>
        </is>
      </c>
      <c r="F212" s="15" t="inlineStr">
        <is>
          <t xml:space="preserve"> 'Y' </t>
        </is>
      </c>
      <c r="H212" s="17" t="inlineStr">
        <is>
          <t>10</t>
        </is>
      </c>
      <c r="I212" s="17" t="inlineStr">
        <is>
          <t>11</t>
        </is>
      </c>
      <c r="J212" s="17" t="inlineStr">
        <is>
          <t>5</t>
        </is>
      </c>
      <c r="K212" s="17" t="inlineStr">
        <is>
          <t>Y</t>
        </is>
      </c>
      <c r="M212" s="15" t="inlineStr">
        <is>
          <t>INSERT INTO</t>
        </is>
      </c>
      <c r="N212" s="15" t="inlineStr">
        <is>
          <t>MNG_DEAL_LIST_DSP_TBL</t>
        </is>
      </c>
      <c r="O212" s="15" t="inlineStr">
        <is>
          <t>VALUES(</t>
        </is>
      </c>
      <c r="P212" s="15" t="inlineStr">
        <is>
          <t xml:space="preserve">10 , 11 , 5 , 'Y' </t>
        </is>
      </c>
      <c r="Q212" s="15" t="inlineStr">
        <is>
          <t>);</t>
        </is>
      </c>
      <c r="S212" s="18">
        <f>EXACT(TRIM(C212),H212&amp;"")</f>
        <v/>
      </c>
      <c r="T212" s="18">
        <f>EXACT(TRIM(D212),I212&amp;"")</f>
        <v/>
      </c>
      <c r="U212" s="18">
        <f>EXACT(TRIM(E212),J212&amp;"")</f>
        <v/>
      </c>
      <c r="V212" s="18">
        <f>EXACT(TRIM(F212),"'"&amp;K212&amp;"'")</f>
        <v/>
      </c>
      <c r="W212" s="18">
        <f>AND(S212:V212)</f>
        <v/>
      </c>
      <c r="X212" s="19">
        <f>TRIM(IF(S212,"",$S$3&amp;" ")&amp;IF(T212,"",$T$3&amp;" ")&amp;IF(U212,"",$U$3&amp;" ")&amp;IF(V212,"",$V$3&amp;" "))</f>
        <v/>
      </c>
      <c r="Y212" s="18">
        <f>EXACT(SUBSTITUTE(A212," ",""),SUBSTITUTE(M212&amp;N212&amp;O212&amp;P212&amp;Q212," ",""))</f>
        <v/>
      </c>
    </row>
    <row r="213">
      <c r="A213" s="15" t="inlineStr">
        <is>
          <t>INSERT INTO MNG_DEAL_LIST_DSP_TBL VALUES(10 , 11 , 6 , 'Y' );</t>
        </is>
      </c>
      <c r="B213" s="16" t="n"/>
      <c r="C213" s="15" t="inlineStr">
        <is>
          <t xml:space="preserve">10 </t>
        </is>
      </c>
      <c r="D213" s="15" t="inlineStr">
        <is>
          <t xml:space="preserve"> 11 </t>
        </is>
      </c>
      <c r="E213" s="15" t="inlineStr">
        <is>
          <t xml:space="preserve"> 6 </t>
        </is>
      </c>
      <c r="F213" s="15" t="inlineStr">
        <is>
          <t xml:space="preserve"> 'Y' </t>
        </is>
      </c>
      <c r="H213" s="17" t="inlineStr">
        <is>
          <t>10</t>
        </is>
      </c>
      <c r="I213" s="17" t="inlineStr">
        <is>
          <t>11</t>
        </is>
      </c>
      <c r="J213" s="17" t="inlineStr">
        <is>
          <t>6</t>
        </is>
      </c>
      <c r="K213" s="17" t="inlineStr">
        <is>
          <t>Y</t>
        </is>
      </c>
      <c r="M213" s="15" t="inlineStr">
        <is>
          <t>INSERT INTO</t>
        </is>
      </c>
      <c r="N213" s="15" t="inlineStr">
        <is>
          <t>MNG_DEAL_LIST_DSP_TBL</t>
        </is>
      </c>
      <c r="O213" s="15" t="inlineStr">
        <is>
          <t>VALUES(</t>
        </is>
      </c>
      <c r="P213" s="15" t="inlineStr">
        <is>
          <t xml:space="preserve">10 , 11 , 6 , 'Y' </t>
        </is>
      </c>
      <c r="Q213" s="15" t="inlineStr">
        <is>
          <t>);</t>
        </is>
      </c>
      <c r="S213" s="18">
        <f>EXACT(TRIM(C213),H213&amp;"")</f>
        <v/>
      </c>
      <c r="T213" s="18">
        <f>EXACT(TRIM(D213),I213&amp;"")</f>
        <v/>
      </c>
      <c r="U213" s="18">
        <f>EXACT(TRIM(E213),J213&amp;"")</f>
        <v/>
      </c>
      <c r="V213" s="18">
        <f>EXACT(TRIM(F213),"'"&amp;K213&amp;"'")</f>
        <v/>
      </c>
      <c r="W213" s="18">
        <f>AND(S213:V213)</f>
        <v/>
      </c>
      <c r="X213" s="19">
        <f>TRIM(IF(S213,"",$S$3&amp;" ")&amp;IF(T213,"",$T$3&amp;" ")&amp;IF(U213,"",$U$3&amp;" ")&amp;IF(V213,"",$V$3&amp;" "))</f>
        <v/>
      </c>
      <c r="Y213" s="18">
        <f>EXACT(SUBSTITUTE(A213," ",""),SUBSTITUTE(M213&amp;N213&amp;O213&amp;P213&amp;Q213," ",""))</f>
        <v/>
      </c>
    </row>
    <row r="214">
      <c r="A214" s="15" t="inlineStr">
        <is>
          <t>INSERT INTO MNG_DEAL_LIST_DSP_TBL VALUES(10 , 11 , 7 , 'Y' );</t>
        </is>
      </c>
      <c r="B214" s="16" t="n"/>
      <c r="C214" s="15" t="inlineStr">
        <is>
          <t xml:space="preserve">10 </t>
        </is>
      </c>
      <c r="D214" s="15" t="inlineStr">
        <is>
          <t xml:space="preserve"> 11 </t>
        </is>
      </c>
      <c r="E214" s="15" t="inlineStr">
        <is>
          <t xml:space="preserve"> 7 </t>
        </is>
      </c>
      <c r="F214" s="15" t="inlineStr">
        <is>
          <t xml:space="preserve"> 'Y' </t>
        </is>
      </c>
      <c r="H214" s="17" t="inlineStr">
        <is>
          <t>10</t>
        </is>
      </c>
      <c r="I214" s="17" t="inlineStr">
        <is>
          <t>11</t>
        </is>
      </c>
      <c r="J214" s="17" t="inlineStr">
        <is>
          <t>7</t>
        </is>
      </c>
      <c r="K214" s="17" t="inlineStr">
        <is>
          <t>Y</t>
        </is>
      </c>
      <c r="M214" s="15" t="inlineStr">
        <is>
          <t>INSERT INTO</t>
        </is>
      </c>
      <c r="N214" s="15" t="inlineStr">
        <is>
          <t>MNG_DEAL_LIST_DSP_TBL</t>
        </is>
      </c>
      <c r="O214" s="15" t="inlineStr">
        <is>
          <t>VALUES(</t>
        </is>
      </c>
      <c r="P214" s="15" t="inlineStr">
        <is>
          <t xml:space="preserve">10 , 11 , 7 , 'Y' </t>
        </is>
      </c>
      <c r="Q214" s="15" t="inlineStr">
        <is>
          <t>);</t>
        </is>
      </c>
      <c r="S214" s="18">
        <f>EXACT(TRIM(C214),H214&amp;"")</f>
        <v/>
      </c>
      <c r="T214" s="18">
        <f>EXACT(TRIM(D214),I214&amp;"")</f>
        <v/>
      </c>
      <c r="U214" s="18">
        <f>EXACT(TRIM(E214),J214&amp;"")</f>
        <v/>
      </c>
      <c r="V214" s="18">
        <f>EXACT(TRIM(F214),"'"&amp;K214&amp;"'")</f>
        <v/>
      </c>
      <c r="W214" s="18">
        <f>AND(S214:V214)</f>
        <v/>
      </c>
      <c r="X214" s="19">
        <f>TRIM(IF(S214,"",$S$3&amp;" ")&amp;IF(T214,"",$T$3&amp;" ")&amp;IF(U214,"",$U$3&amp;" ")&amp;IF(V214,"",$V$3&amp;" "))</f>
        <v/>
      </c>
      <c r="Y214" s="18">
        <f>EXACT(SUBSTITUTE(A214," ",""),SUBSTITUTE(M214&amp;N214&amp;O214&amp;P214&amp;Q214," ",""))</f>
        <v/>
      </c>
    </row>
    <row r="215">
      <c r="A215" s="15" t="inlineStr">
        <is>
          <t>INSERT INTO MNG_DEAL_LIST_DSP_TBL VALUES(10 , 11 , 8 , 'Y' );</t>
        </is>
      </c>
      <c r="B215" s="16" t="n"/>
      <c r="C215" s="15" t="inlineStr">
        <is>
          <t xml:space="preserve">10 </t>
        </is>
      </c>
      <c r="D215" s="15" t="inlineStr">
        <is>
          <t xml:space="preserve"> 11 </t>
        </is>
      </c>
      <c r="E215" s="15" t="inlineStr">
        <is>
          <t xml:space="preserve"> 8 </t>
        </is>
      </c>
      <c r="F215" s="15" t="inlineStr">
        <is>
          <t xml:space="preserve"> 'Y' </t>
        </is>
      </c>
      <c r="H215" s="17" t="inlineStr">
        <is>
          <t>10</t>
        </is>
      </c>
      <c r="I215" s="17" t="inlineStr">
        <is>
          <t>11</t>
        </is>
      </c>
      <c r="J215" s="17" t="inlineStr">
        <is>
          <t>8</t>
        </is>
      </c>
      <c r="K215" s="17" t="inlineStr">
        <is>
          <t>Y</t>
        </is>
      </c>
      <c r="M215" s="15" t="inlineStr">
        <is>
          <t>INSERT INTO</t>
        </is>
      </c>
      <c r="N215" s="15" t="inlineStr">
        <is>
          <t>MNG_DEAL_LIST_DSP_TBL</t>
        </is>
      </c>
      <c r="O215" s="15" t="inlineStr">
        <is>
          <t>VALUES(</t>
        </is>
      </c>
      <c r="P215" s="15" t="inlineStr">
        <is>
          <t xml:space="preserve">10 , 11 , 8 , 'Y' </t>
        </is>
      </c>
      <c r="Q215" s="15" t="inlineStr">
        <is>
          <t>);</t>
        </is>
      </c>
      <c r="S215" s="18">
        <f>EXACT(TRIM(C215),H215&amp;"")</f>
        <v/>
      </c>
      <c r="T215" s="18">
        <f>EXACT(TRIM(D215),I215&amp;"")</f>
        <v/>
      </c>
      <c r="U215" s="18">
        <f>EXACT(TRIM(E215),J215&amp;"")</f>
        <v/>
      </c>
      <c r="V215" s="18">
        <f>EXACT(TRIM(F215),"'"&amp;K215&amp;"'")</f>
        <v/>
      </c>
      <c r="W215" s="18">
        <f>AND(S215:V215)</f>
        <v/>
      </c>
      <c r="X215" s="19">
        <f>TRIM(IF(S215,"",$S$3&amp;" ")&amp;IF(T215,"",$T$3&amp;" ")&amp;IF(U215,"",$U$3&amp;" ")&amp;IF(V215,"",$V$3&amp;" "))</f>
        <v/>
      </c>
      <c r="Y215" s="18">
        <f>EXACT(SUBSTITUTE(A215," ",""),SUBSTITUTE(M215&amp;N215&amp;O215&amp;P215&amp;Q215," ",""))</f>
        <v/>
      </c>
    </row>
    <row r="216">
      <c r="A216" s="15" t="inlineStr">
        <is>
          <t>INSERT INTO MNG_DEAL_LIST_DSP_TBL VALUES(10 , 11 , 9 , 'Y' );</t>
        </is>
      </c>
      <c r="B216" s="16" t="n"/>
      <c r="C216" s="15" t="inlineStr">
        <is>
          <t xml:space="preserve">10 </t>
        </is>
      </c>
      <c r="D216" s="15" t="inlineStr">
        <is>
          <t xml:space="preserve"> 11 </t>
        </is>
      </c>
      <c r="E216" s="15" t="inlineStr">
        <is>
          <t xml:space="preserve"> 9 </t>
        </is>
      </c>
      <c r="F216" s="15" t="inlineStr">
        <is>
          <t xml:space="preserve"> 'Y' </t>
        </is>
      </c>
      <c r="H216" s="17" t="inlineStr">
        <is>
          <t>10</t>
        </is>
      </c>
      <c r="I216" s="17" t="inlineStr">
        <is>
          <t>11</t>
        </is>
      </c>
      <c r="J216" s="17" t="inlineStr">
        <is>
          <t>9</t>
        </is>
      </c>
      <c r="K216" s="17" t="inlineStr">
        <is>
          <t>Y</t>
        </is>
      </c>
      <c r="M216" s="15" t="inlineStr">
        <is>
          <t>INSERT INTO</t>
        </is>
      </c>
      <c r="N216" s="15" t="inlineStr">
        <is>
          <t>MNG_DEAL_LIST_DSP_TBL</t>
        </is>
      </c>
      <c r="O216" s="15" t="inlineStr">
        <is>
          <t>VALUES(</t>
        </is>
      </c>
      <c r="P216" s="15" t="inlineStr">
        <is>
          <t xml:space="preserve">10 , 11 , 9 , 'Y' </t>
        </is>
      </c>
      <c r="Q216" s="15" t="inlineStr">
        <is>
          <t>);</t>
        </is>
      </c>
      <c r="S216" s="18">
        <f>EXACT(TRIM(C216),H216&amp;"")</f>
        <v/>
      </c>
      <c r="T216" s="18">
        <f>EXACT(TRIM(D216),I216&amp;"")</f>
        <v/>
      </c>
      <c r="U216" s="18">
        <f>EXACT(TRIM(E216),J216&amp;"")</f>
        <v/>
      </c>
      <c r="V216" s="18">
        <f>EXACT(TRIM(F216),"'"&amp;K216&amp;"'")</f>
        <v/>
      </c>
      <c r="W216" s="18">
        <f>AND(S216:V216)</f>
        <v/>
      </c>
      <c r="X216" s="19">
        <f>TRIM(IF(S216,"",$S$3&amp;" ")&amp;IF(T216,"",$T$3&amp;" ")&amp;IF(U216,"",$U$3&amp;" ")&amp;IF(V216,"",$V$3&amp;" "))</f>
        <v/>
      </c>
      <c r="Y216" s="18">
        <f>EXACT(SUBSTITUTE(A216," ",""),SUBSTITUTE(M216&amp;N216&amp;O216&amp;P216&amp;Q216," ",""))</f>
        <v/>
      </c>
    </row>
    <row r="217">
      <c r="A217" s="15" t="inlineStr">
        <is>
          <t>INSERT INTO MNG_DEAL_LIST_DSP_TBL VALUES(10 , 11 , 10 , 'N' );</t>
        </is>
      </c>
      <c r="B217" s="16" t="n"/>
      <c r="C217" s="15" t="inlineStr">
        <is>
          <t xml:space="preserve">10 </t>
        </is>
      </c>
      <c r="D217" s="15" t="inlineStr">
        <is>
          <t xml:space="preserve"> 11 </t>
        </is>
      </c>
      <c r="E217" s="15" t="inlineStr">
        <is>
          <t xml:space="preserve"> 10 </t>
        </is>
      </c>
      <c r="F217" s="15" t="inlineStr">
        <is>
          <t xml:space="preserve"> 'N' </t>
        </is>
      </c>
      <c r="H217" s="17" t="inlineStr">
        <is>
          <t>10</t>
        </is>
      </c>
      <c r="I217" s="17" t="inlineStr">
        <is>
          <t>11</t>
        </is>
      </c>
      <c r="J217" s="17" t="inlineStr">
        <is>
          <t>10</t>
        </is>
      </c>
      <c r="K217" s="17" t="inlineStr">
        <is>
          <t>N</t>
        </is>
      </c>
      <c r="M217" s="15" t="inlineStr">
        <is>
          <t>INSERT INTO</t>
        </is>
      </c>
      <c r="N217" s="15" t="inlineStr">
        <is>
          <t>MNG_DEAL_LIST_DSP_TBL</t>
        </is>
      </c>
      <c r="O217" s="15" t="inlineStr">
        <is>
          <t>VALUES(</t>
        </is>
      </c>
      <c r="P217" s="15" t="inlineStr">
        <is>
          <t xml:space="preserve">10 , 11 , 10 , 'N' </t>
        </is>
      </c>
      <c r="Q217" s="15" t="inlineStr">
        <is>
          <t>);</t>
        </is>
      </c>
      <c r="S217" s="18">
        <f>EXACT(TRIM(C217),H217&amp;"")</f>
        <v/>
      </c>
      <c r="T217" s="18">
        <f>EXACT(TRIM(D217),I217&amp;"")</f>
        <v/>
      </c>
      <c r="U217" s="18">
        <f>EXACT(TRIM(E217),J217&amp;"")</f>
        <v/>
      </c>
      <c r="V217" s="18">
        <f>EXACT(TRIM(F217),"'"&amp;K217&amp;"'")</f>
        <v/>
      </c>
      <c r="W217" s="18">
        <f>AND(S217:V217)</f>
        <v/>
      </c>
      <c r="X217" s="19">
        <f>TRIM(IF(S217,"",$S$3&amp;" ")&amp;IF(T217,"",$T$3&amp;" ")&amp;IF(U217,"",$U$3&amp;" ")&amp;IF(V217,"",$V$3&amp;" "))</f>
        <v/>
      </c>
      <c r="Y217" s="18">
        <f>EXACT(SUBSTITUTE(A217," ",""),SUBSTITUTE(M217&amp;N217&amp;O217&amp;P217&amp;Q217," ",""))</f>
        <v/>
      </c>
    </row>
    <row r="218">
      <c r="A218" s="15" t="inlineStr">
        <is>
          <t>INSERT INTO MNG_DEAL_LIST_DSP_TBL VALUES(10 , 11 , 11 , 'Y' );</t>
        </is>
      </c>
      <c r="B218" s="16" t="n"/>
      <c r="C218" s="15" t="inlineStr">
        <is>
          <t xml:space="preserve">10 </t>
        </is>
      </c>
      <c r="D218" s="15" t="inlineStr">
        <is>
          <t xml:space="preserve"> 11 </t>
        </is>
      </c>
      <c r="E218" s="15" t="inlineStr">
        <is>
          <t xml:space="preserve"> 11 </t>
        </is>
      </c>
      <c r="F218" s="15" t="inlineStr">
        <is>
          <t xml:space="preserve"> 'Y' </t>
        </is>
      </c>
      <c r="H218" s="17" t="inlineStr">
        <is>
          <t>10</t>
        </is>
      </c>
      <c r="I218" s="17" t="inlineStr">
        <is>
          <t>11</t>
        </is>
      </c>
      <c r="J218" s="17" t="inlineStr">
        <is>
          <t>11</t>
        </is>
      </c>
      <c r="K218" s="17" t="inlineStr">
        <is>
          <t>Y</t>
        </is>
      </c>
      <c r="M218" s="15" t="inlineStr">
        <is>
          <t>INSERT INTO</t>
        </is>
      </c>
      <c r="N218" s="15" t="inlineStr">
        <is>
          <t>MNG_DEAL_LIST_DSP_TBL</t>
        </is>
      </c>
      <c r="O218" s="15" t="inlineStr">
        <is>
          <t>VALUES(</t>
        </is>
      </c>
      <c r="P218" s="15" t="inlineStr">
        <is>
          <t xml:space="preserve">10 , 11 , 11 , 'Y' </t>
        </is>
      </c>
      <c r="Q218" s="15" t="inlineStr">
        <is>
          <t>);</t>
        </is>
      </c>
      <c r="S218" s="18">
        <f>EXACT(TRIM(C218),H218&amp;"")</f>
        <v/>
      </c>
      <c r="T218" s="18">
        <f>EXACT(TRIM(D218),I218&amp;"")</f>
        <v/>
      </c>
      <c r="U218" s="18">
        <f>EXACT(TRIM(E218),J218&amp;"")</f>
        <v/>
      </c>
      <c r="V218" s="18">
        <f>EXACT(TRIM(F218),"'"&amp;K218&amp;"'")</f>
        <v/>
      </c>
      <c r="W218" s="18">
        <f>AND(S218:V218)</f>
        <v/>
      </c>
      <c r="X218" s="19">
        <f>TRIM(IF(S218,"",$S$3&amp;" ")&amp;IF(T218,"",$T$3&amp;" ")&amp;IF(U218,"",$U$3&amp;" ")&amp;IF(V218,"",$V$3&amp;" "))</f>
        <v/>
      </c>
      <c r="Y218" s="18">
        <f>EXACT(SUBSTITUTE(A218," ",""),SUBSTITUTE(M218&amp;N218&amp;O218&amp;P218&amp;Q218," ",""))</f>
        <v/>
      </c>
    </row>
    <row r="219">
      <c r="A219" s="15" t="inlineStr">
        <is>
          <t>INSERT INTO MNG_DEAL_LIST_DSP_TBL VALUES(10 , 11 , 12 , 'Y' );</t>
        </is>
      </c>
      <c r="B219" s="16" t="n"/>
      <c r="C219" s="15" t="inlineStr">
        <is>
          <t xml:space="preserve">10 </t>
        </is>
      </c>
      <c r="D219" s="15" t="inlineStr">
        <is>
          <t xml:space="preserve"> 11 </t>
        </is>
      </c>
      <c r="E219" s="15" t="inlineStr">
        <is>
          <t xml:space="preserve"> 12 </t>
        </is>
      </c>
      <c r="F219" s="15" t="inlineStr">
        <is>
          <t xml:space="preserve"> 'Y' </t>
        </is>
      </c>
      <c r="H219" s="17" t="inlineStr">
        <is>
          <t>10</t>
        </is>
      </c>
      <c r="I219" s="17" t="inlineStr">
        <is>
          <t>11</t>
        </is>
      </c>
      <c r="J219" s="17" t="inlineStr">
        <is>
          <t>12</t>
        </is>
      </c>
      <c r="K219" s="17" t="inlineStr">
        <is>
          <t>Y</t>
        </is>
      </c>
      <c r="M219" s="15" t="inlineStr">
        <is>
          <t>INSERT INTO</t>
        </is>
      </c>
      <c r="N219" s="15" t="inlineStr">
        <is>
          <t>MNG_DEAL_LIST_DSP_TBL</t>
        </is>
      </c>
      <c r="O219" s="15" t="inlineStr">
        <is>
          <t>VALUES(</t>
        </is>
      </c>
      <c r="P219" s="15" t="inlineStr">
        <is>
          <t xml:space="preserve">10 , 11 , 12 , 'Y' </t>
        </is>
      </c>
      <c r="Q219" s="15" t="inlineStr">
        <is>
          <t>);</t>
        </is>
      </c>
      <c r="S219" s="18">
        <f>EXACT(TRIM(C219),H219&amp;"")</f>
        <v/>
      </c>
      <c r="T219" s="18">
        <f>EXACT(TRIM(D219),I219&amp;"")</f>
        <v/>
      </c>
      <c r="U219" s="18">
        <f>EXACT(TRIM(E219),J219&amp;"")</f>
        <v/>
      </c>
      <c r="V219" s="18">
        <f>EXACT(TRIM(F219),"'"&amp;K219&amp;"'")</f>
        <v/>
      </c>
      <c r="W219" s="18">
        <f>AND(S219:V219)</f>
        <v/>
      </c>
      <c r="X219" s="19">
        <f>TRIM(IF(S219,"",$S$3&amp;" ")&amp;IF(T219,"",$T$3&amp;" ")&amp;IF(U219,"",$U$3&amp;" ")&amp;IF(V219,"",$V$3&amp;" "))</f>
        <v/>
      </c>
      <c r="Y219" s="18">
        <f>EXACT(SUBSTITUTE(A219," ",""),SUBSTITUTE(M219&amp;N219&amp;O219&amp;P219&amp;Q219," ",""))</f>
        <v/>
      </c>
    </row>
    <row r="220">
      <c r="A220" s="15" t="inlineStr">
        <is>
          <t>INSERT INTO MNG_DEAL_LIST_DSP_TBL VALUES(10 , 11 , 13 , 'Y' );</t>
        </is>
      </c>
      <c r="B220" s="16" t="n"/>
      <c r="C220" s="15" t="inlineStr">
        <is>
          <t xml:space="preserve">10 </t>
        </is>
      </c>
      <c r="D220" s="15" t="inlineStr">
        <is>
          <t xml:space="preserve"> 11 </t>
        </is>
      </c>
      <c r="E220" s="15" t="inlineStr">
        <is>
          <t xml:space="preserve"> 13 </t>
        </is>
      </c>
      <c r="F220" s="15" t="inlineStr">
        <is>
          <t xml:space="preserve"> 'Y' </t>
        </is>
      </c>
      <c r="H220" s="17" t="inlineStr">
        <is>
          <t>10</t>
        </is>
      </c>
      <c r="I220" s="17" t="inlineStr">
        <is>
          <t>11</t>
        </is>
      </c>
      <c r="J220" s="17" t="inlineStr">
        <is>
          <t>13</t>
        </is>
      </c>
      <c r="K220" s="17" t="inlineStr">
        <is>
          <t>Y</t>
        </is>
      </c>
      <c r="M220" s="15" t="inlineStr">
        <is>
          <t>INSERT INTO</t>
        </is>
      </c>
      <c r="N220" s="15" t="inlineStr">
        <is>
          <t>MNG_DEAL_LIST_DSP_TBL</t>
        </is>
      </c>
      <c r="O220" s="15" t="inlineStr">
        <is>
          <t>VALUES(</t>
        </is>
      </c>
      <c r="P220" s="15" t="inlineStr">
        <is>
          <t xml:space="preserve">10 , 11 , 13 , 'Y' </t>
        </is>
      </c>
      <c r="Q220" s="15" t="inlineStr">
        <is>
          <t>);</t>
        </is>
      </c>
      <c r="S220" s="18">
        <f>EXACT(TRIM(C220),H220&amp;"")</f>
        <v/>
      </c>
      <c r="T220" s="18">
        <f>EXACT(TRIM(D220),I220&amp;"")</f>
        <v/>
      </c>
      <c r="U220" s="18">
        <f>EXACT(TRIM(E220),J220&amp;"")</f>
        <v/>
      </c>
      <c r="V220" s="18">
        <f>EXACT(TRIM(F220),"'"&amp;K220&amp;"'")</f>
        <v/>
      </c>
      <c r="W220" s="18">
        <f>AND(S220:V220)</f>
        <v/>
      </c>
      <c r="X220" s="19">
        <f>TRIM(IF(S220,"",$S$3&amp;" ")&amp;IF(T220,"",$T$3&amp;" ")&amp;IF(U220,"",$U$3&amp;" ")&amp;IF(V220,"",$V$3&amp;" "))</f>
        <v/>
      </c>
      <c r="Y220" s="18">
        <f>EXACT(SUBSTITUTE(A220," ",""),SUBSTITUTE(M220&amp;N220&amp;O220&amp;P220&amp;Q220," ",""))</f>
        <v/>
      </c>
    </row>
    <row r="221">
      <c r="A221" s="15" t="inlineStr">
        <is>
          <t>INSERT INTO MNG_DEAL_LIST_DSP_TBL VALUES(10 , 11 , 14 , 'Y' );</t>
        </is>
      </c>
      <c r="B221" s="16" t="n"/>
      <c r="C221" s="15" t="inlineStr">
        <is>
          <t xml:space="preserve">10 </t>
        </is>
      </c>
      <c r="D221" s="15" t="inlineStr">
        <is>
          <t xml:space="preserve"> 11 </t>
        </is>
      </c>
      <c r="E221" s="15" t="inlineStr">
        <is>
          <t xml:space="preserve"> 14 </t>
        </is>
      </c>
      <c r="F221" s="15" t="inlineStr">
        <is>
          <t xml:space="preserve"> 'Y' </t>
        </is>
      </c>
      <c r="H221" s="17" t="inlineStr">
        <is>
          <t>10</t>
        </is>
      </c>
      <c r="I221" s="17" t="inlineStr">
        <is>
          <t>11</t>
        </is>
      </c>
      <c r="J221" s="17" t="inlineStr">
        <is>
          <t>14</t>
        </is>
      </c>
      <c r="K221" s="17" t="inlineStr">
        <is>
          <t>Y</t>
        </is>
      </c>
      <c r="M221" s="15" t="inlineStr">
        <is>
          <t>INSERT INTO</t>
        </is>
      </c>
      <c r="N221" s="15" t="inlineStr">
        <is>
          <t>MNG_DEAL_LIST_DSP_TBL</t>
        </is>
      </c>
      <c r="O221" s="15" t="inlineStr">
        <is>
          <t>VALUES(</t>
        </is>
      </c>
      <c r="P221" s="15" t="inlineStr">
        <is>
          <t xml:space="preserve">10 , 11 , 14 , 'Y' </t>
        </is>
      </c>
      <c r="Q221" s="15" t="inlineStr">
        <is>
          <t>);</t>
        </is>
      </c>
      <c r="S221" s="18">
        <f>EXACT(TRIM(C221),H221&amp;"")</f>
        <v/>
      </c>
      <c r="T221" s="18">
        <f>EXACT(TRIM(D221),I221&amp;"")</f>
        <v/>
      </c>
      <c r="U221" s="18">
        <f>EXACT(TRIM(E221),J221&amp;"")</f>
        <v/>
      </c>
      <c r="V221" s="18">
        <f>EXACT(TRIM(F221),"'"&amp;K221&amp;"'")</f>
        <v/>
      </c>
      <c r="W221" s="18">
        <f>AND(S221:V221)</f>
        <v/>
      </c>
      <c r="X221" s="19">
        <f>TRIM(IF(S221,"",$S$3&amp;" ")&amp;IF(T221,"",$T$3&amp;" ")&amp;IF(U221,"",$U$3&amp;" ")&amp;IF(V221,"",$V$3&amp;" "))</f>
        <v/>
      </c>
      <c r="Y221" s="18">
        <f>EXACT(SUBSTITUTE(A221," ",""),SUBSTITUTE(M221&amp;N221&amp;O221&amp;P221&amp;Q221," ",""))</f>
        <v/>
      </c>
    </row>
    <row r="222">
      <c r="A222" s="15" t="inlineStr">
        <is>
          <t>INSERT INTO MNG_DEAL_LIST_DSP_TBL VALUES(10 , 11 , 15 , 'Y' );</t>
        </is>
      </c>
      <c r="B222" s="16" t="n"/>
      <c r="C222" s="15" t="inlineStr">
        <is>
          <t xml:space="preserve">10 </t>
        </is>
      </c>
      <c r="D222" s="15" t="inlineStr">
        <is>
          <t xml:space="preserve"> 11 </t>
        </is>
      </c>
      <c r="E222" s="15" t="inlineStr">
        <is>
          <t xml:space="preserve"> 15 </t>
        </is>
      </c>
      <c r="F222" s="15" t="inlineStr">
        <is>
          <t xml:space="preserve"> 'Y' </t>
        </is>
      </c>
      <c r="H222" s="17" t="inlineStr">
        <is>
          <t>10</t>
        </is>
      </c>
      <c r="I222" s="17" t="inlineStr">
        <is>
          <t>11</t>
        </is>
      </c>
      <c r="J222" s="17" t="inlineStr">
        <is>
          <t>15</t>
        </is>
      </c>
      <c r="K222" s="17" t="inlineStr">
        <is>
          <t>Y</t>
        </is>
      </c>
      <c r="M222" s="15" t="inlineStr">
        <is>
          <t>INSERT INTO</t>
        </is>
      </c>
      <c r="N222" s="15" t="inlineStr">
        <is>
          <t>MNG_DEAL_LIST_DSP_TBL</t>
        </is>
      </c>
      <c r="O222" s="15" t="inlineStr">
        <is>
          <t>VALUES(</t>
        </is>
      </c>
      <c r="P222" s="15" t="inlineStr">
        <is>
          <t xml:space="preserve">10 , 11 , 15 , 'Y' </t>
        </is>
      </c>
      <c r="Q222" s="15" t="inlineStr">
        <is>
          <t>);</t>
        </is>
      </c>
      <c r="S222" s="18">
        <f>EXACT(TRIM(C222),H222&amp;"")</f>
        <v/>
      </c>
      <c r="T222" s="18">
        <f>EXACT(TRIM(D222),I222&amp;"")</f>
        <v/>
      </c>
      <c r="U222" s="18">
        <f>EXACT(TRIM(E222),J222&amp;"")</f>
        <v/>
      </c>
      <c r="V222" s="18">
        <f>EXACT(TRIM(F222),"'"&amp;K222&amp;"'")</f>
        <v/>
      </c>
      <c r="W222" s="18">
        <f>AND(S222:V222)</f>
        <v/>
      </c>
      <c r="X222" s="19">
        <f>TRIM(IF(S222,"",$S$3&amp;" ")&amp;IF(T222,"",$T$3&amp;" ")&amp;IF(U222,"",$U$3&amp;" ")&amp;IF(V222,"",$V$3&amp;" "))</f>
        <v/>
      </c>
      <c r="Y222" s="18">
        <f>EXACT(SUBSTITUTE(A222," ",""),SUBSTITUTE(M222&amp;N222&amp;O222&amp;P222&amp;Q222," ",""))</f>
        <v/>
      </c>
    </row>
    <row r="223">
      <c r="A223" s="15" t="inlineStr">
        <is>
          <t>INSERT INTO MNG_DEAL_LIST_DSP_TBL VALUES(10 , 11 , 16 , 'Y' );</t>
        </is>
      </c>
      <c r="B223" s="16" t="n"/>
      <c r="C223" s="15" t="inlineStr">
        <is>
          <t xml:space="preserve">10 </t>
        </is>
      </c>
      <c r="D223" s="15" t="inlineStr">
        <is>
          <t xml:space="preserve"> 11 </t>
        </is>
      </c>
      <c r="E223" s="15" t="inlineStr">
        <is>
          <t xml:space="preserve"> 16 </t>
        </is>
      </c>
      <c r="F223" s="15" t="inlineStr">
        <is>
          <t xml:space="preserve"> 'Y' </t>
        </is>
      </c>
      <c r="H223" s="17" t="inlineStr">
        <is>
          <t>10</t>
        </is>
      </c>
      <c r="I223" s="17" t="inlineStr">
        <is>
          <t>11</t>
        </is>
      </c>
      <c r="J223" s="17" t="inlineStr">
        <is>
          <t>16</t>
        </is>
      </c>
      <c r="K223" s="17" t="inlineStr">
        <is>
          <t>Y</t>
        </is>
      </c>
      <c r="M223" s="15" t="inlineStr">
        <is>
          <t>INSERT INTO</t>
        </is>
      </c>
      <c r="N223" s="15" t="inlineStr">
        <is>
          <t>MNG_DEAL_LIST_DSP_TBL</t>
        </is>
      </c>
      <c r="O223" s="15" t="inlineStr">
        <is>
          <t>VALUES(</t>
        </is>
      </c>
      <c r="P223" s="15" t="inlineStr">
        <is>
          <t xml:space="preserve">10 , 11 , 16 , 'Y' </t>
        </is>
      </c>
      <c r="Q223" s="15" t="inlineStr">
        <is>
          <t>);</t>
        </is>
      </c>
      <c r="S223" s="18">
        <f>EXACT(TRIM(C223),H223&amp;"")</f>
        <v/>
      </c>
      <c r="T223" s="18">
        <f>EXACT(TRIM(D223),I223&amp;"")</f>
        <v/>
      </c>
      <c r="U223" s="18">
        <f>EXACT(TRIM(E223),J223&amp;"")</f>
        <v/>
      </c>
      <c r="V223" s="18">
        <f>EXACT(TRIM(F223),"'"&amp;K223&amp;"'")</f>
        <v/>
      </c>
      <c r="W223" s="18">
        <f>AND(S223:V223)</f>
        <v/>
      </c>
      <c r="X223" s="19">
        <f>TRIM(IF(S223,"",$S$3&amp;" ")&amp;IF(T223,"",$T$3&amp;" ")&amp;IF(U223,"",$U$3&amp;" ")&amp;IF(V223,"",$V$3&amp;" "))</f>
        <v/>
      </c>
      <c r="Y223" s="18">
        <f>EXACT(SUBSTITUTE(A223," ",""),SUBSTITUTE(M223&amp;N223&amp;O223&amp;P223&amp;Q223," ",""))</f>
        <v/>
      </c>
    </row>
    <row r="224">
      <c r="A224" s="15" t="inlineStr">
        <is>
          <t>INSERT INTO MNG_DEAL_LIST_DSP_TBL VALUES(10 , 14 , 1 , 'Y' );</t>
        </is>
      </c>
      <c r="B224" s="16" t="n"/>
      <c r="C224" s="15" t="inlineStr">
        <is>
          <t xml:space="preserve">10 </t>
        </is>
      </c>
      <c r="D224" s="15" t="inlineStr">
        <is>
          <t xml:space="preserve"> 14 </t>
        </is>
      </c>
      <c r="E224" s="15" t="inlineStr">
        <is>
          <t xml:space="preserve"> 1 </t>
        </is>
      </c>
      <c r="F224" s="15" t="inlineStr">
        <is>
          <t xml:space="preserve"> 'Y' </t>
        </is>
      </c>
      <c r="H224" s="17" t="inlineStr">
        <is>
          <t>10</t>
        </is>
      </c>
      <c r="I224" s="17" t="inlineStr">
        <is>
          <t>14</t>
        </is>
      </c>
      <c r="J224" s="17" t="inlineStr">
        <is>
          <t>1</t>
        </is>
      </c>
      <c r="K224" s="17" t="inlineStr">
        <is>
          <t>Y</t>
        </is>
      </c>
      <c r="M224" s="15" t="inlineStr">
        <is>
          <t>INSERT INTO</t>
        </is>
      </c>
      <c r="N224" s="15" t="inlineStr">
        <is>
          <t>MNG_DEAL_LIST_DSP_TBL</t>
        </is>
      </c>
      <c r="O224" s="15" t="inlineStr">
        <is>
          <t>VALUES(</t>
        </is>
      </c>
      <c r="P224" s="15" t="inlineStr">
        <is>
          <t xml:space="preserve">10 , 14 , 1 , 'Y' </t>
        </is>
      </c>
      <c r="Q224" s="15" t="inlineStr">
        <is>
          <t>);</t>
        </is>
      </c>
      <c r="S224" s="18">
        <f>EXACT(TRIM(C224),H224&amp;"")</f>
        <v/>
      </c>
      <c r="T224" s="18">
        <f>EXACT(TRIM(D224),I224&amp;"")</f>
        <v/>
      </c>
      <c r="U224" s="18">
        <f>EXACT(TRIM(E224),J224&amp;"")</f>
        <v/>
      </c>
      <c r="V224" s="18">
        <f>EXACT(TRIM(F224),"'"&amp;K224&amp;"'")</f>
        <v/>
      </c>
      <c r="W224" s="18">
        <f>AND(S224:V224)</f>
        <v/>
      </c>
      <c r="X224" s="19">
        <f>TRIM(IF(S224,"",$S$3&amp;" ")&amp;IF(T224,"",$T$3&amp;" ")&amp;IF(U224,"",$U$3&amp;" ")&amp;IF(V224,"",$V$3&amp;" "))</f>
        <v/>
      </c>
      <c r="Y224" s="18">
        <f>EXACT(SUBSTITUTE(A224," ",""),SUBSTITUTE(M224&amp;N224&amp;O224&amp;P224&amp;Q224," ",""))</f>
        <v/>
      </c>
    </row>
    <row r="225">
      <c r="A225" s="15" t="inlineStr">
        <is>
          <t>INSERT INTO MNG_DEAL_LIST_DSP_TBL VALUES(10 , 14 , 2 , 'N' );</t>
        </is>
      </c>
      <c r="B225" s="16" t="n"/>
      <c r="C225" s="15" t="inlineStr">
        <is>
          <t xml:space="preserve">10 </t>
        </is>
      </c>
      <c r="D225" s="15" t="inlineStr">
        <is>
          <t xml:space="preserve"> 14 </t>
        </is>
      </c>
      <c r="E225" s="15" t="inlineStr">
        <is>
          <t xml:space="preserve"> 2 </t>
        </is>
      </c>
      <c r="F225" s="15" t="inlineStr">
        <is>
          <t xml:space="preserve"> 'N' </t>
        </is>
      </c>
      <c r="H225" s="17" t="inlineStr">
        <is>
          <t>10</t>
        </is>
      </c>
      <c r="I225" s="17" t="inlineStr">
        <is>
          <t>14</t>
        </is>
      </c>
      <c r="J225" s="17" t="inlineStr">
        <is>
          <t>2</t>
        </is>
      </c>
      <c r="K225" s="17" t="inlineStr">
        <is>
          <t>N</t>
        </is>
      </c>
      <c r="M225" s="15" t="inlineStr">
        <is>
          <t>INSERT INTO</t>
        </is>
      </c>
      <c r="N225" s="15" t="inlineStr">
        <is>
          <t>MNG_DEAL_LIST_DSP_TBL</t>
        </is>
      </c>
      <c r="O225" s="15" t="inlineStr">
        <is>
          <t>VALUES(</t>
        </is>
      </c>
      <c r="P225" s="15" t="inlineStr">
        <is>
          <t xml:space="preserve">10 , 14 , 2 , 'N' </t>
        </is>
      </c>
      <c r="Q225" s="15" t="inlineStr">
        <is>
          <t>);</t>
        </is>
      </c>
      <c r="S225" s="18">
        <f>EXACT(TRIM(C225),H225&amp;"")</f>
        <v/>
      </c>
      <c r="T225" s="18">
        <f>EXACT(TRIM(D225),I225&amp;"")</f>
        <v/>
      </c>
      <c r="U225" s="18">
        <f>EXACT(TRIM(E225),J225&amp;"")</f>
        <v/>
      </c>
      <c r="V225" s="18">
        <f>EXACT(TRIM(F225),"'"&amp;K225&amp;"'")</f>
        <v/>
      </c>
      <c r="W225" s="18">
        <f>AND(S225:V225)</f>
        <v/>
      </c>
      <c r="X225" s="19">
        <f>TRIM(IF(S225,"",$S$3&amp;" ")&amp;IF(T225,"",$T$3&amp;" ")&amp;IF(U225,"",$U$3&amp;" ")&amp;IF(V225,"",$V$3&amp;" "))</f>
        <v/>
      </c>
      <c r="Y225" s="18">
        <f>EXACT(SUBSTITUTE(A225," ",""),SUBSTITUTE(M225&amp;N225&amp;O225&amp;P225&amp;Q225," ",""))</f>
        <v/>
      </c>
    </row>
    <row r="226">
      <c r="A226" s="15" t="inlineStr">
        <is>
          <t>INSERT INTO MNG_DEAL_LIST_DSP_TBL VALUES(10 , 14 , 3 , 'N' );</t>
        </is>
      </c>
      <c r="B226" s="16" t="n"/>
      <c r="C226" s="15" t="inlineStr">
        <is>
          <t xml:space="preserve">10 </t>
        </is>
      </c>
      <c r="D226" s="15" t="inlineStr">
        <is>
          <t xml:space="preserve"> 14 </t>
        </is>
      </c>
      <c r="E226" s="15" t="inlineStr">
        <is>
          <t xml:space="preserve"> 3 </t>
        </is>
      </c>
      <c r="F226" s="15" t="inlineStr">
        <is>
          <t xml:space="preserve"> 'N' </t>
        </is>
      </c>
      <c r="H226" s="17" t="inlineStr">
        <is>
          <t>10</t>
        </is>
      </c>
      <c r="I226" s="17" t="inlineStr">
        <is>
          <t>14</t>
        </is>
      </c>
      <c r="J226" s="17" t="inlineStr">
        <is>
          <t>3</t>
        </is>
      </c>
      <c r="K226" s="17" t="inlineStr">
        <is>
          <t>N</t>
        </is>
      </c>
      <c r="M226" s="15" t="inlineStr">
        <is>
          <t>INSERT INTO</t>
        </is>
      </c>
      <c r="N226" s="15" t="inlineStr">
        <is>
          <t>MNG_DEAL_LIST_DSP_TBL</t>
        </is>
      </c>
      <c r="O226" s="15" t="inlineStr">
        <is>
          <t>VALUES(</t>
        </is>
      </c>
      <c r="P226" s="15" t="inlineStr">
        <is>
          <t xml:space="preserve">10 , 14 , 3 , 'N' </t>
        </is>
      </c>
      <c r="Q226" s="15" t="inlineStr">
        <is>
          <t>);</t>
        </is>
      </c>
      <c r="S226" s="18">
        <f>EXACT(TRIM(C226),H226&amp;"")</f>
        <v/>
      </c>
      <c r="T226" s="18">
        <f>EXACT(TRIM(D226),I226&amp;"")</f>
        <v/>
      </c>
      <c r="U226" s="18">
        <f>EXACT(TRIM(E226),J226&amp;"")</f>
        <v/>
      </c>
      <c r="V226" s="18">
        <f>EXACT(TRIM(F226),"'"&amp;K226&amp;"'")</f>
        <v/>
      </c>
      <c r="W226" s="18">
        <f>AND(S226:V226)</f>
        <v/>
      </c>
      <c r="X226" s="19">
        <f>TRIM(IF(S226,"",$S$3&amp;" ")&amp;IF(T226,"",$T$3&amp;" ")&amp;IF(U226,"",$U$3&amp;" ")&amp;IF(V226,"",$V$3&amp;" "))</f>
        <v/>
      </c>
      <c r="Y226" s="18">
        <f>EXACT(SUBSTITUTE(A226," ",""),SUBSTITUTE(M226&amp;N226&amp;O226&amp;P226&amp;Q226," ",""))</f>
        <v/>
      </c>
    </row>
    <row r="227">
      <c r="A227" s="15" t="inlineStr">
        <is>
          <t>INSERT INTO MNG_DEAL_LIST_DSP_TBL VALUES(10 , 14 , 4 , 'Y' );</t>
        </is>
      </c>
      <c r="B227" s="16" t="n"/>
      <c r="C227" s="15" t="inlineStr">
        <is>
          <t xml:space="preserve">10 </t>
        </is>
      </c>
      <c r="D227" s="15" t="inlineStr">
        <is>
          <t xml:space="preserve"> 14 </t>
        </is>
      </c>
      <c r="E227" s="15" t="inlineStr">
        <is>
          <t xml:space="preserve"> 4 </t>
        </is>
      </c>
      <c r="F227" s="15" t="inlineStr">
        <is>
          <t xml:space="preserve"> 'Y' </t>
        </is>
      </c>
      <c r="H227" s="17" t="inlineStr">
        <is>
          <t>10</t>
        </is>
      </c>
      <c r="I227" s="17" t="inlineStr">
        <is>
          <t>14</t>
        </is>
      </c>
      <c r="J227" s="17" t="inlineStr">
        <is>
          <t>4</t>
        </is>
      </c>
      <c r="K227" s="17" t="inlineStr">
        <is>
          <t>Y</t>
        </is>
      </c>
      <c r="M227" s="15" t="inlineStr">
        <is>
          <t>INSERT INTO</t>
        </is>
      </c>
      <c r="N227" s="15" t="inlineStr">
        <is>
          <t>MNG_DEAL_LIST_DSP_TBL</t>
        </is>
      </c>
      <c r="O227" s="15" t="inlineStr">
        <is>
          <t>VALUES(</t>
        </is>
      </c>
      <c r="P227" s="15" t="inlineStr">
        <is>
          <t xml:space="preserve">10 , 14 , 4 , 'Y' </t>
        </is>
      </c>
      <c r="Q227" s="15" t="inlineStr">
        <is>
          <t>);</t>
        </is>
      </c>
      <c r="S227" s="18">
        <f>EXACT(TRIM(C227),H227&amp;"")</f>
        <v/>
      </c>
      <c r="T227" s="18">
        <f>EXACT(TRIM(D227),I227&amp;"")</f>
        <v/>
      </c>
      <c r="U227" s="18">
        <f>EXACT(TRIM(E227),J227&amp;"")</f>
        <v/>
      </c>
      <c r="V227" s="18">
        <f>EXACT(TRIM(F227),"'"&amp;K227&amp;"'")</f>
        <v/>
      </c>
      <c r="W227" s="18">
        <f>AND(S227:V227)</f>
        <v/>
      </c>
      <c r="X227" s="19">
        <f>TRIM(IF(S227,"",$S$3&amp;" ")&amp;IF(T227,"",$T$3&amp;" ")&amp;IF(U227,"",$U$3&amp;" ")&amp;IF(V227,"",$V$3&amp;" "))</f>
        <v/>
      </c>
      <c r="Y227" s="18">
        <f>EXACT(SUBSTITUTE(A227," ",""),SUBSTITUTE(M227&amp;N227&amp;O227&amp;P227&amp;Q227," ",""))</f>
        <v/>
      </c>
    </row>
    <row r="228">
      <c r="A228" s="15" t="inlineStr">
        <is>
          <t>INSERT INTO MNG_DEAL_LIST_DSP_TBL VALUES(10 , 14 , 5 , 'Y' );</t>
        </is>
      </c>
      <c r="B228" s="16" t="n"/>
      <c r="C228" s="15" t="inlineStr">
        <is>
          <t xml:space="preserve">10 </t>
        </is>
      </c>
      <c r="D228" s="15" t="inlineStr">
        <is>
          <t xml:space="preserve"> 14 </t>
        </is>
      </c>
      <c r="E228" s="15" t="inlineStr">
        <is>
          <t xml:space="preserve"> 5 </t>
        </is>
      </c>
      <c r="F228" s="15" t="inlineStr">
        <is>
          <t xml:space="preserve"> 'Y' </t>
        </is>
      </c>
      <c r="H228" s="17" t="inlineStr">
        <is>
          <t>10</t>
        </is>
      </c>
      <c r="I228" s="17" t="inlineStr">
        <is>
          <t>14</t>
        </is>
      </c>
      <c r="J228" s="17" t="inlineStr">
        <is>
          <t>5</t>
        </is>
      </c>
      <c r="K228" s="17" t="inlineStr">
        <is>
          <t>Y</t>
        </is>
      </c>
      <c r="M228" s="15" t="inlineStr">
        <is>
          <t>INSERT INTO</t>
        </is>
      </c>
      <c r="N228" s="15" t="inlineStr">
        <is>
          <t>MNG_DEAL_LIST_DSP_TBL</t>
        </is>
      </c>
      <c r="O228" s="15" t="inlineStr">
        <is>
          <t>VALUES(</t>
        </is>
      </c>
      <c r="P228" s="15" t="inlineStr">
        <is>
          <t xml:space="preserve">10 , 14 , 5 , 'Y' </t>
        </is>
      </c>
      <c r="Q228" s="15" t="inlineStr">
        <is>
          <t>);</t>
        </is>
      </c>
      <c r="S228" s="18">
        <f>EXACT(TRIM(C228),H228&amp;"")</f>
        <v/>
      </c>
      <c r="T228" s="18">
        <f>EXACT(TRIM(D228),I228&amp;"")</f>
        <v/>
      </c>
      <c r="U228" s="18">
        <f>EXACT(TRIM(E228),J228&amp;"")</f>
        <v/>
      </c>
      <c r="V228" s="18">
        <f>EXACT(TRIM(F228),"'"&amp;K228&amp;"'")</f>
        <v/>
      </c>
      <c r="W228" s="18">
        <f>AND(S228:V228)</f>
        <v/>
      </c>
      <c r="X228" s="19">
        <f>TRIM(IF(S228,"",$S$3&amp;" ")&amp;IF(T228,"",$T$3&amp;" ")&amp;IF(U228,"",$U$3&amp;" ")&amp;IF(V228,"",$V$3&amp;" "))</f>
        <v/>
      </c>
      <c r="Y228" s="18">
        <f>EXACT(SUBSTITUTE(A228," ",""),SUBSTITUTE(M228&amp;N228&amp;O228&amp;P228&amp;Q228," ",""))</f>
        <v/>
      </c>
    </row>
    <row r="229">
      <c r="A229" s="15" t="inlineStr">
        <is>
          <t>INSERT INTO MNG_DEAL_LIST_DSP_TBL VALUES(10 , 14 , 6 , 'Y' );</t>
        </is>
      </c>
      <c r="B229" s="16" t="n"/>
      <c r="C229" s="15" t="inlineStr">
        <is>
          <t xml:space="preserve">10 </t>
        </is>
      </c>
      <c r="D229" s="15" t="inlineStr">
        <is>
          <t xml:space="preserve"> 14 </t>
        </is>
      </c>
      <c r="E229" s="15" t="inlineStr">
        <is>
          <t xml:space="preserve"> 6 </t>
        </is>
      </c>
      <c r="F229" s="15" t="inlineStr">
        <is>
          <t xml:space="preserve"> 'Y' </t>
        </is>
      </c>
      <c r="H229" s="17" t="inlineStr">
        <is>
          <t>10</t>
        </is>
      </c>
      <c r="I229" s="17" t="inlineStr">
        <is>
          <t>14</t>
        </is>
      </c>
      <c r="J229" s="17" t="inlineStr">
        <is>
          <t>6</t>
        </is>
      </c>
      <c r="K229" s="17" t="inlineStr">
        <is>
          <t>Y</t>
        </is>
      </c>
      <c r="M229" s="15" t="inlineStr">
        <is>
          <t>INSERT INTO</t>
        </is>
      </c>
      <c r="N229" s="15" t="inlineStr">
        <is>
          <t>MNG_DEAL_LIST_DSP_TBL</t>
        </is>
      </c>
      <c r="O229" s="15" t="inlineStr">
        <is>
          <t>VALUES(</t>
        </is>
      </c>
      <c r="P229" s="15" t="inlineStr">
        <is>
          <t xml:space="preserve">10 , 14 , 6 , 'Y' </t>
        </is>
      </c>
      <c r="Q229" s="15" t="inlineStr">
        <is>
          <t>);</t>
        </is>
      </c>
      <c r="S229" s="18">
        <f>EXACT(TRIM(C229),H229&amp;"")</f>
        <v/>
      </c>
      <c r="T229" s="18">
        <f>EXACT(TRIM(D229),I229&amp;"")</f>
        <v/>
      </c>
      <c r="U229" s="18">
        <f>EXACT(TRIM(E229),J229&amp;"")</f>
        <v/>
      </c>
      <c r="V229" s="18">
        <f>EXACT(TRIM(F229),"'"&amp;K229&amp;"'")</f>
        <v/>
      </c>
      <c r="W229" s="18">
        <f>AND(S229:V229)</f>
        <v/>
      </c>
      <c r="X229" s="19">
        <f>TRIM(IF(S229,"",$S$3&amp;" ")&amp;IF(T229,"",$T$3&amp;" ")&amp;IF(U229,"",$U$3&amp;" ")&amp;IF(V229,"",$V$3&amp;" "))</f>
        <v/>
      </c>
      <c r="Y229" s="18">
        <f>EXACT(SUBSTITUTE(A229," ",""),SUBSTITUTE(M229&amp;N229&amp;O229&amp;P229&amp;Q229," ",""))</f>
        <v/>
      </c>
    </row>
    <row r="230">
      <c r="A230" s="15" t="inlineStr">
        <is>
          <t>INSERT INTO MNG_DEAL_LIST_DSP_TBL VALUES(10 , 14 , 7 , 'Y' );</t>
        </is>
      </c>
      <c r="B230" s="16" t="n"/>
      <c r="C230" s="15" t="inlineStr">
        <is>
          <t xml:space="preserve">10 </t>
        </is>
      </c>
      <c r="D230" s="15" t="inlineStr">
        <is>
          <t xml:space="preserve"> 14 </t>
        </is>
      </c>
      <c r="E230" s="15" t="inlineStr">
        <is>
          <t xml:space="preserve"> 7 </t>
        </is>
      </c>
      <c r="F230" s="15" t="inlineStr">
        <is>
          <t xml:space="preserve"> 'Y' </t>
        </is>
      </c>
      <c r="H230" s="17" t="inlineStr">
        <is>
          <t>10</t>
        </is>
      </c>
      <c r="I230" s="17" t="inlineStr">
        <is>
          <t>14</t>
        </is>
      </c>
      <c r="J230" s="17" t="inlineStr">
        <is>
          <t>7</t>
        </is>
      </c>
      <c r="K230" s="17" t="inlineStr">
        <is>
          <t>Y</t>
        </is>
      </c>
      <c r="M230" s="15" t="inlineStr">
        <is>
          <t>INSERT INTO</t>
        </is>
      </c>
      <c r="N230" s="15" t="inlineStr">
        <is>
          <t>MNG_DEAL_LIST_DSP_TBL</t>
        </is>
      </c>
      <c r="O230" s="15" t="inlineStr">
        <is>
          <t>VALUES(</t>
        </is>
      </c>
      <c r="P230" s="15" t="inlineStr">
        <is>
          <t xml:space="preserve">10 , 14 , 7 , 'Y' </t>
        </is>
      </c>
      <c r="Q230" s="15" t="inlineStr">
        <is>
          <t>);</t>
        </is>
      </c>
      <c r="S230" s="18">
        <f>EXACT(TRIM(C230),H230&amp;"")</f>
        <v/>
      </c>
      <c r="T230" s="18">
        <f>EXACT(TRIM(D230),I230&amp;"")</f>
        <v/>
      </c>
      <c r="U230" s="18">
        <f>EXACT(TRIM(E230),J230&amp;"")</f>
        <v/>
      </c>
      <c r="V230" s="18">
        <f>EXACT(TRIM(F230),"'"&amp;K230&amp;"'")</f>
        <v/>
      </c>
      <c r="W230" s="18">
        <f>AND(S230:V230)</f>
        <v/>
      </c>
      <c r="X230" s="19">
        <f>TRIM(IF(S230,"",$S$3&amp;" ")&amp;IF(T230,"",$T$3&amp;" ")&amp;IF(U230,"",$U$3&amp;" ")&amp;IF(V230,"",$V$3&amp;" "))</f>
        <v/>
      </c>
      <c r="Y230" s="18">
        <f>EXACT(SUBSTITUTE(A230," ",""),SUBSTITUTE(M230&amp;N230&amp;O230&amp;P230&amp;Q230," ",""))</f>
        <v/>
      </c>
    </row>
    <row r="231">
      <c r="A231" s="15" t="inlineStr">
        <is>
          <t>INSERT INTO MNG_DEAL_LIST_DSP_TBL VALUES(10 , 14 , 8 , 'Y' );</t>
        </is>
      </c>
      <c r="B231" s="16" t="n"/>
      <c r="C231" s="15" t="inlineStr">
        <is>
          <t xml:space="preserve">10 </t>
        </is>
      </c>
      <c r="D231" s="15" t="inlineStr">
        <is>
          <t xml:space="preserve"> 14 </t>
        </is>
      </c>
      <c r="E231" s="15" t="inlineStr">
        <is>
          <t xml:space="preserve"> 8 </t>
        </is>
      </c>
      <c r="F231" s="15" t="inlineStr">
        <is>
          <t xml:space="preserve"> 'Y' </t>
        </is>
      </c>
      <c r="H231" s="17" t="inlineStr">
        <is>
          <t>10</t>
        </is>
      </c>
      <c r="I231" s="17" t="inlineStr">
        <is>
          <t>14</t>
        </is>
      </c>
      <c r="J231" s="17" t="inlineStr">
        <is>
          <t>8</t>
        </is>
      </c>
      <c r="K231" s="17" t="inlineStr">
        <is>
          <t>Y</t>
        </is>
      </c>
      <c r="M231" s="15" t="inlineStr">
        <is>
          <t>INSERT INTO</t>
        </is>
      </c>
      <c r="N231" s="15" t="inlineStr">
        <is>
          <t>MNG_DEAL_LIST_DSP_TBL</t>
        </is>
      </c>
      <c r="O231" s="15" t="inlineStr">
        <is>
          <t>VALUES(</t>
        </is>
      </c>
      <c r="P231" s="15" t="inlineStr">
        <is>
          <t xml:space="preserve">10 , 14 , 8 , 'Y' </t>
        </is>
      </c>
      <c r="Q231" s="15" t="inlineStr">
        <is>
          <t>);</t>
        </is>
      </c>
      <c r="S231" s="18">
        <f>EXACT(TRIM(C231),H231&amp;"")</f>
        <v/>
      </c>
      <c r="T231" s="18">
        <f>EXACT(TRIM(D231),I231&amp;"")</f>
        <v/>
      </c>
      <c r="U231" s="18">
        <f>EXACT(TRIM(E231),J231&amp;"")</f>
        <v/>
      </c>
      <c r="V231" s="18">
        <f>EXACT(TRIM(F231),"'"&amp;K231&amp;"'")</f>
        <v/>
      </c>
      <c r="W231" s="18">
        <f>AND(S231:V231)</f>
        <v/>
      </c>
      <c r="X231" s="19">
        <f>TRIM(IF(S231,"",$S$3&amp;" ")&amp;IF(T231,"",$T$3&amp;" ")&amp;IF(U231,"",$U$3&amp;" ")&amp;IF(V231,"",$V$3&amp;" "))</f>
        <v/>
      </c>
      <c r="Y231" s="18">
        <f>EXACT(SUBSTITUTE(A231," ",""),SUBSTITUTE(M231&amp;N231&amp;O231&amp;P231&amp;Q231," ",""))</f>
        <v/>
      </c>
    </row>
    <row r="232">
      <c r="A232" s="15" t="inlineStr">
        <is>
          <t>INSERT INTO MNG_DEAL_LIST_DSP_TBL VALUES(10 , 14 , 9 , 'Y' );</t>
        </is>
      </c>
      <c r="B232" s="16" t="n"/>
      <c r="C232" s="15" t="inlineStr">
        <is>
          <t xml:space="preserve">10 </t>
        </is>
      </c>
      <c r="D232" s="15" t="inlineStr">
        <is>
          <t xml:space="preserve"> 14 </t>
        </is>
      </c>
      <c r="E232" s="15" t="inlineStr">
        <is>
          <t xml:space="preserve"> 9 </t>
        </is>
      </c>
      <c r="F232" s="15" t="inlineStr">
        <is>
          <t xml:space="preserve"> 'Y' </t>
        </is>
      </c>
      <c r="H232" s="17" t="inlineStr">
        <is>
          <t>10</t>
        </is>
      </c>
      <c r="I232" s="17" t="inlineStr">
        <is>
          <t>14</t>
        </is>
      </c>
      <c r="J232" s="17" t="inlineStr">
        <is>
          <t>9</t>
        </is>
      </c>
      <c r="K232" s="17" t="inlineStr">
        <is>
          <t>Y</t>
        </is>
      </c>
      <c r="M232" s="15" t="inlineStr">
        <is>
          <t>INSERT INTO</t>
        </is>
      </c>
      <c r="N232" s="15" t="inlineStr">
        <is>
          <t>MNG_DEAL_LIST_DSP_TBL</t>
        </is>
      </c>
      <c r="O232" s="15" t="inlineStr">
        <is>
          <t>VALUES(</t>
        </is>
      </c>
      <c r="P232" s="15" t="inlineStr">
        <is>
          <t xml:space="preserve">10 , 14 , 9 , 'Y' </t>
        </is>
      </c>
      <c r="Q232" s="15" t="inlineStr">
        <is>
          <t>);</t>
        </is>
      </c>
      <c r="S232" s="18">
        <f>EXACT(TRIM(C232),H232&amp;"")</f>
        <v/>
      </c>
      <c r="T232" s="18">
        <f>EXACT(TRIM(D232),I232&amp;"")</f>
        <v/>
      </c>
      <c r="U232" s="18">
        <f>EXACT(TRIM(E232),J232&amp;"")</f>
        <v/>
      </c>
      <c r="V232" s="18">
        <f>EXACT(TRIM(F232),"'"&amp;K232&amp;"'")</f>
        <v/>
      </c>
      <c r="W232" s="18">
        <f>AND(S232:V232)</f>
        <v/>
      </c>
      <c r="X232" s="19">
        <f>TRIM(IF(S232,"",$S$3&amp;" ")&amp;IF(T232,"",$T$3&amp;" ")&amp;IF(U232,"",$U$3&amp;" ")&amp;IF(V232,"",$V$3&amp;" "))</f>
        <v/>
      </c>
      <c r="Y232" s="18">
        <f>EXACT(SUBSTITUTE(A232," ",""),SUBSTITUTE(M232&amp;N232&amp;O232&amp;P232&amp;Q232," ",""))</f>
        <v/>
      </c>
    </row>
    <row r="233">
      <c r="A233" s="15" t="inlineStr">
        <is>
          <t>INSERT INTO MNG_DEAL_LIST_DSP_TBL VALUES(10 , 14 , 10 , 'N' );</t>
        </is>
      </c>
      <c r="B233" s="16" t="n"/>
      <c r="C233" s="15" t="inlineStr">
        <is>
          <t xml:space="preserve">10 </t>
        </is>
      </c>
      <c r="D233" s="15" t="inlineStr">
        <is>
          <t xml:space="preserve"> 14 </t>
        </is>
      </c>
      <c r="E233" s="15" t="inlineStr">
        <is>
          <t xml:space="preserve"> 10 </t>
        </is>
      </c>
      <c r="F233" s="15" t="inlineStr">
        <is>
          <t xml:space="preserve"> 'N' </t>
        </is>
      </c>
      <c r="H233" s="17" t="inlineStr">
        <is>
          <t>10</t>
        </is>
      </c>
      <c r="I233" s="17" t="inlineStr">
        <is>
          <t>14</t>
        </is>
      </c>
      <c r="J233" s="17" t="inlineStr">
        <is>
          <t>10</t>
        </is>
      </c>
      <c r="K233" s="17" t="inlineStr">
        <is>
          <t>N</t>
        </is>
      </c>
      <c r="M233" s="15" t="inlineStr">
        <is>
          <t>INSERT INTO</t>
        </is>
      </c>
      <c r="N233" s="15" t="inlineStr">
        <is>
          <t>MNG_DEAL_LIST_DSP_TBL</t>
        </is>
      </c>
      <c r="O233" s="15" t="inlineStr">
        <is>
          <t>VALUES(</t>
        </is>
      </c>
      <c r="P233" s="15" t="inlineStr">
        <is>
          <t xml:space="preserve">10 , 14 , 10 , 'N' </t>
        </is>
      </c>
      <c r="Q233" s="15" t="inlineStr">
        <is>
          <t>);</t>
        </is>
      </c>
      <c r="S233" s="18">
        <f>EXACT(TRIM(C233),H233&amp;"")</f>
        <v/>
      </c>
      <c r="T233" s="18">
        <f>EXACT(TRIM(D233),I233&amp;"")</f>
        <v/>
      </c>
      <c r="U233" s="18">
        <f>EXACT(TRIM(E233),J233&amp;"")</f>
        <v/>
      </c>
      <c r="V233" s="18">
        <f>EXACT(TRIM(F233),"'"&amp;K233&amp;"'")</f>
        <v/>
      </c>
      <c r="W233" s="18">
        <f>AND(S233:V233)</f>
        <v/>
      </c>
      <c r="X233" s="19">
        <f>TRIM(IF(S233,"",$S$3&amp;" ")&amp;IF(T233,"",$T$3&amp;" ")&amp;IF(U233,"",$U$3&amp;" ")&amp;IF(V233,"",$V$3&amp;" "))</f>
        <v/>
      </c>
      <c r="Y233" s="18">
        <f>EXACT(SUBSTITUTE(A233," ",""),SUBSTITUTE(M233&amp;N233&amp;O233&amp;P233&amp;Q233," ",""))</f>
        <v/>
      </c>
    </row>
    <row r="234">
      <c r="A234" s="15" t="inlineStr">
        <is>
          <t>INSERT INTO MNG_DEAL_LIST_DSP_TBL VALUES(10 , 14 , 11 , 'Y' );</t>
        </is>
      </c>
      <c r="B234" s="16" t="n"/>
      <c r="C234" s="15" t="inlineStr">
        <is>
          <t xml:space="preserve">10 </t>
        </is>
      </c>
      <c r="D234" s="15" t="inlineStr">
        <is>
          <t xml:space="preserve"> 14 </t>
        </is>
      </c>
      <c r="E234" s="15" t="inlineStr">
        <is>
          <t xml:space="preserve"> 11 </t>
        </is>
      </c>
      <c r="F234" s="15" t="inlineStr">
        <is>
          <t xml:space="preserve"> 'Y' </t>
        </is>
      </c>
      <c r="H234" s="17" t="inlineStr">
        <is>
          <t>10</t>
        </is>
      </c>
      <c r="I234" s="17" t="inlineStr">
        <is>
          <t>14</t>
        </is>
      </c>
      <c r="J234" s="17" t="inlineStr">
        <is>
          <t>11</t>
        </is>
      </c>
      <c r="K234" s="17" t="inlineStr">
        <is>
          <t>Y</t>
        </is>
      </c>
      <c r="M234" s="15" t="inlineStr">
        <is>
          <t>INSERT INTO</t>
        </is>
      </c>
      <c r="N234" s="15" t="inlineStr">
        <is>
          <t>MNG_DEAL_LIST_DSP_TBL</t>
        </is>
      </c>
      <c r="O234" s="15" t="inlineStr">
        <is>
          <t>VALUES(</t>
        </is>
      </c>
      <c r="P234" s="15" t="inlineStr">
        <is>
          <t xml:space="preserve">10 , 14 , 11 , 'Y' </t>
        </is>
      </c>
      <c r="Q234" s="15" t="inlineStr">
        <is>
          <t>);</t>
        </is>
      </c>
      <c r="S234" s="18">
        <f>EXACT(TRIM(C234),H234&amp;"")</f>
        <v/>
      </c>
      <c r="T234" s="18">
        <f>EXACT(TRIM(D234),I234&amp;"")</f>
        <v/>
      </c>
      <c r="U234" s="18">
        <f>EXACT(TRIM(E234),J234&amp;"")</f>
        <v/>
      </c>
      <c r="V234" s="18">
        <f>EXACT(TRIM(F234),"'"&amp;K234&amp;"'")</f>
        <v/>
      </c>
      <c r="W234" s="18">
        <f>AND(S234:V234)</f>
        <v/>
      </c>
      <c r="X234" s="19">
        <f>TRIM(IF(S234,"",$S$3&amp;" ")&amp;IF(T234,"",$T$3&amp;" ")&amp;IF(U234,"",$U$3&amp;" ")&amp;IF(V234,"",$V$3&amp;" "))</f>
        <v/>
      </c>
      <c r="Y234" s="18">
        <f>EXACT(SUBSTITUTE(A234," ",""),SUBSTITUTE(M234&amp;N234&amp;O234&amp;P234&amp;Q234," ",""))</f>
        <v/>
      </c>
    </row>
    <row r="235">
      <c r="A235" s="15" t="inlineStr">
        <is>
          <t>INSERT INTO MNG_DEAL_LIST_DSP_TBL VALUES(10 , 14 , 12 , 'Y' );</t>
        </is>
      </c>
      <c r="B235" s="16" t="n"/>
      <c r="C235" s="15" t="inlineStr">
        <is>
          <t xml:space="preserve">10 </t>
        </is>
      </c>
      <c r="D235" s="15" t="inlineStr">
        <is>
          <t xml:space="preserve"> 14 </t>
        </is>
      </c>
      <c r="E235" s="15" t="inlineStr">
        <is>
          <t xml:space="preserve"> 12 </t>
        </is>
      </c>
      <c r="F235" s="15" t="inlineStr">
        <is>
          <t xml:space="preserve"> 'Y' </t>
        </is>
      </c>
      <c r="H235" s="17" t="inlineStr">
        <is>
          <t>10</t>
        </is>
      </c>
      <c r="I235" s="17" t="inlineStr">
        <is>
          <t>14</t>
        </is>
      </c>
      <c r="J235" s="17" t="inlineStr">
        <is>
          <t>12</t>
        </is>
      </c>
      <c r="K235" s="17" t="inlineStr">
        <is>
          <t>Y</t>
        </is>
      </c>
      <c r="M235" s="15" t="inlineStr">
        <is>
          <t>INSERT INTO</t>
        </is>
      </c>
      <c r="N235" s="15" t="inlineStr">
        <is>
          <t>MNG_DEAL_LIST_DSP_TBL</t>
        </is>
      </c>
      <c r="O235" s="15" t="inlineStr">
        <is>
          <t>VALUES(</t>
        </is>
      </c>
      <c r="P235" s="15" t="inlineStr">
        <is>
          <t xml:space="preserve">10 , 14 , 12 , 'Y' </t>
        </is>
      </c>
      <c r="Q235" s="15" t="inlineStr">
        <is>
          <t>);</t>
        </is>
      </c>
      <c r="S235" s="18">
        <f>EXACT(TRIM(C235),H235&amp;"")</f>
        <v/>
      </c>
      <c r="T235" s="18">
        <f>EXACT(TRIM(D235),I235&amp;"")</f>
        <v/>
      </c>
      <c r="U235" s="18">
        <f>EXACT(TRIM(E235),J235&amp;"")</f>
        <v/>
      </c>
      <c r="V235" s="18">
        <f>EXACT(TRIM(F235),"'"&amp;K235&amp;"'")</f>
        <v/>
      </c>
      <c r="W235" s="18">
        <f>AND(S235:V235)</f>
        <v/>
      </c>
      <c r="X235" s="19">
        <f>TRIM(IF(S235,"",$S$3&amp;" ")&amp;IF(T235,"",$T$3&amp;" ")&amp;IF(U235,"",$U$3&amp;" ")&amp;IF(V235,"",$V$3&amp;" "))</f>
        <v/>
      </c>
      <c r="Y235" s="18">
        <f>EXACT(SUBSTITUTE(A235," ",""),SUBSTITUTE(M235&amp;N235&amp;O235&amp;P235&amp;Q235," ",""))</f>
        <v/>
      </c>
    </row>
    <row r="236">
      <c r="A236" s="15" t="inlineStr">
        <is>
          <t>INSERT INTO MNG_DEAL_LIST_DSP_TBL VALUES(10 , 14 , 13 , 'Y' );</t>
        </is>
      </c>
      <c r="B236" s="16" t="n"/>
      <c r="C236" s="15" t="inlineStr">
        <is>
          <t xml:space="preserve">10 </t>
        </is>
      </c>
      <c r="D236" s="15" t="inlineStr">
        <is>
          <t xml:space="preserve"> 14 </t>
        </is>
      </c>
      <c r="E236" s="15" t="inlineStr">
        <is>
          <t xml:space="preserve"> 13 </t>
        </is>
      </c>
      <c r="F236" s="15" t="inlineStr">
        <is>
          <t xml:space="preserve"> 'Y' </t>
        </is>
      </c>
      <c r="H236" s="17" t="inlineStr">
        <is>
          <t>10</t>
        </is>
      </c>
      <c r="I236" s="17" t="inlineStr">
        <is>
          <t>14</t>
        </is>
      </c>
      <c r="J236" s="17" t="inlineStr">
        <is>
          <t>13</t>
        </is>
      </c>
      <c r="K236" s="17" t="inlineStr">
        <is>
          <t>Y</t>
        </is>
      </c>
      <c r="M236" s="15" t="inlineStr">
        <is>
          <t>INSERT INTO</t>
        </is>
      </c>
      <c r="N236" s="15" t="inlineStr">
        <is>
          <t>MNG_DEAL_LIST_DSP_TBL</t>
        </is>
      </c>
      <c r="O236" s="15" t="inlineStr">
        <is>
          <t>VALUES(</t>
        </is>
      </c>
      <c r="P236" s="15" t="inlineStr">
        <is>
          <t xml:space="preserve">10 , 14 , 13 , 'Y' </t>
        </is>
      </c>
      <c r="Q236" s="15" t="inlineStr">
        <is>
          <t>);</t>
        </is>
      </c>
      <c r="S236" s="18">
        <f>EXACT(TRIM(C236),H236&amp;"")</f>
        <v/>
      </c>
      <c r="T236" s="18">
        <f>EXACT(TRIM(D236),I236&amp;"")</f>
        <v/>
      </c>
      <c r="U236" s="18">
        <f>EXACT(TRIM(E236),J236&amp;"")</f>
        <v/>
      </c>
      <c r="V236" s="18">
        <f>EXACT(TRIM(F236),"'"&amp;K236&amp;"'")</f>
        <v/>
      </c>
      <c r="W236" s="18">
        <f>AND(S236:V236)</f>
        <v/>
      </c>
      <c r="X236" s="19">
        <f>TRIM(IF(S236,"",$S$3&amp;" ")&amp;IF(T236,"",$T$3&amp;" ")&amp;IF(U236,"",$U$3&amp;" ")&amp;IF(V236,"",$V$3&amp;" "))</f>
        <v/>
      </c>
      <c r="Y236" s="18">
        <f>EXACT(SUBSTITUTE(A236," ",""),SUBSTITUTE(M236&amp;N236&amp;O236&amp;P236&amp;Q236," ",""))</f>
        <v/>
      </c>
    </row>
    <row r="237">
      <c r="A237" s="15" t="inlineStr">
        <is>
          <t>INSERT INTO MNG_DEAL_LIST_DSP_TBL VALUES(10 , 14 , 14 , 'Y' );</t>
        </is>
      </c>
      <c r="B237" s="16" t="n"/>
      <c r="C237" s="15" t="inlineStr">
        <is>
          <t xml:space="preserve">10 </t>
        </is>
      </c>
      <c r="D237" s="15" t="inlineStr">
        <is>
          <t xml:space="preserve"> 14 </t>
        </is>
      </c>
      <c r="E237" s="15" t="inlineStr">
        <is>
          <t xml:space="preserve"> 14 </t>
        </is>
      </c>
      <c r="F237" s="15" t="inlineStr">
        <is>
          <t xml:space="preserve"> 'Y' </t>
        </is>
      </c>
      <c r="H237" s="17" t="inlineStr">
        <is>
          <t>10</t>
        </is>
      </c>
      <c r="I237" s="17" t="inlineStr">
        <is>
          <t>14</t>
        </is>
      </c>
      <c r="J237" s="17" t="inlineStr">
        <is>
          <t>14</t>
        </is>
      </c>
      <c r="K237" s="17" t="inlineStr">
        <is>
          <t>Y</t>
        </is>
      </c>
      <c r="M237" s="15" t="inlineStr">
        <is>
          <t>INSERT INTO</t>
        </is>
      </c>
      <c r="N237" s="15" t="inlineStr">
        <is>
          <t>MNG_DEAL_LIST_DSP_TBL</t>
        </is>
      </c>
      <c r="O237" s="15" t="inlineStr">
        <is>
          <t>VALUES(</t>
        </is>
      </c>
      <c r="P237" s="15" t="inlineStr">
        <is>
          <t xml:space="preserve">10 , 14 , 14 , 'Y' </t>
        </is>
      </c>
      <c r="Q237" s="15" t="inlineStr">
        <is>
          <t>);</t>
        </is>
      </c>
      <c r="S237" s="18">
        <f>EXACT(TRIM(C237),H237&amp;"")</f>
        <v/>
      </c>
      <c r="T237" s="18">
        <f>EXACT(TRIM(D237),I237&amp;"")</f>
        <v/>
      </c>
      <c r="U237" s="18">
        <f>EXACT(TRIM(E237),J237&amp;"")</f>
        <v/>
      </c>
      <c r="V237" s="18">
        <f>EXACT(TRIM(F237),"'"&amp;K237&amp;"'")</f>
        <v/>
      </c>
      <c r="W237" s="18">
        <f>AND(S237:V237)</f>
        <v/>
      </c>
      <c r="X237" s="19">
        <f>TRIM(IF(S237,"",$S$3&amp;" ")&amp;IF(T237,"",$T$3&amp;" ")&amp;IF(U237,"",$U$3&amp;" ")&amp;IF(V237,"",$V$3&amp;" "))</f>
        <v/>
      </c>
      <c r="Y237" s="18">
        <f>EXACT(SUBSTITUTE(A237," ",""),SUBSTITUTE(M237&amp;N237&amp;O237&amp;P237&amp;Q237," ",""))</f>
        <v/>
      </c>
    </row>
    <row r="238">
      <c r="A238" s="15" t="inlineStr">
        <is>
          <t>INSERT INTO MNG_DEAL_LIST_DSP_TBL VALUES(10 , 14 , 15 , 'Y' );</t>
        </is>
      </c>
      <c r="B238" s="16" t="n"/>
      <c r="C238" s="15" t="inlineStr">
        <is>
          <t xml:space="preserve">10 </t>
        </is>
      </c>
      <c r="D238" s="15" t="inlineStr">
        <is>
          <t xml:space="preserve"> 14 </t>
        </is>
      </c>
      <c r="E238" s="15" t="inlineStr">
        <is>
          <t xml:space="preserve"> 15 </t>
        </is>
      </c>
      <c r="F238" s="15" t="inlineStr">
        <is>
          <t xml:space="preserve"> 'Y' </t>
        </is>
      </c>
      <c r="H238" s="17" t="inlineStr">
        <is>
          <t>10</t>
        </is>
      </c>
      <c r="I238" s="17" t="inlineStr">
        <is>
          <t>14</t>
        </is>
      </c>
      <c r="J238" s="17" t="inlineStr">
        <is>
          <t>15</t>
        </is>
      </c>
      <c r="K238" s="17" t="inlineStr">
        <is>
          <t>Y</t>
        </is>
      </c>
      <c r="M238" s="15" t="inlineStr">
        <is>
          <t>INSERT INTO</t>
        </is>
      </c>
      <c r="N238" s="15" t="inlineStr">
        <is>
          <t>MNG_DEAL_LIST_DSP_TBL</t>
        </is>
      </c>
      <c r="O238" s="15" t="inlineStr">
        <is>
          <t>VALUES(</t>
        </is>
      </c>
      <c r="P238" s="15" t="inlineStr">
        <is>
          <t xml:space="preserve">10 , 14 , 15 , 'Y' </t>
        </is>
      </c>
      <c r="Q238" s="15" t="inlineStr">
        <is>
          <t>);</t>
        </is>
      </c>
      <c r="S238" s="18">
        <f>EXACT(TRIM(C238),H238&amp;"")</f>
        <v/>
      </c>
      <c r="T238" s="18">
        <f>EXACT(TRIM(D238),I238&amp;"")</f>
        <v/>
      </c>
      <c r="U238" s="18">
        <f>EXACT(TRIM(E238),J238&amp;"")</f>
        <v/>
      </c>
      <c r="V238" s="18">
        <f>EXACT(TRIM(F238),"'"&amp;K238&amp;"'")</f>
        <v/>
      </c>
      <c r="W238" s="18">
        <f>AND(S238:V238)</f>
        <v/>
      </c>
      <c r="X238" s="19">
        <f>TRIM(IF(S238,"",$S$3&amp;" ")&amp;IF(T238,"",$T$3&amp;" ")&amp;IF(U238,"",$U$3&amp;" ")&amp;IF(V238,"",$V$3&amp;" "))</f>
        <v/>
      </c>
      <c r="Y238" s="18">
        <f>EXACT(SUBSTITUTE(A238," ",""),SUBSTITUTE(M238&amp;N238&amp;O238&amp;P238&amp;Q238," ",""))</f>
        <v/>
      </c>
    </row>
    <row r="239">
      <c r="A239" s="15" t="inlineStr">
        <is>
          <t>INSERT INTO MNG_DEAL_LIST_DSP_TBL VALUES(10 , 14 , 16 , 'Y' );</t>
        </is>
      </c>
      <c r="B239" s="16" t="n"/>
      <c r="C239" s="15" t="inlineStr">
        <is>
          <t xml:space="preserve">10 </t>
        </is>
      </c>
      <c r="D239" s="15" t="inlineStr">
        <is>
          <t xml:space="preserve"> 14 </t>
        </is>
      </c>
      <c r="E239" s="15" t="inlineStr">
        <is>
          <t xml:space="preserve"> 16 </t>
        </is>
      </c>
      <c r="F239" s="15" t="inlineStr">
        <is>
          <t xml:space="preserve"> 'Y' </t>
        </is>
      </c>
      <c r="H239" s="17" t="inlineStr">
        <is>
          <t>10</t>
        </is>
      </c>
      <c r="I239" s="17" t="inlineStr">
        <is>
          <t>14</t>
        </is>
      </c>
      <c r="J239" s="17" t="inlineStr">
        <is>
          <t>16</t>
        </is>
      </c>
      <c r="K239" s="17" t="inlineStr">
        <is>
          <t>Y</t>
        </is>
      </c>
      <c r="M239" s="15" t="inlineStr">
        <is>
          <t>INSERT INTO</t>
        </is>
      </c>
      <c r="N239" s="15" t="inlineStr">
        <is>
          <t>MNG_DEAL_LIST_DSP_TBL</t>
        </is>
      </c>
      <c r="O239" s="15" t="inlineStr">
        <is>
          <t>VALUES(</t>
        </is>
      </c>
      <c r="P239" s="15" t="inlineStr">
        <is>
          <t xml:space="preserve">10 , 14 , 16 , 'Y' </t>
        </is>
      </c>
      <c r="Q239" s="15" t="inlineStr">
        <is>
          <t>);</t>
        </is>
      </c>
      <c r="S239" s="18">
        <f>EXACT(TRIM(C239),H239&amp;"")</f>
        <v/>
      </c>
      <c r="T239" s="18">
        <f>EXACT(TRIM(D239),I239&amp;"")</f>
        <v/>
      </c>
      <c r="U239" s="18">
        <f>EXACT(TRIM(E239),J239&amp;"")</f>
        <v/>
      </c>
      <c r="V239" s="18">
        <f>EXACT(TRIM(F239),"'"&amp;K239&amp;"'")</f>
        <v/>
      </c>
      <c r="W239" s="18">
        <f>AND(S239:V239)</f>
        <v/>
      </c>
      <c r="X239" s="19">
        <f>TRIM(IF(S239,"",$S$3&amp;" ")&amp;IF(T239,"",$T$3&amp;" ")&amp;IF(U239,"",$U$3&amp;" ")&amp;IF(V239,"",$V$3&amp;" "))</f>
        <v/>
      </c>
      <c r="Y239" s="18">
        <f>EXACT(SUBSTITUTE(A239," ",""),SUBSTITUTE(M239&amp;N239&amp;O239&amp;P239&amp;Q239," ",""))</f>
        <v/>
      </c>
    </row>
    <row r="240">
      <c r="A240" s="15" t="inlineStr">
        <is>
          <t>INSERT INTO MNG_DEAL_LIST_DSP_TBL VALUES(10 , 15 , 1 , 'Y' );</t>
        </is>
      </c>
      <c r="B240" s="16" t="n"/>
      <c r="C240" s="15" t="inlineStr">
        <is>
          <t xml:space="preserve">10 </t>
        </is>
      </c>
      <c r="D240" s="15" t="inlineStr">
        <is>
          <t xml:space="preserve"> 15 </t>
        </is>
      </c>
      <c r="E240" s="15" t="inlineStr">
        <is>
          <t xml:space="preserve"> 1 </t>
        </is>
      </c>
      <c r="F240" s="15" t="inlineStr">
        <is>
          <t xml:space="preserve"> 'Y' </t>
        </is>
      </c>
      <c r="H240" s="17" t="inlineStr">
        <is>
          <t>10</t>
        </is>
      </c>
      <c r="I240" s="17" t="inlineStr">
        <is>
          <t>15</t>
        </is>
      </c>
      <c r="J240" s="17" t="inlineStr">
        <is>
          <t>1</t>
        </is>
      </c>
      <c r="K240" s="17" t="inlineStr">
        <is>
          <t>Y</t>
        </is>
      </c>
      <c r="M240" s="15" t="inlineStr">
        <is>
          <t>INSERT INTO</t>
        </is>
      </c>
      <c r="N240" s="15" t="inlineStr">
        <is>
          <t>MNG_DEAL_LIST_DSP_TBL</t>
        </is>
      </c>
      <c r="O240" s="15" t="inlineStr">
        <is>
          <t>VALUES(</t>
        </is>
      </c>
      <c r="P240" s="15" t="inlineStr">
        <is>
          <t xml:space="preserve">10 , 15 , 1 , 'Y' </t>
        </is>
      </c>
      <c r="Q240" s="15" t="inlineStr">
        <is>
          <t>);</t>
        </is>
      </c>
      <c r="S240" s="18">
        <f>EXACT(TRIM(C240),H240&amp;"")</f>
        <v/>
      </c>
      <c r="T240" s="18">
        <f>EXACT(TRIM(D240),I240&amp;"")</f>
        <v/>
      </c>
      <c r="U240" s="18">
        <f>EXACT(TRIM(E240),J240&amp;"")</f>
        <v/>
      </c>
      <c r="V240" s="18">
        <f>EXACT(TRIM(F240),"'"&amp;K240&amp;"'")</f>
        <v/>
      </c>
      <c r="W240" s="18">
        <f>AND(S240:V240)</f>
        <v/>
      </c>
      <c r="X240" s="19">
        <f>TRIM(IF(S240,"",$S$3&amp;" ")&amp;IF(T240,"",$T$3&amp;" ")&amp;IF(U240,"",$U$3&amp;" ")&amp;IF(V240,"",$V$3&amp;" "))</f>
        <v/>
      </c>
      <c r="Y240" s="18">
        <f>EXACT(SUBSTITUTE(A240," ",""),SUBSTITUTE(M240&amp;N240&amp;O240&amp;P240&amp;Q240," ",""))</f>
        <v/>
      </c>
    </row>
    <row r="241">
      <c r="A241" s="15" t="inlineStr">
        <is>
          <t>INSERT INTO MNG_DEAL_LIST_DSP_TBL VALUES(10 , 15 , 2 , 'N' );</t>
        </is>
      </c>
      <c r="B241" s="16" t="n"/>
      <c r="C241" s="15" t="inlineStr">
        <is>
          <t xml:space="preserve">10 </t>
        </is>
      </c>
      <c r="D241" s="15" t="inlineStr">
        <is>
          <t xml:space="preserve"> 15 </t>
        </is>
      </c>
      <c r="E241" s="15" t="inlineStr">
        <is>
          <t xml:space="preserve"> 2 </t>
        </is>
      </c>
      <c r="F241" s="15" t="inlineStr">
        <is>
          <t xml:space="preserve"> 'N' </t>
        </is>
      </c>
      <c r="H241" s="17" t="inlineStr">
        <is>
          <t>10</t>
        </is>
      </c>
      <c r="I241" s="17" t="inlineStr">
        <is>
          <t>15</t>
        </is>
      </c>
      <c r="J241" s="17" t="inlineStr">
        <is>
          <t>2</t>
        </is>
      </c>
      <c r="K241" s="17" t="inlineStr">
        <is>
          <t>N</t>
        </is>
      </c>
      <c r="M241" s="15" t="inlineStr">
        <is>
          <t>INSERT INTO</t>
        </is>
      </c>
      <c r="N241" s="15" t="inlineStr">
        <is>
          <t>MNG_DEAL_LIST_DSP_TBL</t>
        </is>
      </c>
      <c r="O241" s="15" t="inlineStr">
        <is>
          <t>VALUES(</t>
        </is>
      </c>
      <c r="P241" s="15" t="inlineStr">
        <is>
          <t xml:space="preserve">10 , 15 , 2 , 'N' </t>
        </is>
      </c>
      <c r="Q241" s="15" t="inlineStr">
        <is>
          <t>);</t>
        </is>
      </c>
      <c r="S241" s="18">
        <f>EXACT(TRIM(C241),H241&amp;"")</f>
        <v/>
      </c>
      <c r="T241" s="18">
        <f>EXACT(TRIM(D241),I241&amp;"")</f>
        <v/>
      </c>
      <c r="U241" s="18">
        <f>EXACT(TRIM(E241),J241&amp;"")</f>
        <v/>
      </c>
      <c r="V241" s="18">
        <f>EXACT(TRIM(F241),"'"&amp;K241&amp;"'")</f>
        <v/>
      </c>
      <c r="W241" s="18">
        <f>AND(S241:V241)</f>
        <v/>
      </c>
      <c r="X241" s="19">
        <f>TRIM(IF(S241,"",$S$3&amp;" ")&amp;IF(T241,"",$T$3&amp;" ")&amp;IF(U241,"",$U$3&amp;" ")&amp;IF(V241,"",$V$3&amp;" "))</f>
        <v/>
      </c>
      <c r="Y241" s="18">
        <f>EXACT(SUBSTITUTE(A241," ",""),SUBSTITUTE(M241&amp;N241&amp;O241&amp;P241&amp;Q241," ",""))</f>
        <v/>
      </c>
    </row>
    <row r="242">
      <c r="A242" s="15" t="inlineStr">
        <is>
          <t>INSERT INTO MNG_DEAL_LIST_DSP_TBL VALUES(10 , 15 , 3 , 'N' );</t>
        </is>
      </c>
      <c r="B242" s="16" t="n"/>
      <c r="C242" s="15" t="inlineStr">
        <is>
          <t xml:space="preserve">10 </t>
        </is>
      </c>
      <c r="D242" s="15" t="inlineStr">
        <is>
          <t xml:space="preserve"> 15 </t>
        </is>
      </c>
      <c r="E242" s="15" t="inlineStr">
        <is>
          <t xml:space="preserve"> 3 </t>
        </is>
      </c>
      <c r="F242" s="15" t="inlineStr">
        <is>
          <t xml:space="preserve"> 'N' </t>
        </is>
      </c>
      <c r="H242" s="17" t="inlineStr">
        <is>
          <t>10</t>
        </is>
      </c>
      <c r="I242" s="17" t="inlineStr">
        <is>
          <t>15</t>
        </is>
      </c>
      <c r="J242" s="17" t="inlineStr">
        <is>
          <t>3</t>
        </is>
      </c>
      <c r="K242" s="17" t="inlineStr">
        <is>
          <t>N</t>
        </is>
      </c>
      <c r="M242" s="15" t="inlineStr">
        <is>
          <t>INSERT INTO</t>
        </is>
      </c>
      <c r="N242" s="15" t="inlineStr">
        <is>
          <t>MNG_DEAL_LIST_DSP_TBL</t>
        </is>
      </c>
      <c r="O242" s="15" t="inlineStr">
        <is>
          <t>VALUES(</t>
        </is>
      </c>
      <c r="P242" s="15" t="inlineStr">
        <is>
          <t xml:space="preserve">10 , 15 , 3 , 'N' </t>
        </is>
      </c>
      <c r="Q242" s="15" t="inlineStr">
        <is>
          <t>);</t>
        </is>
      </c>
      <c r="S242" s="18">
        <f>EXACT(TRIM(C242),H242&amp;"")</f>
        <v/>
      </c>
      <c r="T242" s="18">
        <f>EXACT(TRIM(D242),I242&amp;"")</f>
        <v/>
      </c>
      <c r="U242" s="18">
        <f>EXACT(TRIM(E242),J242&amp;"")</f>
        <v/>
      </c>
      <c r="V242" s="18">
        <f>EXACT(TRIM(F242),"'"&amp;K242&amp;"'")</f>
        <v/>
      </c>
      <c r="W242" s="18">
        <f>AND(S242:V242)</f>
        <v/>
      </c>
      <c r="X242" s="19">
        <f>TRIM(IF(S242,"",$S$3&amp;" ")&amp;IF(T242,"",$T$3&amp;" ")&amp;IF(U242,"",$U$3&amp;" ")&amp;IF(V242,"",$V$3&amp;" "))</f>
        <v/>
      </c>
      <c r="Y242" s="18">
        <f>EXACT(SUBSTITUTE(A242," ",""),SUBSTITUTE(M242&amp;N242&amp;O242&amp;P242&amp;Q242," ",""))</f>
        <v/>
      </c>
    </row>
    <row r="243">
      <c r="A243" s="15" t="inlineStr">
        <is>
          <t>INSERT INTO MNG_DEAL_LIST_DSP_TBL VALUES(10 , 15 , 4 , 'Y' );</t>
        </is>
      </c>
      <c r="B243" s="16" t="n"/>
      <c r="C243" s="15" t="inlineStr">
        <is>
          <t xml:space="preserve">10 </t>
        </is>
      </c>
      <c r="D243" s="15" t="inlineStr">
        <is>
          <t xml:space="preserve"> 15 </t>
        </is>
      </c>
      <c r="E243" s="15" t="inlineStr">
        <is>
          <t xml:space="preserve"> 4 </t>
        </is>
      </c>
      <c r="F243" s="15" t="inlineStr">
        <is>
          <t xml:space="preserve"> 'Y' </t>
        </is>
      </c>
      <c r="H243" s="17" t="inlineStr">
        <is>
          <t>10</t>
        </is>
      </c>
      <c r="I243" s="17" t="inlineStr">
        <is>
          <t>15</t>
        </is>
      </c>
      <c r="J243" s="17" t="inlineStr">
        <is>
          <t>4</t>
        </is>
      </c>
      <c r="K243" s="17" t="inlineStr">
        <is>
          <t>Y</t>
        </is>
      </c>
      <c r="M243" s="15" t="inlineStr">
        <is>
          <t>INSERT INTO</t>
        </is>
      </c>
      <c r="N243" s="15" t="inlineStr">
        <is>
          <t>MNG_DEAL_LIST_DSP_TBL</t>
        </is>
      </c>
      <c r="O243" s="15" t="inlineStr">
        <is>
          <t>VALUES(</t>
        </is>
      </c>
      <c r="P243" s="15" t="inlineStr">
        <is>
          <t xml:space="preserve">10 , 15 , 4 , 'Y' </t>
        </is>
      </c>
      <c r="Q243" s="15" t="inlineStr">
        <is>
          <t>);</t>
        </is>
      </c>
      <c r="S243" s="18">
        <f>EXACT(TRIM(C243),H243&amp;"")</f>
        <v/>
      </c>
      <c r="T243" s="18">
        <f>EXACT(TRIM(D243),I243&amp;"")</f>
        <v/>
      </c>
      <c r="U243" s="18">
        <f>EXACT(TRIM(E243),J243&amp;"")</f>
        <v/>
      </c>
      <c r="V243" s="18">
        <f>EXACT(TRIM(F243),"'"&amp;K243&amp;"'")</f>
        <v/>
      </c>
      <c r="W243" s="18">
        <f>AND(S243:V243)</f>
        <v/>
      </c>
      <c r="X243" s="19">
        <f>TRIM(IF(S243,"",$S$3&amp;" ")&amp;IF(T243,"",$T$3&amp;" ")&amp;IF(U243,"",$U$3&amp;" ")&amp;IF(V243,"",$V$3&amp;" "))</f>
        <v/>
      </c>
      <c r="Y243" s="18">
        <f>EXACT(SUBSTITUTE(A243," ",""),SUBSTITUTE(M243&amp;N243&amp;O243&amp;P243&amp;Q243," ",""))</f>
        <v/>
      </c>
    </row>
    <row r="244">
      <c r="A244" s="15" t="inlineStr">
        <is>
          <t>INSERT INTO MNG_DEAL_LIST_DSP_TBL VALUES(10 , 15 , 5 , 'Y' );</t>
        </is>
      </c>
      <c r="B244" s="16" t="n"/>
      <c r="C244" s="15" t="inlineStr">
        <is>
          <t xml:space="preserve">10 </t>
        </is>
      </c>
      <c r="D244" s="15" t="inlineStr">
        <is>
          <t xml:space="preserve"> 15 </t>
        </is>
      </c>
      <c r="E244" s="15" t="inlineStr">
        <is>
          <t xml:space="preserve"> 5 </t>
        </is>
      </c>
      <c r="F244" s="15" t="inlineStr">
        <is>
          <t xml:space="preserve"> 'Y' </t>
        </is>
      </c>
      <c r="H244" s="17" t="inlineStr">
        <is>
          <t>10</t>
        </is>
      </c>
      <c r="I244" s="17" t="inlineStr">
        <is>
          <t>15</t>
        </is>
      </c>
      <c r="J244" s="17" t="inlineStr">
        <is>
          <t>5</t>
        </is>
      </c>
      <c r="K244" s="17" t="inlineStr">
        <is>
          <t>Y</t>
        </is>
      </c>
      <c r="M244" s="15" t="inlineStr">
        <is>
          <t>INSERT INTO</t>
        </is>
      </c>
      <c r="N244" s="15" t="inlineStr">
        <is>
          <t>MNG_DEAL_LIST_DSP_TBL</t>
        </is>
      </c>
      <c r="O244" s="15" t="inlineStr">
        <is>
          <t>VALUES(</t>
        </is>
      </c>
      <c r="P244" s="15" t="inlineStr">
        <is>
          <t xml:space="preserve">10 , 15 , 5 , 'Y' </t>
        </is>
      </c>
      <c r="Q244" s="15" t="inlineStr">
        <is>
          <t>);</t>
        </is>
      </c>
      <c r="S244" s="18">
        <f>EXACT(TRIM(C244),H244&amp;"")</f>
        <v/>
      </c>
      <c r="T244" s="18">
        <f>EXACT(TRIM(D244),I244&amp;"")</f>
        <v/>
      </c>
      <c r="U244" s="18">
        <f>EXACT(TRIM(E244),J244&amp;"")</f>
        <v/>
      </c>
      <c r="V244" s="18">
        <f>EXACT(TRIM(F244),"'"&amp;K244&amp;"'")</f>
        <v/>
      </c>
      <c r="W244" s="18">
        <f>AND(S244:V244)</f>
        <v/>
      </c>
      <c r="X244" s="19">
        <f>TRIM(IF(S244,"",$S$3&amp;" ")&amp;IF(T244,"",$T$3&amp;" ")&amp;IF(U244,"",$U$3&amp;" ")&amp;IF(V244,"",$V$3&amp;" "))</f>
        <v/>
      </c>
      <c r="Y244" s="18">
        <f>EXACT(SUBSTITUTE(A244," ",""),SUBSTITUTE(M244&amp;N244&amp;O244&amp;P244&amp;Q244," ",""))</f>
        <v/>
      </c>
    </row>
    <row r="245">
      <c r="A245" s="15" t="inlineStr">
        <is>
          <t>INSERT INTO MNG_DEAL_LIST_DSP_TBL VALUES(10 , 15 , 6 , 'Y' );</t>
        </is>
      </c>
      <c r="B245" s="16" t="n"/>
      <c r="C245" s="15" t="inlineStr">
        <is>
          <t xml:space="preserve">10 </t>
        </is>
      </c>
      <c r="D245" s="15" t="inlineStr">
        <is>
          <t xml:space="preserve"> 15 </t>
        </is>
      </c>
      <c r="E245" s="15" t="inlineStr">
        <is>
          <t xml:space="preserve"> 6 </t>
        </is>
      </c>
      <c r="F245" s="15" t="inlineStr">
        <is>
          <t xml:space="preserve"> 'Y' </t>
        </is>
      </c>
      <c r="H245" s="17" t="inlineStr">
        <is>
          <t>10</t>
        </is>
      </c>
      <c r="I245" s="17" t="inlineStr">
        <is>
          <t>15</t>
        </is>
      </c>
      <c r="J245" s="17" t="inlineStr">
        <is>
          <t>6</t>
        </is>
      </c>
      <c r="K245" s="17" t="inlineStr">
        <is>
          <t>Y</t>
        </is>
      </c>
      <c r="M245" s="15" t="inlineStr">
        <is>
          <t>INSERT INTO</t>
        </is>
      </c>
      <c r="N245" s="15" t="inlineStr">
        <is>
          <t>MNG_DEAL_LIST_DSP_TBL</t>
        </is>
      </c>
      <c r="O245" s="15" t="inlineStr">
        <is>
          <t>VALUES(</t>
        </is>
      </c>
      <c r="P245" s="15" t="inlineStr">
        <is>
          <t xml:space="preserve">10 , 15 , 6 , 'Y' </t>
        </is>
      </c>
      <c r="Q245" s="15" t="inlineStr">
        <is>
          <t>);</t>
        </is>
      </c>
      <c r="S245" s="18">
        <f>EXACT(TRIM(C245),H245&amp;"")</f>
        <v/>
      </c>
      <c r="T245" s="18">
        <f>EXACT(TRIM(D245),I245&amp;"")</f>
        <v/>
      </c>
      <c r="U245" s="18">
        <f>EXACT(TRIM(E245),J245&amp;"")</f>
        <v/>
      </c>
      <c r="V245" s="18">
        <f>EXACT(TRIM(F245),"'"&amp;K245&amp;"'")</f>
        <v/>
      </c>
      <c r="W245" s="18">
        <f>AND(S245:V245)</f>
        <v/>
      </c>
      <c r="X245" s="19">
        <f>TRIM(IF(S245,"",$S$3&amp;" ")&amp;IF(T245,"",$T$3&amp;" ")&amp;IF(U245,"",$U$3&amp;" ")&amp;IF(V245,"",$V$3&amp;" "))</f>
        <v/>
      </c>
      <c r="Y245" s="18">
        <f>EXACT(SUBSTITUTE(A245," ",""),SUBSTITUTE(M245&amp;N245&amp;O245&amp;P245&amp;Q245," ",""))</f>
        <v/>
      </c>
    </row>
    <row r="246">
      <c r="A246" s="15" t="inlineStr">
        <is>
          <t>INSERT INTO MNG_DEAL_LIST_DSP_TBL VALUES(10 , 15 , 7 , 'Y' );</t>
        </is>
      </c>
      <c r="B246" s="16" t="n"/>
      <c r="C246" s="15" t="inlineStr">
        <is>
          <t xml:space="preserve">10 </t>
        </is>
      </c>
      <c r="D246" s="15" t="inlineStr">
        <is>
          <t xml:space="preserve"> 15 </t>
        </is>
      </c>
      <c r="E246" s="15" t="inlineStr">
        <is>
          <t xml:space="preserve"> 7 </t>
        </is>
      </c>
      <c r="F246" s="15" t="inlineStr">
        <is>
          <t xml:space="preserve"> 'Y' </t>
        </is>
      </c>
      <c r="H246" s="17" t="inlineStr">
        <is>
          <t>10</t>
        </is>
      </c>
      <c r="I246" s="17" t="inlineStr">
        <is>
          <t>15</t>
        </is>
      </c>
      <c r="J246" s="17" t="inlineStr">
        <is>
          <t>7</t>
        </is>
      </c>
      <c r="K246" s="17" t="inlineStr">
        <is>
          <t>Y</t>
        </is>
      </c>
      <c r="M246" s="15" t="inlineStr">
        <is>
          <t>INSERT INTO</t>
        </is>
      </c>
      <c r="N246" s="15" t="inlineStr">
        <is>
          <t>MNG_DEAL_LIST_DSP_TBL</t>
        </is>
      </c>
      <c r="O246" s="15" t="inlineStr">
        <is>
          <t>VALUES(</t>
        </is>
      </c>
      <c r="P246" s="15" t="inlineStr">
        <is>
          <t xml:space="preserve">10 , 15 , 7 , 'Y' </t>
        </is>
      </c>
      <c r="Q246" s="15" t="inlineStr">
        <is>
          <t>);</t>
        </is>
      </c>
      <c r="S246" s="18">
        <f>EXACT(TRIM(C246),H246&amp;"")</f>
        <v/>
      </c>
      <c r="T246" s="18">
        <f>EXACT(TRIM(D246),I246&amp;"")</f>
        <v/>
      </c>
      <c r="U246" s="18">
        <f>EXACT(TRIM(E246),J246&amp;"")</f>
        <v/>
      </c>
      <c r="V246" s="18">
        <f>EXACT(TRIM(F246),"'"&amp;K246&amp;"'")</f>
        <v/>
      </c>
      <c r="W246" s="18">
        <f>AND(S246:V246)</f>
        <v/>
      </c>
      <c r="X246" s="19">
        <f>TRIM(IF(S246,"",$S$3&amp;" ")&amp;IF(T246,"",$T$3&amp;" ")&amp;IF(U246,"",$U$3&amp;" ")&amp;IF(V246,"",$V$3&amp;" "))</f>
        <v/>
      </c>
      <c r="Y246" s="18">
        <f>EXACT(SUBSTITUTE(A246," ",""),SUBSTITUTE(M246&amp;N246&amp;O246&amp;P246&amp;Q246," ",""))</f>
        <v/>
      </c>
    </row>
    <row r="247">
      <c r="A247" s="15" t="inlineStr">
        <is>
          <t>INSERT INTO MNG_DEAL_LIST_DSP_TBL VALUES(10 , 15 , 8 , 'Y' );</t>
        </is>
      </c>
      <c r="B247" s="16" t="n"/>
      <c r="C247" s="15" t="inlineStr">
        <is>
          <t xml:space="preserve">10 </t>
        </is>
      </c>
      <c r="D247" s="15" t="inlineStr">
        <is>
          <t xml:space="preserve"> 15 </t>
        </is>
      </c>
      <c r="E247" s="15" t="inlineStr">
        <is>
          <t xml:space="preserve"> 8 </t>
        </is>
      </c>
      <c r="F247" s="15" t="inlineStr">
        <is>
          <t xml:space="preserve"> 'Y' </t>
        </is>
      </c>
      <c r="H247" s="17" t="inlineStr">
        <is>
          <t>10</t>
        </is>
      </c>
      <c r="I247" s="17" t="inlineStr">
        <is>
          <t>15</t>
        </is>
      </c>
      <c r="J247" s="17" t="inlineStr">
        <is>
          <t>8</t>
        </is>
      </c>
      <c r="K247" s="17" t="inlineStr">
        <is>
          <t>Y</t>
        </is>
      </c>
      <c r="M247" s="15" t="inlineStr">
        <is>
          <t>INSERT INTO</t>
        </is>
      </c>
      <c r="N247" s="15" t="inlineStr">
        <is>
          <t>MNG_DEAL_LIST_DSP_TBL</t>
        </is>
      </c>
      <c r="O247" s="15" t="inlineStr">
        <is>
          <t>VALUES(</t>
        </is>
      </c>
      <c r="P247" s="15" t="inlineStr">
        <is>
          <t xml:space="preserve">10 , 15 , 8 , 'Y' </t>
        </is>
      </c>
      <c r="Q247" s="15" t="inlineStr">
        <is>
          <t>);</t>
        </is>
      </c>
      <c r="S247" s="18">
        <f>EXACT(TRIM(C247),H247&amp;"")</f>
        <v/>
      </c>
      <c r="T247" s="18">
        <f>EXACT(TRIM(D247),I247&amp;"")</f>
        <v/>
      </c>
      <c r="U247" s="18">
        <f>EXACT(TRIM(E247),J247&amp;"")</f>
        <v/>
      </c>
      <c r="V247" s="18">
        <f>EXACT(TRIM(F247),"'"&amp;K247&amp;"'")</f>
        <v/>
      </c>
      <c r="W247" s="18">
        <f>AND(S247:V247)</f>
        <v/>
      </c>
      <c r="X247" s="19">
        <f>TRIM(IF(S247,"",$S$3&amp;" ")&amp;IF(T247,"",$T$3&amp;" ")&amp;IF(U247,"",$U$3&amp;" ")&amp;IF(V247,"",$V$3&amp;" "))</f>
        <v/>
      </c>
      <c r="Y247" s="18">
        <f>EXACT(SUBSTITUTE(A247," ",""),SUBSTITUTE(M247&amp;N247&amp;O247&amp;P247&amp;Q247," ",""))</f>
        <v/>
      </c>
    </row>
    <row r="248">
      <c r="A248" s="15" t="inlineStr">
        <is>
          <t>INSERT INTO MNG_DEAL_LIST_DSP_TBL VALUES(10 , 15 , 9 , 'Y' );</t>
        </is>
      </c>
      <c r="B248" s="16" t="n"/>
      <c r="C248" s="15" t="inlineStr">
        <is>
          <t xml:space="preserve">10 </t>
        </is>
      </c>
      <c r="D248" s="15" t="inlineStr">
        <is>
          <t xml:space="preserve"> 15 </t>
        </is>
      </c>
      <c r="E248" s="15" t="inlineStr">
        <is>
          <t xml:space="preserve"> 9 </t>
        </is>
      </c>
      <c r="F248" s="15" t="inlineStr">
        <is>
          <t xml:space="preserve"> 'Y' </t>
        </is>
      </c>
      <c r="H248" s="17" t="inlineStr">
        <is>
          <t>10</t>
        </is>
      </c>
      <c r="I248" s="17" t="inlineStr">
        <is>
          <t>15</t>
        </is>
      </c>
      <c r="J248" s="17" t="inlineStr">
        <is>
          <t>9</t>
        </is>
      </c>
      <c r="K248" s="17" t="inlineStr">
        <is>
          <t>Y</t>
        </is>
      </c>
      <c r="M248" s="15" t="inlineStr">
        <is>
          <t>INSERT INTO</t>
        </is>
      </c>
      <c r="N248" s="15" t="inlineStr">
        <is>
          <t>MNG_DEAL_LIST_DSP_TBL</t>
        </is>
      </c>
      <c r="O248" s="15" t="inlineStr">
        <is>
          <t>VALUES(</t>
        </is>
      </c>
      <c r="P248" s="15" t="inlineStr">
        <is>
          <t xml:space="preserve">10 , 15 , 9 , 'Y' </t>
        </is>
      </c>
      <c r="Q248" s="15" t="inlineStr">
        <is>
          <t>);</t>
        </is>
      </c>
      <c r="S248" s="18">
        <f>EXACT(TRIM(C248),H248&amp;"")</f>
        <v/>
      </c>
      <c r="T248" s="18">
        <f>EXACT(TRIM(D248),I248&amp;"")</f>
        <v/>
      </c>
      <c r="U248" s="18">
        <f>EXACT(TRIM(E248),J248&amp;"")</f>
        <v/>
      </c>
      <c r="V248" s="18">
        <f>EXACT(TRIM(F248),"'"&amp;K248&amp;"'")</f>
        <v/>
      </c>
      <c r="W248" s="18">
        <f>AND(S248:V248)</f>
        <v/>
      </c>
      <c r="X248" s="19">
        <f>TRIM(IF(S248,"",$S$3&amp;" ")&amp;IF(T248,"",$T$3&amp;" ")&amp;IF(U248,"",$U$3&amp;" ")&amp;IF(V248,"",$V$3&amp;" "))</f>
        <v/>
      </c>
      <c r="Y248" s="18">
        <f>EXACT(SUBSTITUTE(A248," ",""),SUBSTITUTE(M248&amp;N248&amp;O248&amp;P248&amp;Q248," ",""))</f>
        <v/>
      </c>
    </row>
    <row r="249">
      <c r="A249" s="15" t="inlineStr">
        <is>
          <t>INSERT INTO MNG_DEAL_LIST_DSP_TBL VALUES(10 , 15 , 10 , 'N' );</t>
        </is>
      </c>
      <c r="B249" s="16" t="n"/>
      <c r="C249" s="15" t="inlineStr">
        <is>
          <t xml:space="preserve">10 </t>
        </is>
      </c>
      <c r="D249" s="15" t="inlineStr">
        <is>
          <t xml:space="preserve"> 15 </t>
        </is>
      </c>
      <c r="E249" s="15" t="inlineStr">
        <is>
          <t xml:space="preserve"> 10 </t>
        </is>
      </c>
      <c r="F249" s="15" t="inlineStr">
        <is>
          <t xml:space="preserve"> 'N' </t>
        </is>
      </c>
      <c r="H249" s="17" t="inlineStr">
        <is>
          <t>10</t>
        </is>
      </c>
      <c r="I249" s="17" t="inlineStr">
        <is>
          <t>15</t>
        </is>
      </c>
      <c r="J249" s="17" t="inlineStr">
        <is>
          <t>10</t>
        </is>
      </c>
      <c r="K249" s="17" t="inlineStr">
        <is>
          <t>N</t>
        </is>
      </c>
      <c r="M249" s="15" t="inlineStr">
        <is>
          <t>INSERT INTO</t>
        </is>
      </c>
      <c r="N249" s="15" t="inlineStr">
        <is>
          <t>MNG_DEAL_LIST_DSP_TBL</t>
        </is>
      </c>
      <c r="O249" s="15" t="inlineStr">
        <is>
          <t>VALUES(</t>
        </is>
      </c>
      <c r="P249" s="15" t="inlineStr">
        <is>
          <t xml:space="preserve">10 , 15 , 10 , 'N' </t>
        </is>
      </c>
      <c r="Q249" s="15" t="inlineStr">
        <is>
          <t>);</t>
        </is>
      </c>
      <c r="S249" s="18">
        <f>EXACT(TRIM(C249),H249&amp;"")</f>
        <v/>
      </c>
      <c r="T249" s="18">
        <f>EXACT(TRIM(D249),I249&amp;"")</f>
        <v/>
      </c>
      <c r="U249" s="18">
        <f>EXACT(TRIM(E249),J249&amp;"")</f>
        <v/>
      </c>
      <c r="V249" s="18">
        <f>EXACT(TRIM(F249),"'"&amp;K249&amp;"'")</f>
        <v/>
      </c>
      <c r="W249" s="18">
        <f>AND(S249:V249)</f>
        <v/>
      </c>
      <c r="X249" s="19">
        <f>TRIM(IF(S249,"",$S$3&amp;" ")&amp;IF(T249,"",$T$3&amp;" ")&amp;IF(U249,"",$U$3&amp;" ")&amp;IF(V249,"",$V$3&amp;" "))</f>
        <v/>
      </c>
      <c r="Y249" s="18">
        <f>EXACT(SUBSTITUTE(A249," ",""),SUBSTITUTE(M249&amp;N249&amp;O249&amp;P249&amp;Q249," ",""))</f>
        <v/>
      </c>
    </row>
    <row r="250">
      <c r="A250" s="15" t="inlineStr">
        <is>
          <t>INSERT INTO MNG_DEAL_LIST_DSP_TBL VALUES(10 , 15 , 11 , 'Y' );</t>
        </is>
      </c>
      <c r="B250" s="16" t="n"/>
      <c r="C250" s="15" t="inlineStr">
        <is>
          <t xml:space="preserve">10 </t>
        </is>
      </c>
      <c r="D250" s="15" t="inlineStr">
        <is>
          <t xml:space="preserve"> 15 </t>
        </is>
      </c>
      <c r="E250" s="15" t="inlineStr">
        <is>
          <t xml:space="preserve"> 11 </t>
        </is>
      </c>
      <c r="F250" s="15" t="inlineStr">
        <is>
          <t xml:space="preserve"> 'Y' </t>
        </is>
      </c>
      <c r="H250" s="17" t="inlineStr">
        <is>
          <t>10</t>
        </is>
      </c>
      <c r="I250" s="17" t="inlineStr">
        <is>
          <t>15</t>
        </is>
      </c>
      <c r="J250" s="17" t="inlineStr">
        <is>
          <t>11</t>
        </is>
      </c>
      <c r="K250" s="17" t="inlineStr">
        <is>
          <t>Y</t>
        </is>
      </c>
      <c r="M250" s="15" t="inlineStr">
        <is>
          <t>INSERT INTO</t>
        </is>
      </c>
      <c r="N250" s="15" t="inlineStr">
        <is>
          <t>MNG_DEAL_LIST_DSP_TBL</t>
        </is>
      </c>
      <c r="O250" s="15" t="inlineStr">
        <is>
          <t>VALUES(</t>
        </is>
      </c>
      <c r="P250" s="15" t="inlineStr">
        <is>
          <t xml:space="preserve">10 , 15 , 11 , 'Y' </t>
        </is>
      </c>
      <c r="Q250" s="15" t="inlineStr">
        <is>
          <t>);</t>
        </is>
      </c>
      <c r="S250" s="18">
        <f>EXACT(TRIM(C250),H250&amp;"")</f>
        <v/>
      </c>
      <c r="T250" s="18">
        <f>EXACT(TRIM(D250),I250&amp;"")</f>
        <v/>
      </c>
      <c r="U250" s="18">
        <f>EXACT(TRIM(E250),J250&amp;"")</f>
        <v/>
      </c>
      <c r="V250" s="18">
        <f>EXACT(TRIM(F250),"'"&amp;K250&amp;"'")</f>
        <v/>
      </c>
      <c r="W250" s="18">
        <f>AND(S250:V250)</f>
        <v/>
      </c>
      <c r="X250" s="19">
        <f>TRIM(IF(S250,"",$S$3&amp;" ")&amp;IF(T250,"",$T$3&amp;" ")&amp;IF(U250,"",$U$3&amp;" ")&amp;IF(V250,"",$V$3&amp;" "))</f>
        <v/>
      </c>
      <c r="Y250" s="18">
        <f>EXACT(SUBSTITUTE(A250," ",""),SUBSTITUTE(M250&amp;N250&amp;O250&amp;P250&amp;Q250," ",""))</f>
        <v/>
      </c>
    </row>
    <row r="251">
      <c r="A251" s="15" t="inlineStr">
        <is>
          <t>INSERT INTO MNG_DEAL_LIST_DSP_TBL VALUES(10 , 15 , 12 , 'Y' );</t>
        </is>
      </c>
      <c r="B251" s="16" t="n"/>
      <c r="C251" s="15" t="inlineStr">
        <is>
          <t xml:space="preserve">10 </t>
        </is>
      </c>
      <c r="D251" s="15" t="inlineStr">
        <is>
          <t xml:space="preserve"> 15 </t>
        </is>
      </c>
      <c r="E251" s="15" t="inlineStr">
        <is>
          <t xml:space="preserve"> 12 </t>
        </is>
      </c>
      <c r="F251" s="15" t="inlineStr">
        <is>
          <t xml:space="preserve"> 'Y' </t>
        </is>
      </c>
      <c r="H251" s="17" t="inlineStr">
        <is>
          <t>10</t>
        </is>
      </c>
      <c r="I251" s="17" t="inlineStr">
        <is>
          <t>15</t>
        </is>
      </c>
      <c r="J251" s="17" t="inlineStr">
        <is>
          <t>12</t>
        </is>
      </c>
      <c r="K251" s="17" t="inlineStr">
        <is>
          <t>Y</t>
        </is>
      </c>
      <c r="M251" s="15" t="inlineStr">
        <is>
          <t>INSERT INTO</t>
        </is>
      </c>
      <c r="N251" s="15" t="inlineStr">
        <is>
          <t>MNG_DEAL_LIST_DSP_TBL</t>
        </is>
      </c>
      <c r="O251" s="15" t="inlineStr">
        <is>
          <t>VALUES(</t>
        </is>
      </c>
      <c r="P251" s="15" t="inlineStr">
        <is>
          <t xml:space="preserve">10 , 15 , 12 , 'Y' </t>
        </is>
      </c>
      <c r="Q251" s="15" t="inlineStr">
        <is>
          <t>);</t>
        </is>
      </c>
      <c r="S251" s="18">
        <f>EXACT(TRIM(C251),H251&amp;"")</f>
        <v/>
      </c>
      <c r="T251" s="18">
        <f>EXACT(TRIM(D251),I251&amp;"")</f>
        <v/>
      </c>
      <c r="U251" s="18">
        <f>EXACT(TRIM(E251),J251&amp;"")</f>
        <v/>
      </c>
      <c r="V251" s="18">
        <f>EXACT(TRIM(F251),"'"&amp;K251&amp;"'")</f>
        <v/>
      </c>
      <c r="W251" s="18">
        <f>AND(S251:V251)</f>
        <v/>
      </c>
      <c r="X251" s="19">
        <f>TRIM(IF(S251,"",$S$3&amp;" ")&amp;IF(T251,"",$T$3&amp;" ")&amp;IF(U251,"",$U$3&amp;" ")&amp;IF(V251,"",$V$3&amp;" "))</f>
        <v/>
      </c>
      <c r="Y251" s="18">
        <f>EXACT(SUBSTITUTE(A251," ",""),SUBSTITUTE(M251&amp;N251&amp;O251&amp;P251&amp;Q251," ",""))</f>
        <v/>
      </c>
    </row>
    <row r="252">
      <c r="A252" s="15" t="inlineStr">
        <is>
          <t>INSERT INTO MNG_DEAL_LIST_DSP_TBL VALUES(10 , 15 , 13 , 'Y' );</t>
        </is>
      </c>
      <c r="B252" s="16" t="n"/>
      <c r="C252" s="15" t="inlineStr">
        <is>
          <t xml:space="preserve">10 </t>
        </is>
      </c>
      <c r="D252" s="15" t="inlineStr">
        <is>
          <t xml:space="preserve"> 15 </t>
        </is>
      </c>
      <c r="E252" s="15" t="inlineStr">
        <is>
          <t xml:space="preserve"> 13 </t>
        </is>
      </c>
      <c r="F252" s="15" t="inlineStr">
        <is>
          <t xml:space="preserve"> 'Y' </t>
        </is>
      </c>
      <c r="H252" s="17" t="inlineStr">
        <is>
          <t>10</t>
        </is>
      </c>
      <c r="I252" s="17" t="inlineStr">
        <is>
          <t>15</t>
        </is>
      </c>
      <c r="J252" s="17" t="inlineStr">
        <is>
          <t>13</t>
        </is>
      </c>
      <c r="K252" s="17" t="inlineStr">
        <is>
          <t>Y</t>
        </is>
      </c>
      <c r="M252" s="15" t="inlineStr">
        <is>
          <t>INSERT INTO</t>
        </is>
      </c>
      <c r="N252" s="15" t="inlineStr">
        <is>
          <t>MNG_DEAL_LIST_DSP_TBL</t>
        </is>
      </c>
      <c r="O252" s="15" t="inlineStr">
        <is>
          <t>VALUES(</t>
        </is>
      </c>
      <c r="P252" s="15" t="inlineStr">
        <is>
          <t xml:space="preserve">10 , 15 , 13 , 'Y' </t>
        </is>
      </c>
      <c r="Q252" s="15" t="inlineStr">
        <is>
          <t>);</t>
        </is>
      </c>
      <c r="S252" s="18">
        <f>EXACT(TRIM(C252),H252&amp;"")</f>
        <v/>
      </c>
      <c r="T252" s="18">
        <f>EXACT(TRIM(D252),I252&amp;"")</f>
        <v/>
      </c>
      <c r="U252" s="18">
        <f>EXACT(TRIM(E252),J252&amp;"")</f>
        <v/>
      </c>
      <c r="V252" s="18">
        <f>EXACT(TRIM(F252),"'"&amp;K252&amp;"'")</f>
        <v/>
      </c>
      <c r="W252" s="18">
        <f>AND(S252:V252)</f>
        <v/>
      </c>
      <c r="X252" s="19">
        <f>TRIM(IF(S252,"",$S$3&amp;" ")&amp;IF(T252,"",$T$3&amp;" ")&amp;IF(U252,"",$U$3&amp;" ")&amp;IF(V252,"",$V$3&amp;" "))</f>
        <v/>
      </c>
      <c r="Y252" s="18">
        <f>EXACT(SUBSTITUTE(A252," ",""),SUBSTITUTE(M252&amp;N252&amp;O252&amp;P252&amp;Q252," ",""))</f>
        <v/>
      </c>
    </row>
    <row r="253">
      <c r="A253" s="15" t="inlineStr">
        <is>
          <t>INSERT INTO MNG_DEAL_LIST_DSP_TBL VALUES(10 , 15 , 14 , 'Y' );</t>
        </is>
      </c>
      <c r="B253" s="16" t="n"/>
      <c r="C253" s="15" t="inlineStr">
        <is>
          <t xml:space="preserve">10 </t>
        </is>
      </c>
      <c r="D253" s="15" t="inlineStr">
        <is>
          <t xml:space="preserve"> 15 </t>
        </is>
      </c>
      <c r="E253" s="15" t="inlineStr">
        <is>
          <t xml:space="preserve"> 14 </t>
        </is>
      </c>
      <c r="F253" s="15" t="inlineStr">
        <is>
          <t xml:space="preserve"> 'Y' </t>
        </is>
      </c>
      <c r="H253" s="17" t="inlineStr">
        <is>
          <t>10</t>
        </is>
      </c>
      <c r="I253" s="17" t="inlineStr">
        <is>
          <t>15</t>
        </is>
      </c>
      <c r="J253" s="17" t="inlineStr">
        <is>
          <t>14</t>
        </is>
      </c>
      <c r="K253" s="17" t="inlineStr">
        <is>
          <t>Y</t>
        </is>
      </c>
      <c r="M253" s="15" t="inlineStr">
        <is>
          <t>INSERT INTO</t>
        </is>
      </c>
      <c r="N253" s="15" t="inlineStr">
        <is>
          <t>MNG_DEAL_LIST_DSP_TBL</t>
        </is>
      </c>
      <c r="O253" s="15" t="inlineStr">
        <is>
          <t>VALUES(</t>
        </is>
      </c>
      <c r="P253" s="15" t="inlineStr">
        <is>
          <t xml:space="preserve">10 , 15 , 14 , 'Y' </t>
        </is>
      </c>
      <c r="Q253" s="15" t="inlineStr">
        <is>
          <t>);</t>
        </is>
      </c>
      <c r="S253" s="18">
        <f>EXACT(TRIM(C253),H253&amp;"")</f>
        <v/>
      </c>
      <c r="T253" s="18">
        <f>EXACT(TRIM(D253),I253&amp;"")</f>
        <v/>
      </c>
      <c r="U253" s="18">
        <f>EXACT(TRIM(E253),J253&amp;"")</f>
        <v/>
      </c>
      <c r="V253" s="18">
        <f>EXACT(TRIM(F253),"'"&amp;K253&amp;"'")</f>
        <v/>
      </c>
      <c r="W253" s="18">
        <f>AND(S253:V253)</f>
        <v/>
      </c>
      <c r="X253" s="19">
        <f>TRIM(IF(S253,"",$S$3&amp;" ")&amp;IF(T253,"",$T$3&amp;" ")&amp;IF(U253,"",$U$3&amp;" ")&amp;IF(V253,"",$V$3&amp;" "))</f>
        <v/>
      </c>
      <c r="Y253" s="18">
        <f>EXACT(SUBSTITUTE(A253," ",""),SUBSTITUTE(M253&amp;N253&amp;O253&amp;P253&amp;Q253," ",""))</f>
        <v/>
      </c>
    </row>
    <row r="254">
      <c r="A254" s="15" t="inlineStr">
        <is>
          <t>INSERT INTO MNG_DEAL_LIST_DSP_TBL VALUES(10 , 15 , 15 , 'Y' );</t>
        </is>
      </c>
      <c r="B254" s="16" t="n"/>
      <c r="C254" s="15" t="inlineStr">
        <is>
          <t xml:space="preserve">10 </t>
        </is>
      </c>
      <c r="D254" s="15" t="inlineStr">
        <is>
          <t xml:space="preserve"> 15 </t>
        </is>
      </c>
      <c r="E254" s="15" t="inlineStr">
        <is>
          <t xml:space="preserve"> 15 </t>
        </is>
      </c>
      <c r="F254" s="15" t="inlineStr">
        <is>
          <t xml:space="preserve"> 'Y' </t>
        </is>
      </c>
      <c r="H254" s="17" t="inlineStr">
        <is>
          <t>10</t>
        </is>
      </c>
      <c r="I254" s="17" t="inlineStr">
        <is>
          <t>15</t>
        </is>
      </c>
      <c r="J254" s="17" t="inlineStr">
        <is>
          <t>15</t>
        </is>
      </c>
      <c r="K254" s="17" t="inlineStr">
        <is>
          <t>Y</t>
        </is>
      </c>
      <c r="M254" s="15" t="inlineStr">
        <is>
          <t>INSERT INTO</t>
        </is>
      </c>
      <c r="N254" s="15" t="inlineStr">
        <is>
          <t>MNG_DEAL_LIST_DSP_TBL</t>
        </is>
      </c>
      <c r="O254" s="15" t="inlineStr">
        <is>
          <t>VALUES(</t>
        </is>
      </c>
      <c r="P254" s="15" t="inlineStr">
        <is>
          <t xml:space="preserve">10 , 15 , 15 , 'Y' </t>
        </is>
      </c>
      <c r="Q254" s="15" t="inlineStr">
        <is>
          <t>);</t>
        </is>
      </c>
      <c r="S254" s="18">
        <f>EXACT(TRIM(C254),H254&amp;"")</f>
        <v/>
      </c>
      <c r="T254" s="18">
        <f>EXACT(TRIM(D254),I254&amp;"")</f>
        <v/>
      </c>
      <c r="U254" s="18">
        <f>EXACT(TRIM(E254),J254&amp;"")</f>
        <v/>
      </c>
      <c r="V254" s="18">
        <f>EXACT(TRIM(F254),"'"&amp;K254&amp;"'")</f>
        <v/>
      </c>
      <c r="W254" s="18">
        <f>AND(S254:V254)</f>
        <v/>
      </c>
      <c r="X254" s="19">
        <f>TRIM(IF(S254,"",$S$3&amp;" ")&amp;IF(T254,"",$T$3&amp;" ")&amp;IF(U254,"",$U$3&amp;" ")&amp;IF(V254,"",$V$3&amp;" "))</f>
        <v/>
      </c>
      <c r="Y254" s="18">
        <f>EXACT(SUBSTITUTE(A254," ",""),SUBSTITUTE(M254&amp;N254&amp;O254&amp;P254&amp;Q254," ",""))</f>
        <v/>
      </c>
    </row>
    <row r="255">
      <c r="A255" s="15" t="inlineStr">
        <is>
          <t>INSERT INTO MNG_DEAL_LIST_DSP_TBL VALUES(10 , 15 , 16 , 'Y' );</t>
        </is>
      </c>
      <c r="B255" s="16" t="n"/>
      <c r="C255" s="15" t="inlineStr">
        <is>
          <t xml:space="preserve">10 </t>
        </is>
      </c>
      <c r="D255" s="15" t="inlineStr">
        <is>
          <t xml:space="preserve"> 15 </t>
        </is>
      </c>
      <c r="E255" s="15" t="inlineStr">
        <is>
          <t xml:space="preserve"> 16 </t>
        </is>
      </c>
      <c r="F255" s="15" t="inlineStr">
        <is>
          <t xml:space="preserve"> 'Y' </t>
        </is>
      </c>
      <c r="H255" s="17" t="inlineStr">
        <is>
          <t>10</t>
        </is>
      </c>
      <c r="I255" s="17" t="inlineStr">
        <is>
          <t>15</t>
        </is>
      </c>
      <c r="J255" s="17" t="inlineStr">
        <is>
          <t>16</t>
        </is>
      </c>
      <c r="K255" s="17" t="inlineStr">
        <is>
          <t>Y</t>
        </is>
      </c>
      <c r="M255" s="15" t="inlineStr">
        <is>
          <t>INSERT INTO</t>
        </is>
      </c>
      <c r="N255" s="15" t="inlineStr">
        <is>
          <t>MNG_DEAL_LIST_DSP_TBL</t>
        </is>
      </c>
      <c r="O255" s="15" t="inlineStr">
        <is>
          <t>VALUES(</t>
        </is>
      </c>
      <c r="P255" s="15" t="inlineStr">
        <is>
          <t xml:space="preserve">10 , 15 , 16 , 'Y' </t>
        </is>
      </c>
      <c r="Q255" s="15" t="inlineStr">
        <is>
          <t>);</t>
        </is>
      </c>
      <c r="S255" s="18">
        <f>EXACT(TRIM(C255),H255&amp;"")</f>
        <v/>
      </c>
      <c r="T255" s="18">
        <f>EXACT(TRIM(D255),I255&amp;"")</f>
        <v/>
      </c>
      <c r="U255" s="18">
        <f>EXACT(TRIM(E255),J255&amp;"")</f>
        <v/>
      </c>
      <c r="V255" s="18">
        <f>EXACT(TRIM(F255),"'"&amp;K255&amp;"'")</f>
        <v/>
      </c>
      <c r="W255" s="18">
        <f>AND(S255:V255)</f>
        <v/>
      </c>
      <c r="X255" s="19">
        <f>TRIM(IF(S255,"",$S$3&amp;" ")&amp;IF(T255,"",$T$3&amp;" ")&amp;IF(U255,"",$U$3&amp;" ")&amp;IF(V255,"",$V$3&amp;" "))</f>
        <v/>
      </c>
      <c r="Y255" s="18">
        <f>EXACT(SUBSTITUTE(A255," ",""),SUBSTITUTE(M255&amp;N255&amp;O255&amp;P255&amp;Q255," ",""))</f>
        <v/>
      </c>
    </row>
    <row r="256">
      <c r="A256" s="15" t="inlineStr">
        <is>
          <t>INSERT INTO MNG_DEAL_LIST_DSP_TBL VALUES(11 , 6 , 1 , 'N' );</t>
        </is>
      </c>
      <c r="B256" s="16" t="n"/>
      <c r="C256" s="15" t="inlineStr">
        <is>
          <t xml:space="preserve">11 </t>
        </is>
      </c>
      <c r="D256" s="15" t="inlineStr">
        <is>
          <t xml:space="preserve"> 6 </t>
        </is>
      </c>
      <c r="E256" s="15" t="inlineStr">
        <is>
          <t xml:space="preserve"> 1 </t>
        </is>
      </c>
      <c r="F256" s="15" t="inlineStr">
        <is>
          <t xml:space="preserve"> 'N' </t>
        </is>
      </c>
      <c r="H256" s="17" t="inlineStr">
        <is>
          <t>11</t>
        </is>
      </c>
      <c r="I256" s="17" t="inlineStr">
        <is>
          <t>6</t>
        </is>
      </c>
      <c r="J256" s="17" t="inlineStr">
        <is>
          <t>1</t>
        </is>
      </c>
      <c r="K256" s="17" t="inlineStr">
        <is>
          <t>N</t>
        </is>
      </c>
      <c r="M256" s="15" t="inlineStr">
        <is>
          <t>INSERT INTO</t>
        </is>
      </c>
      <c r="N256" s="15" t="inlineStr">
        <is>
          <t>MNG_DEAL_LIST_DSP_TBL</t>
        </is>
      </c>
      <c r="O256" s="15" t="inlineStr">
        <is>
          <t>VALUES(</t>
        </is>
      </c>
      <c r="P256" s="15" t="inlineStr">
        <is>
          <t xml:space="preserve">11 , 6 , 1 , 'N' </t>
        </is>
      </c>
      <c r="Q256" s="15" t="inlineStr">
        <is>
          <t>);</t>
        </is>
      </c>
      <c r="S256" s="18">
        <f>EXACT(TRIM(C256),H256&amp;"")</f>
        <v/>
      </c>
      <c r="T256" s="18">
        <f>EXACT(TRIM(D256),I256&amp;"")</f>
        <v/>
      </c>
      <c r="U256" s="18">
        <f>EXACT(TRIM(E256),J256&amp;"")</f>
        <v/>
      </c>
      <c r="V256" s="18">
        <f>EXACT(TRIM(F256),"'"&amp;K256&amp;"'")</f>
        <v/>
      </c>
      <c r="W256" s="18">
        <f>AND(S256:V256)</f>
        <v/>
      </c>
      <c r="X256" s="19">
        <f>TRIM(IF(S256,"",$S$3&amp;" ")&amp;IF(T256,"",$T$3&amp;" ")&amp;IF(U256,"",$U$3&amp;" ")&amp;IF(V256,"",$V$3&amp;" "))</f>
        <v/>
      </c>
      <c r="Y256" s="18">
        <f>EXACT(SUBSTITUTE(A256," ",""),SUBSTITUTE(M256&amp;N256&amp;O256&amp;P256&amp;Q256," ",""))</f>
        <v/>
      </c>
    </row>
    <row r="257">
      <c r="A257" s="15" t="inlineStr">
        <is>
          <t>INSERT INTO MNG_DEAL_LIST_DSP_TBL VALUES(11 , 6 , 2 , 'N' );</t>
        </is>
      </c>
      <c r="B257" s="16" t="n"/>
      <c r="C257" s="15" t="inlineStr">
        <is>
          <t xml:space="preserve">11 </t>
        </is>
      </c>
      <c r="D257" s="15" t="inlineStr">
        <is>
          <t xml:space="preserve"> 6 </t>
        </is>
      </c>
      <c r="E257" s="15" t="inlineStr">
        <is>
          <t xml:space="preserve"> 2 </t>
        </is>
      </c>
      <c r="F257" s="15" t="inlineStr">
        <is>
          <t xml:space="preserve"> 'N' </t>
        </is>
      </c>
      <c r="H257" s="17" t="inlineStr">
        <is>
          <t>11</t>
        </is>
      </c>
      <c r="I257" s="17" t="inlineStr">
        <is>
          <t>6</t>
        </is>
      </c>
      <c r="J257" s="17" t="inlineStr">
        <is>
          <t>2</t>
        </is>
      </c>
      <c r="K257" s="17" t="inlineStr">
        <is>
          <t>N</t>
        </is>
      </c>
      <c r="M257" s="15" t="inlineStr">
        <is>
          <t>INSERT INTO</t>
        </is>
      </c>
      <c r="N257" s="15" t="inlineStr">
        <is>
          <t>MNG_DEAL_LIST_DSP_TBL</t>
        </is>
      </c>
      <c r="O257" s="15" t="inlineStr">
        <is>
          <t>VALUES(</t>
        </is>
      </c>
      <c r="P257" s="15" t="inlineStr">
        <is>
          <t xml:space="preserve">11 , 6 , 2 , 'N' </t>
        </is>
      </c>
      <c r="Q257" s="15" t="inlineStr">
        <is>
          <t>);</t>
        </is>
      </c>
      <c r="S257" s="18">
        <f>EXACT(TRIM(C257),H257&amp;"")</f>
        <v/>
      </c>
      <c r="T257" s="18">
        <f>EXACT(TRIM(D257),I257&amp;"")</f>
        <v/>
      </c>
      <c r="U257" s="18">
        <f>EXACT(TRIM(E257),J257&amp;"")</f>
        <v/>
      </c>
      <c r="V257" s="18">
        <f>EXACT(TRIM(F257),"'"&amp;K257&amp;"'")</f>
        <v/>
      </c>
      <c r="W257" s="18">
        <f>AND(S257:V257)</f>
        <v/>
      </c>
      <c r="X257" s="19">
        <f>TRIM(IF(S257,"",$S$3&amp;" ")&amp;IF(T257,"",$T$3&amp;" ")&amp;IF(U257,"",$U$3&amp;" ")&amp;IF(V257,"",$V$3&amp;" "))</f>
        <v/>
      </c>
      <c r="Y257" s="18">
        <f>EXACT(SUBSTITUTE(A257," ",""),SUBSTITUTE(M257&amp;N257&amp;O257&amp;P257&amp;Q257," ",""))</f>
        <v/>
      </c>
    </row>
    <row r="258">
      <c r="A258" s="15" t="inlineStr">
        <is>
          <t>INSERT INTO MNG_DEAL_LIST_DSP_TBL VALUES(11 , 6 , 3 , 'N' );</t>
        </is>
      </c>
      <c r="B258" s="16" t="n"/>
      <c r="C258" s="15" t="inlineStr">
        <is>
          <t xml:space="preserve">11 </t>
        </is>
      </c>
      <c r="D258" s="15" t="inlineStr">
        <is>
          <t xml:space="preserve"> 6 </t>
        </is>
      </c>
      <c r="E258" s="15" t="inlineStr">
        <is>
          <t xml:space="preserve"> 3 </t>
        </is>
      </c>
      <c r="F258" s="15" t="inlineStr">
        <is>
          <t xml:space="preserve"> 'N' </t>
        </is>
      </c>
      <c r="H258" s="17" t="inlineStr">
        <is>
          <t>11</t>
        </is>
      </c>
      <c r="I258" s="17" t="inlineStr">
        <is>
          <t>6</t>
        </is>
      </c>
      <c r="J258" s="17" t="inlineStr">
        <is>
          <t>3</t>
        </is>
      </c>
      <c r="K258" s="17" t="inlineStr">
        <is>
          <t>N</t>
        </is>
      </c>
      <c r="M258" s="15" t="inlineStr">
        <is>
          <t>INSERT INTO</t>
        </is>
      </c>
      <c r="N258" s="15" t="inlineStr">
        <is>
          <t>MNG_DEAL_LIST_DSP_TBL</t>
        </is>
      </c>
      <c r="O258" s="15" t="inlineStr">
        <is>
          <t>VALUES(</t>
        </is>
      </c>
      <c r="P258" s="15" t="inlineStr">
        <is>
          <t xml:space="preserve">11 , 6 , 3 , 'N' </t>
        </is>
      </c>
      <c r="Q258" s="15" t="inlineStr">
        <is>
          <t>);</t>
        </is>
      </c>
      <c r="S258" s="18">
        <f>EXACT(TRIM(C258),H258&amp;"")</f>
        <v/>
      </c>
      <c r="T258" s="18">
        <f>EXACT(TRIM(D258),I258&amp;"")</f>
        <v/>
      </c>
      <c r="U258" s="18">
        <f>EXACT(TRIM(E258),J258&amp;"")</f>
        <v/>
      </c>
      <c r="V258" s="18">
        <f>EXACT(TRIM(F258),"'"&amp;K258&amp;"'")</f>
        <v/>
      </c>
      <c r="W258" s="18">
        <f>AND(S258:V258)</f>
        <v/>
      </c>
      <c r="X258" s="19">
        <f>TRIM(IF(S258,"",$S$3&amp;" ")&amp;IF(T258,"",$T$3&amp;" ")&amp;IF(U258,"",$U$3&amp;" ")&amp;IF(V258,"",$V$3&amp;" "))</f>
        <v/>
      </c>
      <c r="Y258" s="18">
        <f>EXACT(SUBSTITUTE(A258," ",""),SUBSTITUTE(M258&amp;N258&amp;O258&amp;P258&amp;Q258," ",""))</f>
        <v/>
      </c>
    </row>
    <row r="259">
      <c r="A259" s="15" t="inlineStr">
        <is>
          <t>INSERT INTO MNG_DEAL_LIST_DSP_TBL VALUES(11 , 6 , 4 , 'N' );</t>
        </is>
      </c>
      <c r="B259" s="16" t="n"/>
      <c r="C259" s="15" t="inlineStr">
        <is>
          <t xml:space="preserve">11 </t>
        </is>
      </c>
      <c r="D259" s="15" t="inlineStr">
        <is>
          <t xml:space="preserve"> 6 </t>
        </is>
      </c>
      <c r="E259" s="15" t="inlineStr">
        <is>
          <t xml:space="preserve"> 4 </t>
        </is>
      </c>
      <c r="F259" s="15" t="inlineStr">
        <is>
          <t xml:space="preserve"> 'N' </t>
        </is>
      </c>
      <c r="H259" s="17" t="inlineStr">
        <is>
          <t>11</t>
        </is>
      </c>
      <c r="I259" s="17" t="inlineStr">
        <is>
          <t>6</t>
        </is>
      </c>
      <c r="J259" s="17" t="inlineStr">
        <is>
          <t>4</t>
        </is>
      </c>
      <c r="K259" s="17" t="inlineStr">
        <is>
          <t>N</t>
        </is>
      </c>
      <c r="M259" s="15" t="inlineStr">
        <is>
          <t>INSERT INTO</t>
        </is>
      </c>
      <c r="N259" s="15" t="inlineStr">
        <is>
          <t>MNG_DEAL_LIST_DSP_TBL</t>
        </is>
      </c>
      <c r="O259" s="15" t="inlineStr">
        <is>
          <t>VALUES(</t>
        </is>
      </c>
      <c r="P259" s="15" t="inlineStr">
        <is>
          <t xml:space="preserve">11 , 6 , 4 , 'N' </t>
        </is>
      </c>
      <c r="Q259" s="15" t="inlineStr">
        <is>
          <t>);</t>
        </is>
      </c>
      <c r="S259" s="18">
        <f>EXACT(TRIM(C259),H259&amp;"")</f>
        <v/>
      </c>
      <c r="T259" s="18">
        <f>EXACT(TRIM(D259),I259&amp;"")</f>
        <v/>
      </c>
      <c r="U259" s="18">
        <f>EXACT(TRIM(E259),J259&amp;"")</f>
        <v/>
      </c>
      <c r="V259" s="18">
        <f>EXACT(TRIM(F259),"'"&amp;K259&amp;"'")</f>
        <v/>
      </c>
      <c r="W259" s="18">
        <f>AND(S259:V259)</f>
        <v/>
      </c>
      <c r="X259" s="19">
        <f>TRIM(IF(S259,"",$S$3&amp;" ")&amp;IF(T259,"",$T$3&amp;" ")&amp;IF(U259,"",$U$3&amp;" ")&amp;IF(V259,"",$V$3&amp;" "))</f>
        <v/>
      </c>
      <c r="Y259" s="18">
        <f>EXACT(SUBSTITUTE(A259," ",""),SUBSTITUTE(M259&amp;N259&amp;O259&amp;P259&amp;Q259," ",""))</f>
        <v/>
      </c>
    </row>
    <row r="260">
      <c r="A260" s="15" t="inlineStr">
        <is>
          <t>INSERT INTO MNG_DEAL_LIST_DSP_TBL VALUES(11 , 6 , 5 , 'N' );</t>
        </is>
      </c>
      <c r="B260" s="16" t="n"/>
      <c r="C260" s="15" t="inlineStr">
        <is>
          <t xml:space="preserve">11 </t>
        </is>
      </c>
      <c r="D260" s="15" t="inlineStr">
        <is>
          <t xml:space="preserve"> 6 </t>
        </is>
      </c>
      <c r="E260" s="15" t="inlineStr">
        <is>
          <t xml:space="preserve"> 5 </t>
        </is>
      </c>
      <c r="F260" s="15" t="inlineStr">
        <is>
          <t xml:space="preserve"> 'N' </t>
        </is>
      </c>
      <c r="H260" s="17" t="inlineStr">
        <is>
          <t>11</t>
        </is>
      </c>
      <c r="I260" s="17" t="inlineStr">
        <is>
          <t>6</t>
        </is>
      </c>
      <c r="J260" s="17" t="inlineStr">
        <is>
          <t>5</t>
        </is>
      </c>
      <c r="K260" s="17" t="inlineStr">
        <is>
          <t>N</t>
        </is>
      </c>
      <c r="M260" s="15" t="inlineStr">
        <is>
          <t>INSERT INTO</t>
        </is>
      </c>
      <c r="N260" s="15" t="inlineStr">
        <is>
          <t>MNG_DEAL_LIST_DSP_TBL</t>
        </is>
      </c>
      <c r="O260" s="15" t="inlineStr">
        <is>
          <t>VALUES(</t>
        </is>
      </c>
      <c r="P260" s="15" t="inlineStr">
        <is>
          <t xml:space="preserve">11 , 6 , 5 , 'N' </t>
        </is>
      </c>
      <c r="Q260" s="15" t="inlineStr">
        <is>
          <t>);</t>
        </is>
      </c>
      <c r="S260" s="18">
        <f>EXACT(TRIM(C260),H260&amp;"")</f>
        <v/>
      </c>
      <c r="T260" s="18">
        <f>EXACT(TRIM(D260),I260&amp;"")</f>
        <v/>
      </c>
      <c r="U260" s="18">
        <f>EXACT(TRIM(E260),J260&amp;"")</f>
        <v/>
      </c>
      <c r="V260" s="18">
        <f>EXACT(TRIM(F260),"'"&amp;K260&amp;"'")</f>
        <v/>
      </c>
      <c r="W260" s="18">
        <f>AND(S260:V260)</f>
        <v/>
      </c>
      <c r="X260" s="19">
        <f>TRIM(IF(S260,"",$S$3&amp;" ")&amp;IF(T260,"",$T$3&amp;" ")&amp;IF(U260,"",$U$3&amp;" ")&amp;IF(V260,"",$V$3&amp;" "))</f>
        <v/>
      </c>
      <c r="Y260" s="18">
        <f>EXACT(SUBSTITUTE(A260," ",""),SUBSTITUTE(M260&amp;N260&amp;O260&amp;P260&amp;Q260," ",""))</f>
        <v/>
      </c>
    </row>
    <row r="261">
      <c r="A261" s="15" t="inlineStr">
        <is>
          <t>INSERT INTO MNG_DEAL_LIST_DSP_TBL VALUES(11 , 6 , 6 , 'N' );</t>
        </is>
      </c>
      <c r="B261" s="16" t="n"/>
      <c r="C261" s="15" t="inlineStr">
        <is>
          <t xml:space="preserve">11 </t>
        </is>
      </c>
      <c r="D261" s="15" t="inlineStr">
        <is>
          <t xml:space="preserve"> 6 </t>
        </is>
      </c>
      <c r="E261" s="15" t="inlineStr">
        <is>
          <t xml:space="preserve"> 6 </t>
        </is>
      </c>
      <c r="F261" s="15" t="inlineStr">
        <is>
          <t xml:space="preserve"> 'N' </t>
        </is>
      </c>
      <c r="H261" s="17" t="inlineStr">
        <is>
          <t>11</t>
        </is>
      </c>
      <c r="I261" s="17" t="inlineStr">
        <is>
          <t>6</t>
        </is>
      </c>
      <c r="J261" s="17" t="inlineStr">
        <is>
          <t>6</t>
        </is>
      </c>
      <c r="K261" s="17" t="inlineStr">
        <is>
          <t>N</t>
        </is>
      </c>
      <c r="M261" s="15" t="inlineStr">
        <is>
          <t>INSERT INTO</t>
        </is>
      </c>
      <c r="N261" s="15" t="inlineStr">
        <is>
          <t>MNG_DEAL_LIST_DSP_TBL</t>
        </is>
      </c>
      <c r="O261" s="15" t="inlineStr">
        <is>
          <t>VALUES(</t>
        </is>
      </c>
      <c r="P261" s="15" t="inlineStr">
        <is>
          <t xml:space="preserve">11 , 6 , 6 , 'N' </t>
        </is>
      </c>
      <c r="Q261" s="15" t="inlineStr">
        <is>
          <t>);</t>
        </is>
      </c>
      <c r="S261" s="18">
        <f>EXACT(TRIM(C261),H261&amp;"")</f>
        <v/>
      </c>
      <c r="T261" s="18">
        <f>EXACT(TRIM(D261),I261&amp;"")</f>
        <v/>
      </c>
      <c r="U261" s="18">
        <f>EXACT(TRIM(E261),J261&amp;"")</f>
        <v/>
      </c>
      <c r="V261" s="18">
        <f>EXACT(TRIM(F261),"'"&amp;K261&amp;"'")</f>
        <v/>
      </c>
      <c r="W261" s="18">
        <f>AND(S261:V261)</f>
        <v/>
      </c>
      <c r="X261" s="19">
        <f>TRIM(IF(S261,"",$S$3&amp;" ")&amp;IF(T261,"",$T$3&amp;" ")&amp;IF(U261,"",$U$3&amp;" ")&amp;IF(V261,"",$V$3&amp;" "))</f>
        <v/>
      </c>
      <c r="Y261" s="18">
        <f>EXACT(SUBSTITUTE(A261," ",""),SUBSTITUTE(M261&amp;N261&amp;O261&amp;P261&amp;Q261," ",""))</f>
        <v/>
      </c>
    </row>
    <row r="262">
      <c r="A262" s="15" t="inlineStr">
        <is>
          <t>INSERT INTO MNG_DEAL_LIST_DSP_TBL VALUES(11 , 6 , 7 , 'N' );</t>
        </is>
      </c>
      <c r="B262" s="16" t="n"/>
      <c r="C262" s="15" t="inlineStr">
        <is>
          <t xml:space="preserve">11 </t>
        </is>
      </c>
      <c r="D262" s="15" t="inlineStr">
        <is>
          <t xml:space="preserve"> 6 </t>
        </is>
      </c>
      <c r="E262" s="15" t="inlineStr">
        <is>
          <t xml:space="preserve"> 7 </t>
        </is>
      </c>
      <c r="F262" s="15" t="inlineStr">
        <is>
          <t xml:space="preserve"> 'N' </t>
        </is>
      </c>
      <c r="H262" s="17" t="inlineStr">
        <is>
          <t>11</t>
        </is>
      </c>
      <c r="I262" s="17" t="inlineStr">
        <is>
          <t>6</t>
        </is>
      </c>
      <c r="J262" s="17" t="inlineStr">
        <is>
          <t>7</t>
        </is>
      </c>
      <c r="K262" s="17" t="inlineStr">
        <is>
          <t>N</t>
        </is>
      </c>
      <c r="M262" s="15" t="inlineStr">
        <is>
          <t>INSERT INTO</t>
        </is>
      </c>
      <c r="N262" s="15" t="inlineStr">
        <is>
          <t>MNG_DEAL_LIST_DSP_TBL</t>
        </is>
      </c>
      <c r="O262" s="15" t="inlineStr">
        <is>
          <t>VALUES(</t>
        </is>
      </c>
      <c r="P262" s="15" t="inlineStr">
        <is>
          <t xml:space="preserve">11 , 6 , 7 , 'N' </t>
        </is>
      </c>
      <c r="Q262" s="15" t="inlineStr">
        <is>
          <t>);</t>
        </is>
      </c>
      <c r="S262" s="18">
        <f>EXACT(TRIM(C262),H262&amp;"")</f>
        <v/>
      </c>
      <c r="T262" s="18">
        <f>EXACT(TRIM(D262),I262&amp;"")</f>
        <v/>
      </c>
      <c r="U262" s="18">
        <f>EXACT(TRIM(E262),J262&amp;"")</f>
        <v/>
      </c>
      <c r="V262" s="18">
        <f>EXACT(TRIM(F262),"'"&amp;K262&amp;"'")</f>
        <v/>
      </c>
      <c r="W262" s="18">
        <f>AND(S262:V262)</f>
        <v/>
      </c>
      <c r="X262" s="19">
        <f>TRIM(IF(S262,"",$S$3&amp;" ")&amp;IF(T262,"",$T$3&amp;" ")&amp;IF(U262,"",$U$3&amp;" ")&amp;IF(V262,"",$V$3&amp;" "))</f>
        <v/>
      </c>
      <c r="Y262" s="18">
        <f>EXACT(SUBSTITUTE(A262," ",""),SUBSTITUTE(M262&amp;N262&amp;O262&amp;P262&amp;Q262," ",""))</f>
        <v/>
      </c>
    </row>
    <row r="263">
      <c r="A263" s="15" t="inlineStr">
        <is>
          <t>INSERT INTO MNG_DEAL_LIST_DSP_TBL VALUES(11 , 6 , 8 , 'N' );</t>
        </is>
      </c>
      <c r="B263" s="16" t="n"/>
      <c r="C263" s="15" t="inlineStr">
        <is>
          <t xml:space="preserve">11 </t>
        </is>
      </c>
      <c r="D263" s="15" t="inlineStr">
        <is>
          <t xml:space="preserve"> 6 </t>
        </is>
      </c>
      <c r="E263" s="15" t="inlineStr">
        <is>
          <t xml:space="preserve"> 8 </t>
        </is>
      </c>
      <c r="F263" s="15" t="inlineStr">
        <is>
          <t xml:space="preserve"> 'N' </t>
        </is>
      </c>
      <c r="H263" s="17" t="inlineStr">
        <is>
          <t>11</t>
        </is>
      </c>
      <c r="I263" s="17" t="inlineStr">
        <is>
          <t>6</t>
        </is>
      </c>
      <c r="J263" s="17" t="inlineStr">
        <is>
          <t>8</t>
        </is>
      </c>
      <c r="K263" s="17" t="inlineStr">
        <is>
          <t>N</t>
        </is>
      </c>
      <c r="M263" s="15" t="inlineStr">
        <is>
          <t>INSERT INTO</t>
        </is>
      </c>
      <c r="N263" s="15" t="inlineStr">
        <is>
          <t>MNG_DEAL_LIST_DSP_TBL</t>
        </is>
      </c>
      <c r="O263" s="15" t="inlineStr">
        <is>
          <t>VALUES(</t>
        </is>
      </c>
      <c r="P263" s="15" t="inlineStr">
        <is>
          <t xml:space="preserve">11 , 6 , 8 , 'N' </t>
        </is>
      </c>
      <c r="Q263" s="15" t="inlineStr">
        <is>
          <t>);</t>
        </is>
      </c>
      <c r="S263" s="18">
        <f>EXACT(TRIM(C263),H263&amp;"")</f>
        <v/>
      </c>
      <c r="T263" s="18">
        <f>EXACT(TRIM(D263),I263&amp;"")</f>
        <v/>
      </c>
      <c r="U263" s="18">
        <f>EXACT(TRIM(E263),J263&amp;"")</f>
        <v/>
      </c>
      <c r="V263" s="18">
        <f>EXACT(TRIM(F263),"'"&amp;K263&amp;"'")</f>
        <v/>
      </c>
      <c r="W263" s="18">
        <f>AND(S263:V263)</f>
        <v/>
      </c>
      <c r="X263" s="19">
        <f>TRIM(IF(S263,"",$S$3&amp;" ")&amp;IF(T263,"",$T$3&amp;" ")&amp;IF(U263,"",$U$3&amp;" ")&amp;IF(V263,"",$V$3&amp;" "))</f>
        <v/>
      </c>
      <c r="Y263" s="18">
        <f>EXACT(SUBSTITUTE(A263," ",""),SUBSTITUTE(M263&amp;N263&amp;O263&amp;P263&amp;Q263," ",""))</f>
        <v/>
      </c>
    </row>
    <row r="264">
      <c r="A264" s="15" t="inlineStr">
        <is>
          <t>INSERT INTO MNG_DEAL_LIST_DSP_TBL VALUES(11 , 6 , 9 , 'N' );</t>
        </is>
      </c>
      <c r="B264" s="16" t="n"/>
      <c r="C264" s="15" t="inlineStr">
        <is>
          <t xml:space="preserve">11 </t>
        </is>
      </c>
      <c r="D264" s="15" t="inlineStr">
        <is>
          <t xml:space="preserve"> 6 </t>
        </is>
      </c>
      <c r="E264" s="15" t="inlineStr">
        <is>
          <t xml:space="preserve"> 9 </t>
        </is>
      </c>
      <c r="F264" s="15" t="inlineStr">
        <is>
          <t xml:space="preserve"> 'N' </t>
        </is>
      </c>
      <c r="H264" s="17" t="inlineStr">
        <is>
          <t>11</t>
        </is>
      </c>
      <c r="I264" s="17" t="inlineStr">
        <is>
          <t>6</t>
        </is>
      </c>
      <c r="J264" s="17" t="inlineStr">
        <is>
          <t>9</t>
        </is>
      </c>
      <c r="K264" s="17" t="inlineStr">
        <is>
          <t>N</t>
        </is>
      </c>
      <c r="M264" s="15" t="inlineStr">
        <is>
          <t>INSERT INTO</t>
        </is>
      </c>
      <c r="N264" s="15" t="inlineStr">
        <is>
          <t>MNG_DEAL_LIST_DSP_TBL</t>
        </is>
      </c>
      <c r="O264" s="15" t="inlineStr">
        <is>
          <t>VALUES(</t>
        </is>
      </c>
      <c r="P264" s="15" t="inlineStr">
        <is>
          <t xml:space="preserve">11 , 6 , 9 , 'N' </t>
        </is>
      </c>
      <c r="Q264" s="15" t="inlineStr">
        <is>
          <t>);</t>
        </is>
      </c>
      <c r="S264" s="18">
        <f>EXACT(TRIM(C264),H264&amp;"")</f>
        <v/>
      </c>
      <c r="T264" s="18">
        <f>EXACT(TRIM(D264),I264&amp;"")</f>
        <v/>
      </c>
      <c r="U264" s="18">
        <f>EXACT(TRIM(E264),J264&amp;"")</f>
        <v/>
      </c>
      <c r="V264" s="18">
        <f>EXACT(TRIM(F264),"'"&amp;K264&amp;"'")</f>
        <v/>
      </c>
      <c r="W264" s="18">
        <f>AND(S264:V264)</f>
        <v/>
      </c>
      <c r="X264" s="19">
        <f>TRIM(IF(S264,"",$S$3&amp;" ")&amp;IF(T264,"",$T$3&amp;" ")&amp;IF(U264,"",$U$3&amp;" ")&amp;IF(V264,"",$V$3&amp;" "))</f>
        <v/>
      </c>
      <c r="Y264" s="18">
        <f>EXACT(SUBSTITUTE(A264," ",""),SUBSTITUTE(M264&amp;N264&amp;O264&amp;P264&amp;Q264," ",""))</f>
        <v/>
      </c>
    </row>
    <row r="265">
      <c r="A265" s="15" t="inlineStr">
        <is>
          <t>INSERT INTO MNG_DEAL_LIST_DSP_TBL VALUES(11 , 6 , 10 , 'N' );</t>
        </is>
      </c>
      <c r="B265" s="16" t="n"/>
      <c r="C265" s="15" t="inlineStr">
        <is>
          <t xml:space="preserve">11 </t>
        </is>
      </c>
      <c r="D265" s="15" t="inlineStr">
        <is>
          <t xml:space="preserve"> 6 </t>
        </is>
      </c>
      <c r="E265" s="15" t="inlineStr">
        <is>
          <t xml:space="preserve"> 10 </t>
        </is>
      </c>
      <c r="F265" s="15" t="inlineStr">
        <is>
          <t xml:space="preserve"> 'N' </t>
        </is>
      </c>
      <c r="H265" s="17" t="inlineStr">
        <is>
          <t>11</t>
        </is>
      </c>
      <c r="I265" s="17" t="inlineStr">
        <is>
          <t>6</t>
        </is>
      </c>
      <c r="J265" s="17" t="inlineStr">
        <is>
          <t>10</t>
        </is>
      </c>
      <c r="K265" s="17" t="inlineStr">
        <is>
          <t>N</t>
        </is>
      </c>
      <c r="M265" s="15" t="inlineStr">
        <is>
          <t>INSERT INTO</t>
        </is>
      </c>
      <c r="N265" s="15" t="inlineStr">
        <is>
          <t>MNG_DEAL_LIST_DSP_TBL</t>
        </is>
      </c>
      <c r="O265" s="15" t="inlineStr">
        <is>
          <t>VALUES(</t>
        </is>
      </c>
      <c r="P265" s="15" t="inlineStr">
        <is>
          <t xml:space="preserve">11 , 6 , 10 , 'N' </t>
        </is>
      </c>
      <c r="Q265" s="15" t="inlineStr">
        <is>
          <t>);</t>
        </is>
      </c>
      <c r="S265" s="18">
        <f>EXACT(TRIM(C265),H265&amp;"")</f>
        <v/>
      </c>
      <c r="T265" s="18">
        <f>EXACT(TRIM(D265),I265&amp;"")</f>
        <v/>
      </c>
      <c r="U265" s="18">
        <f>EXACT(TRIM(E265),J265&amp;"")</f>
        <v/>
      </c>
      <c r="V265" s="18">
        <f>EXACT(TRIM(F265),"'"&amp;K265&amp;"'")</f>
        <v/>
      </c>
      <c r="W265" s="18">
        <f>AND(S265:V265)</f>
        <v/>
      </c>
      <c r="X265" s="19">
        <f>TRIM(IF(S265,"",$S$3&amp;" ")&amp;IF(T265,"",$T$3&amp;" ")&amp;IF(U265,"",$U$3&amp;" ")&amp;IF(V265,"",$V$3&amp;" "))</f>
        <v/>
      </c>
      <c r="Y265" s="18">
        <f>EXACT(SUBSTITUTE(A265," ",""),SUBSTITUTE(M265&amp;N265&amp;O265&amp;P265&amp;Q265," ",""))</f>
        <v/>
      </c>
    </row>
    <row r="266">
      <c r="A266" s="15" t="inlineStr">
        <is>
          <t>INSERT INTO MNG_DEAL_LIST_DSP_TBL VALUES(11 , 6 , 11 , 'N' );</t>
        </is>
      </c>
      <c r="B266" s="16" t="n"/>
      <c r="C266" s="15" t="inlineStr">
        <is>
          <t xml:space="preserve">11 </t>
        </is>
      </c>
      <c r="D266" s="15" t="inlineStr">
        <is>
          <t xml:space="preserve"> 6 </t>
        </is>
      </c>
      <c r="E266" s="15" t="inlineStr">
        <is>
          <t xml:space="preserve"> 11 </t>
        </is>
      </c>
      <c r="F266" s="15" t="inlineStr">
        <is>
          <t xml:space="preserve"> 'N' </t>
        </is>
      </c>
      <c r="H266" s="17" t="inlineStr">
        <is>
          <t>11</t>
        </is>
      </c>
      <c r="I266" s="17" t="inlineStr">
        <is>
          <t>6</t>
        </is>
      </c>
      <c r="J266" s="17" t="inlineStr">
        <is>
          <t>11</t>
        </is>
      </c>
      <c r="K266" s="17" t="inlineStr">
        <is>
          <t>N</t>
        </is>
      </c>
      <c r="M266" s="15" t="inlineStr">
        <is>
          <t>INSERT INTO</t>
        </is>
      </c>
      <c r="N266" s="15" t="inlineStr">
        <is>
          <t>MNG_DEAL_LIST_DSP_TBL</t>
        </is>
      </c>
      <c r="O266" s="15" t="inlineStr">
        <is>
          <t>VALUES(</t>
        </is>
      </c>
      <c r="P266" s="15" t="inlineStr">
        <is>
          <t xml:space="preserve">11 , 6 , 11 , 'N' </t>
        </is>
      </c>
      <c r="Q266" s="15" t="inlineStr">
        <is>
          <t>);</t>
        </is>
      </c>
      <c r="S266" s="18">
        <f>EXACT(TRIM(C266),H266&amp;"")</f>
        <v/>
      </c>
      <c r="T266" s="18">
        <f>EXACT(TRIM(D266),I266&amp;"")</f>
        <v/>
      </c>
      <c r="U266" s="18">
        <f>EXACT(TRIM(E266),J266&amp;"")</f>
        <v/>
      </c>
      <c r="V266" s="18">
        <f>EXACT(TRIM(F266),"'"&amp;K266&amp;"'")</f>
        <v/>
      </c>
      <c r="W266" s="18">
        <f>AND(S266:V266)</f>
        <v/>
      </c>
      <c r="X266" s="19">
        <f>TRIM(IF(S266,"",$S$3&amp;" ")&amp;IF(T266,"",$T$3&amp;" ")&amp;IF(U266,"",$U$3&amp;" ")&amp;IF(V266,"",$V$3&amp;" "))</f>
        <v/>
      </c>
      <c r="Y266" s="18">
        <f>EXACT(SUBSTITUTE(A266," ",""),SUBSTITUTE(M266&amp;N266&amp;O266&amp;P266&amp;Q266," ",""))</f>
        <v/>
      </c>
    </row>
    <row r="267">
      <c r="A267" s="15" t="inlineStr">
        <is>
          <t>INSERT INTO MNG_DEAL_LIST_DSP_TBL VALUES(11 , 6 , 12 , 'N' );</t>
        </is>
      </c>
      <c r="B267" s="16" t="n"/>
      <c r="C267" s="15" t="inlineStr">
        <is>
          <t xml:space="preserve">11 </t>
        </is>
      </c>
      <c r="D267" s="15" t="inlineStr">
        <is>
          <t xml:space="preserve"> 6 </t>
        </is>
      </c>
      <c r="E267" s="15" t="inlineStr">
        <is>
          <t xml:space="preserve"> 12 </t>
        </is>
      </c>
      <c r="F267" s="15" t="inlineStr">
        <is>
          <t xml:space="preserve"> 'N' </t>
        </is>
      </c>
      <c r="H267" s="17" t="inlineStr">
        <is>
          <t>11</t>
        </is>
      </c>
      <c r="I267" s="17" t="inlineStr">
        <is>
          <t>6</t>
        </is>
      </c>
      <c r="J267" s="17" t="inlineStr">
        <is>
          <t>12</t>
        </is>
      </c>
      <c r="K267" s="17" t="inlineStr">
        <is>
          <t>N</t>
        </is>
      </c>
      <c r="M267" s="15" t="inlineStr">
        <is>
          <t>INSERT INTO</t>
        </is>
      </c>
      <c r="N267" s="15" t="inlineStr">
        <is>
          <t>MNG_DEAL_LIST_DSP_TBL</t>
        </is>
      </c>
      <c r="O267" s="15" t="inlineStr">
        <is>
          <t>VALUES(</t>
        </is>
      </c>
      <c r="P267" s="15" t="inlineStr">
        <is>
          <t xml:space="preserve">11 , 6 , 12 , 'N' </t>
        </is>
      </c>
      <c r="Q267" s="15" t="inlineStr">
        <is>
          <t>);</t>
        </is>
      </c>
      <c r="S267" s="18">
        <f>EXACT(TRIM(C267),H267&amp;"")</f>
        <v/>
      </c>
      <c r="T267" s="18">
        <f>EXACT(TRIM(D267),I267&amp;"")</f>
        <v/>
      </c>
      <c r="U267" s="18">
        <f>EXACT(TRIM(E267),J267&amp;"")</f>
        <v/>
      </c>
      <c r="V267" s="18">
        <f>EXACT(TRIM(F267),"'"&amp;K267&amp;"'")</f>
        <v/>
      </c>
      <c r="W267" s="18">
        <f>AND(S267:V267)</f>
        <v/>
      </c>
      <c r="X267" s="19">
        <f>TRIM(IF(S267,"",$S$3&amp;" ")&amp;IF(T267,"",$T$3&amp;" ")&amp;IF(U267,"",$U$3&amp;" ")&amp;IF(V267,"",$V$3&amp;" "))</f>
        <v/>
      </c>
      <c r="Y267" s="18">
        <f>EXACT(SUBSTITUTE(A267," ",""),SUBSTITUTE(M267&amp;N267&amp;O267&amp;P267&amp;Q267," ",""))</f>
        <v/>
      </c>
    </row>
    <row r="268">
      <c r="A268" s="15" t="inlineStr">
        <is>
          <t>INSERT INTO MNG_DEAL_LIST_DSP_TBL VALUES(11 , 6 , 13 , 'N' );</t>
        </is>
      </c>
      <c r="B268" s="16" t="n"/>
      <c r="C268" s="15" t="inlineStr">
        <is>
          <t xml:space="preserve">11 </t>
        </is>
      </c>
      <c r="D268" s="15" t="inlineStr">
        <is>
          <t xml:space="preserve"> 6 </t>
        </is>
      </c>
      <c r="E268" s="15" t="inlineStr">
        <is>
          <t xml:space="preserve"> 13 </t>
        </is>
      </c>
      <c r="F268" s="15" t="inlineStr">
        <is>
          <t xml:space="preserve"> 'N' </t>
        </is>
      </c>
      <c r="H268" s="17" t="inlineStr">
        <is>
          <t>11</t>
        </is>
      </c>
      <c r="I268" s="17" t="inlineStr">
        <is>
          <t>6</t>
        </is>
      </c>
      <c r="J268" s="17" t="inlineStr">
        <is>
          <t>13</t>
        </is>
      </c>
      <c r="K268" s="17" t="inlineStr">
        <is>
          <t>N</t>
        </is>
      </c>
      <c r="M268" s="15" t="inlineStr">
        <is>
          <t>INSERT INTO</t>
        </is>
      </c>
      <c r="N268" s="15" t="inlineStr">
        <is>
          <t>MNG_DEAL_LIST_DSP_TBL</t>
        </is>
      </c>
      <c r="O268" s="15" t="inlineStr">
        <is>
          <t>VALUES(</t>
        </is>
      </c>
      <c r="P268" s="15" t="inlineStr">
        <is>
          <t xml:space="preserve">11 , 6 , 13 , 'N' </t>
        </is>
      </c>
      <c r="Q268" s="15" t="inlineStr">
        <is>
          <t>);</t>
        </is>
      </c>
      <c r="S268" s="18">
        <f>EXACT(TRIM(C268),H268&amp;"")</f>
        <v/>
      </c>
      <c r="T268" s="18">
        <f>EXACT(TRIM(D268),I268&amp;"")</f>
        <v/>
      </c>
      <c r="U268" s="18">
        <f>EXACT(TRIM(E268),J268&amp;"")</f>
        <v/>
      </c>
      <c r="V268" s="18">
        <f>EXACT(TRIM(F268),"'"&amp;K268&amp;"'")</f>
        <v/>
      </c>
      <c r="W268" s="18">
        <f>AND(S268:V268)</f>
        <v/>
      </c>
      <c r="X268" s="19">
        <f>TRIM(IF(S268,"",$S$3&amp;" ")&amp;IF(T268,"",$T$3&amp;" ")&amp;IF(U268,"",$U$3&amp;" ")&amp;IF(V268,"",$V$3&amp;" "))</f>
        <v/>
      </c>
      <c r="Y268" s="18">
        <f>EXACT(SUBSTITUTE(A268," ",""),SUBSTITUTE(M268&amp;N268&amp;O268&amp;P268&amp;Q268," ",""))</f>
        <v/>
      </c>
    </row>
    <row r="269">
      <c r="A269" s="15" t="inlineStr">
        <is>
          <t>INSERT INTO MNG_DEAL_LIST_DSP_TBL VALUES(11 , 6 , 14 , 'N' );</t>
        </is>
      </c>
      <c r="B269" s="16" t="n"/>
      <c r="C269" s="15" t="inlineStr">
        <is>
          <t xml:space="preserve">11 </t>
        </is>
      </c>
      <c r="D269" s="15" t="inlineStr">
        <is>
          <t xml:space="preserve"> 6 </t>
        </is>
      </c>
      <c r="E269" s="15" t="inlineStr">
        <is>
          <t xml:space="preserve"> 14 </t>
        </is>
      </c>
      <c r="F269" s="15" t="inlineStr">
        <is>
          <t xml:space="preserve"> 'N' </t>
        </is>
      </c>
      <c r="H269" s="17" t="inlineStr">
        <is>
          <t>11</t>
        </is>
      </c>
      <c r="I269" s="17" t="inlineStr">
        <is>
          <t>6</t>
        </is>
      </c>
      <c r="J269" s="17" t="inlineStr">
        <is>
          <t>14</t>
        </is>
      </c>
      <c r="K269" s="17" t="inlineStr">
        <is>
          <t>N</t>
        </is>
      </c>
      <c r="M269" s="15" t="inlineStr">
        <is>
          <t>INSERT INTO</t>
        </is>
      </c>
      <c r="N269" s="15" t="inlineStr">
        <is>
          <t>MNG_DEAL_LIST_DSP_TBL</t>
        </is>
      </c>
      <c r="O269" s="15" t="inlineStr">
        <is>
          <t>VALUES(</t>
        </is>
      </c>
      <c r="P269" s="15" t="inlineStr">
        <is>
          <t xml:space="preserve">11 , 6 , 14 , 'N' </t>
        </is>
      </c>
      <c r="Q269" s="15" t="inlineStr">
        <is>
          <t>);</t>
        </is>
      </c>
      <c r="S269" s="18">
        <f>EXACT(TRIM(C269),H269&amp;"")</f>
        <v/>
      </c>
      <c r="T269" s="18">
        <f>EXACT(TRIM(D269),I269&amp;"")</f>
        <v/>
      </c>
      <c r="U269" s="18">
        <f>EXACT(TRIM(E269),J269&amp;"")</f>
        <v/>
      </c>
      <c r="V269" s="18">
        <f>EXACT(TRIM(F269),"'"&amp;K269&amp;"'")</f>
        <v/>
      </c>
      <c r="W269" s="18">
        <f>AND(S269:V269)</f>
        <v/>
      </c>
      <c r="X269" s="19">
        <f>TRIM(IF(S269,"",$S$3&amp;" ")&amp;IF(T269,"",$T$3&amp;" ")&amp;IF(U269,"",$U$3&amp;" ")&amp;IF(V269,"",$V$3&amp;" "))</f>
        <v/>
      </c>
      <c r="Y269" s="18">
        <f>EXACT(SUBSTITUTE(A269," ",""),SUBSTITUTE(M269&amp;N269&amp;O269&amp;P269&amp;Q269," ",""))</f>
        <v/>
      </c>
    </row>
    <row r="270">
      <c r="A270" s="15" t="inlineStr">
        <is>
          <t>INSERT INTO MNG_DEAL_LIST_DSP_TBL VALUES(11 , 6 , 15 , 'N' );</t>
        </is>
      </c>
      <c r="B270" s="16" t="n"/>
      <c r="C270" s="15" t="inlineStr">
        <is>
          <t xml:space="preserve">11 </t>
        </is>
      </c>
      <c r="D270" s="15" t="inlineStr">
        <is>
          <t xml:space="preserve"> 6 </t>
        </is>
      </c>
      <c r="E270" s="15" t="inlineStr">
        <is>
          <t xml:space="preserve"> 15 </t>
        </is>
      </c>
      <c r="F270" s="15" t="inlineStr">
        <is>
          <t xml:space="preserve"> 'N' </t>
        </is>
      </c>
      <c r="H270" s="17" t="inlineStr">
        <is>
          <t>11</t>
        </is>
      </c>
      <c r="I270" s="17" t="inlineStr">
        <is>
          <t>6</t>
        </is>
      </c>
      <c r="J270" s="17" t="inlineStr">
        <is>
          <t>15</t>
        </is>
      </c>
      <c r="K270" s="17" t="inlineStr">
        <is>
          <t>N</t>
        </is>
      </c>
      <c r="M270" s="15" t="inlineStr">
        <is>
          <t>INSERT INTO</t>
        </is>
      </c>
      <c r="N270" s="15" t="inlineStr">
        <is>
          <t>MNG_DEAL_LIST_DSP_TBL</t>
        </is>
      </c>
      <c r="O270" s="15" t="inlineStr">
        <is>
          <t>VALUES(</t>
        </is>
      </c>
      <c r="P270" s="15" t="inlineStr">
        <is>
          <t xml:space="preserve">11 , 6 , 15 , 'N' </t>
        </is>
      </c>
      <c r="Q270" s="15" t="inlineStr">
        <is>
          <t>);</t>
        </is>
      </c>
      <c r="S270" s="18">
        <f>EXACT(TRIM(C270),H270&amp;"")</f>
        <v/>
      </c>
      <c r="T270" s="18">
        <f>EXACT(TRIM(D270),I270&amp;"")</f>
        <v/>
      </c>
      <c r="U270" s="18">
        <f>EXACT(TRIM(E270),J270&amp;"")</f>
        <v/>
      </c>
      <c r="V270" s="18">
        <f>EXACT(TRIM(F270),"'"&amp;K270&amp;"'")</f>
        <v/>
      </c>
      <c r="W270" s="18">
        <f>AND(S270:V270)</f>
        <v/>
      </c>
      <c r="X270" s="19">
        <f>TRIM(IF(S270,"",$S$3&amp;" ")&amp;IF(T270,"",$T$3&amp;" ")&amp;IF(U270,"",$U$3&amp;" ")&amp;IF(V270,"",$V$3&amp;" "))</f>
        <v/>
      </c>
      <c r="Y270" s="18">
        <f>EXACT(SUBSTITUTE(A270," ",""),SUBSTITUTE(M270&amp;N270&amp;O270&amp;P270&amp;Q270," ",""))</f>
        <v/>
      </c>
    </row>
    <row r="271">
      <c r="A271" s="15" t="inlineStr">
        <is>
          <t>INSERT INTO MNG_DEAL_LIST_DSP_TBL VALUES(11 , 6 , 16 , 'N' );</t>
        </is>
      </c>
      <c r="B271" s="16" t="n"/>
      <c r="C271" s="15" t="inlineStr">
        <is>
          <t xml:space="preserve">11 </t>
        </is>
      </c>
      <c r="D271" s="15" t="inlineStr">
        <is>
          <t xml:space="preserve"> 6 </t>
        </is>
      </c>
      <c r="E271" s="15" t="inlineStr">
        <is>
          <t xml:space="preserve"> 16 </t>
        </is>
      </c>
      <c r="F271" s="15" t="inlineStr">
        <is>
          <t xml:space="preserve"> 'N' </t>
        </is>
      </c>
      <c r="H271" s="17" t="inlineStr">
        <is>
          <t>11</t>
        </is>
      </c>
      <c r="I271" s="17" t="inlineStr">
        <is>
          <t>6</t>
        </is>
      </c>
      <c r="J271" s="17" t="inlineStr">
        <is>
          <t>16</t>
        </is>
      </c>
      <c r="K271" s="17" t="inlineStr">
        <is>
          <t>N</t>
        </is>
      </c>
      <c r="M271" s="15" t="inlineStr">
        <is>
          <t>INSERT INTO</t>
        </is>
      </c>
      <c r="N271" s="15" t="inlineStr">
        <is>
          <t>MNG_DEAL_LIST_DSP_TBL</t>
        </is>
      </c>
      <c r="O271" s="15" t="inlineStr">
        <is>
          <t>VALUES(</t>
        </is>
      </c>
      <c r="P271" s="15" t="inlineStr">
        <is>
          <t xml:space="preserve">11 , 6 , 16 , 'N' </t>
        </is>
      </c>
      <c r="Q271" s="15" t="inlineStr">
        <is>
          <t>);</t>
        </is>
      </c>
      <c r="S271" s="18">
        <f>EXACT(TRIM(C271),H271&amp;"")</f>
        <v/>
      </c>
      <c r="T271" s="18">
        <f>EXACT(TRIM(D271),I271&amp;"")</f>
        <v/>
      </c>
      <c r="U271" s="18">
        <f>EXACT(TRIM(E271),J271&amp;"")</f>
        <v/>
      </c>
      <c r="V271" s="18">
        <f>EXACT(TRIM(F271),"'"&amp;K271&amp;"'")</f>
        <v/>
      </c>
      <c r="W271" s="18">
        <f>AND(S271:V271)</f>
        <v/>
      </c>
      <c r="X271" s="19">
        <f>TRIM(IF(S271,"",$S$3&amp;" ")&amp;IF(T271,"",$T$3&amp;" ")&amp;IF(U271,"",$U$3&amp;" ")&amp;IF(V271,"",$V$3&amp;" "))</f>
        <v/>
      </c>
      <c r="Y271" s="18">
        <f>EXACT(SUBSTITUTE(A271," ",""),SUBSTITUTE(M271&amp;N271&amp;O271&amp;P271&amp;Q271," ",""))</f>
        <v/>
      </c>
    </row>
    <row r="272">
      <c r="A272" s="15" t="inlineStr">
        <is>
          <t>INSERT INTO MNG_DEAL_LIST_DSP_TBL VALUES(11 , 7 , 1 , 'N' );</t>
        </is>
      </c>
      <c r="B272" s="16" t="n"/>
      <c r="C272" s="15" t="inlineStr">
        <is>
          <t xml:space="preserve">11 </t>
        </is>
      </c>
      <c r="D272" s="15" t="inlineStr">
        <is>
          <t xml:space="preserve"> 7 </t>
        </is>
      </c>
      <c r="E272" s="15" t="inlineStr">
        <is>
          <t xml:space="preserve"> 1 </t>
        </is>
      </c>
      <c r="F272" s="15" t="inlineStr">
        <is>
          <t xml:space="preserve"> 'N' </t>
        </is>
      </c>
      <c r="H272" s="17" t="inlineStr">
        <is>
          <t>11</t>
        </is>
      </c>
      <c r="I272" s="17" t="inlineStr">
        <is>
          <t>7</t>
        </is>
      </c>
      <c r="J272" s="17" t="inlineStr">
        <is>
          <t>1</t>
        </is>
      </c>
      <c r="K272" s="17" t="inlineStr">
        <is>
          <t>N</t>
        </is>
      </c>
      <c r="M272" s="15" t="inlineStr">
        <is>
          <t>INSERT INTO</t>
        </is>
      </c>
      <c r="N272" s="15" t="inlineStr">
        <is>
          <t>MNG_DEAL_LIST_DSP_TBL</t>
        </is>
      </c>
      <c r="O272" s="15" t="inlineStr">
        <is>
          <t>VALUES(</t>
        </is>
      </c>
      <c r="P272" s="15" t="inlineStr">
        <is>
          <t xml:space="preserve">11 , 7 , 1 , 'N' </t>
        </is>
      </c>
      <c r="Q272" s="15" t="inlineStr">
        <is>
          <t>);</t>
        </is>
      </c>
      <c r="S272" s="18">
        <f>EXACT(TRIM(C272),H272&amp;"")</f>
        <v/>
      </c>
      <c r="T272" s="18">
        <f>EXACT(TRIM(D272),I272&amp;"")</f>
        <v/>
      </c>
      <c r="U272" s="18">
        <f>EXACT(TRIM(E272),J272&amp;"")</f>
        <v/>
      </c>
      <c r="V272" s="18">
        <f>EXACT(TRIM(F272),"'"&amp;K272&amp;"'")</f>
        <v/>
      </c>
      <c r="W272" s="18">
        <f>AND(S272:V272)</f>
        <v/>
      </c>
      <c r="X272" s="19">
        <f>TRIM(IF(S272,"",$S$3&amp;" ")&amp;IF(T272,"",$T$3&amp;" ")&amp;IF(U272,"",$U$3&amp;" ")&amp;IF(V272,"",$V$3&amp;" "))</f>
        <v/>
      </c>
      <c r="Y272" s="18">
        <f>EXACT(SUBSTITUTE(A272," ",""),SUBSTITUTE(M272&amp;N272&amp;O272&amp;P272&amp;Q272," ",""))</f>
        <v/>
      </c>
    </row>
    <row r="273">
      <c r="A273" s="15" t="inlineStr">
        <is>
          <t>INSERT INTO MNG_DEAL_LIST_DSP_TBL VALUES(11 , 7 , 2 , 'N' );</t>
        </is>
      </c>
      <c r="B273" s="16" t="n"/>
      <c r="C273" s="15" t="inlineStr">
        <is>
          <t xml:space="preserve">11 </t>
        </is>
      </c>
      <c r="D273" s="15" t="inlineStr">
        <is>
          <t xml:space="preserve"> 7 </t>
        </is>
      </c>
      <c r="E273" s="15" t="inlineStr">
        <is>
          <t xml:space="preserve"> 2 </t>
        </is>
      </c>
      <c r="F273" s="15" t="inlineStr">
        <is>
          <t xml:space="preserve"> 'N' </t>
        </is>
      </c>
      <c r="H273" s="17" t="inlineStr">
        <is>
          <t>11</t>
        </is>
      </c>
      <c r="I273" s="17" t="inlineStr">
        <is>
          <t>7</t>
        </is>
      </c>
      <c r="J273" s="17" t="inlineStr">
        <is>
          <t>2</t>
        </is>
      </c>
      <c r="K273" s="17" t="inlineStr">
        <is>
          <t>N</t>
        </is>
      </c>
      <c r="M273" s="15" t="inlineStr">
        <is>
          <t>INSERT INTO</t>
        </is>
      </c>
      <c r="N273" s="15" t="inlineStr">
        <is>
          <t>MNG_DEAL_LIST_DSP_TBL</t>
        </is>
      </c>
      <c r="O273" s="15" t="inlineStr">
        <is>
          <t>VALUES(</t>
        </is>
      </c>
      <c r="P273" s="15" t="inlineStr">
        <is>
          <t xml:space="preserve">11 , 7 , 2 , 'N' </t>
        </is>
      </c>
      <c r="Q273" s="15" t="inlineStr">
        <is>
          <t>);</t>
        </is>
      </c>
      <c r="S273" s="18">
        <f>EXACT(TRIM(C273),H273&amp;"")</f>
        <v/>
      </c>
      <c r="T273" s="18">
        <f>EXACT(TRIM(D273),I273&amp;"")</f>
        <v/>
      </c>
      <c r="U273" s="18">
        <f>EXACT(TRIM(E273),J273&amp;"")</f>
        <v/>
      </c>
      <c r="V273" s="18">
        <f>EXACT(TRIM(F273),"'"&amp;K273&amp;"'")</f>
        <v/>
      </c>
      <c r="W273" s="18">
        <f>AND(S273:V273)</f>
        <v/>
      </c>
      <c r="X273" s="19">
        <f>TRIM(IF(S273,"",$S$3&amp;" ")&amp;IF(T273,"",$T$3&amp;" ")&amp;IF(U273,"",$U$3&amp;" ")&amp;IF(V273,"",$V$3&amp;" "))</f>
        <v/>
      </c>
      <c r="Y273" s="18">
        <f>EXACT(SUBSTITUTE(A273," ",""),SUBSTITUTE(M273&amp;N273&amp;O273&amp;P273&amp;Q273," ",""))</f>
        <v/>
      </c>
    </row>
    <row r="274">
      <c r="A274" s="15" t="inlineStr">
        <is>
          <t>INSERT INTO MNG_DEAL_LIST_DSP_TBL VALUES(11 , 7 , 3 , 'N' );</t>
        </is>
      </c>
      <c r="B274" s="16" t="n"/>
      <c r="C274" s="15" t="inlineStr">
        <is>
          <t xml:space="preserve">11 </t>
        </is>
      </c>
      <c r="D274" s="15" t="inlineStr">
        <is>
          <t xml:space="preserve"> 7 </t>
        </is>
      </c>
      <c r="E274" s="15" t="inlineStr">
        <is>
          <t xml:space="preserve"> 3 </t>
        </is>
      </c>
      <c r="F274" s="15" t="inlineStr">
        <is>
          <t xml:space="preserve"> 'N' </t>
        </is>
      </c>
      <c r="H274" s="17" t="inlineStr">
        <is>
          <t>11</t>
        </is>
      </c>
      <c r="I274" s="17" t="inlineStr">
        <is>
          <t>7</t>
        </is>
      </c>
      <c r="J274" s="17" t="inlineStr">
        <is>
          <t>3</t>
        </is>
      </c>
      <c r="K274" s="17" t="inlineStr">
        <is>
          <t>N</t>
        </is>
      </c>
      <c r="M274" s="15" t="inlineStr">
        <is>
          <t>INSERT INTO</t>
        </is>
      </c>
      <c r="N274" s="15" t="inlineStr">
        <is>
          <t>MNG_DEAL_LIST_DSP_TBL</t>
        </is>
      </c>
      <c r="O274" s="15" t="inlineStr">
        <is>
          <t>VALUES(</t>
        </is>
      </c>
      <c r="P274" s="15" t="inlineStr">
        <is>
          <t xml:space="preserve">11 , 7 , 3 , 'N' </t>
        </is>
      </c>
      <c r="Q274" s="15" t="inlineStr">
        <is>
          <t>);</t>
        </is>
      </c>
      <c r="S274" s="18">
        <f>EXACT(TRIM(C274),H274&amp;"")</f>
        <v/>
      </c>
      <c r="T274" s="18">
        <f>EXACT(TRIM(D274),I274&amp;"")</f>
        <v/>
      </c>
      <c r="U274" s="18">
        <f>EXACT(TRIM(E274),J274&amp;"")</f>
        <v/>
      </c>
      <c r="V274" s="18">
        <f>EXACT(TRIM(F274),"'"&amp;K274&amp;"'")</f>
        <v/>
      </c>
      <c r="W274" s="18">
        <f>AND(S274:V274)</f>
        <v/>
      </c>
      <c r="X274" s="19">
        <f>TRIM(IF(S274,"",$S$3&amp;" ")&amp;IF(T274,"",$T$3&amp;" ")&amp;IF(U274,"",$U$3&amp;" ")&amp;IF(V274,"",$V$3&amp;" "))</f>
        <v/>
      </c>
      <c r="Y274" s="18">
        <f>EXACT(SUBSTITUTE(A274," ",""),SUBSTITUTE(M274&amp;N274&amp;O274&amp;P274&amp;Q274," ",""))</f>
        <v/>
      </c>
    </row>
    <row r="275">
      <c r="A275" s="15" t="inlineStr">
        <is>
          <t>INSERT INTO MNG_DEAL_LIST_DSP_TBL VALUES(11 , 7 , 4 , 'N' );</t>
        </is>
      </c>
      <c r="B275" s="16" t="n"/>
      <c r="C275" s="15" t="inlineStr">
        <is>
          <t xml:space="preserve">11 </t>
        </is>
      </c>
      <c r="D275" s="15" t="inlineStr">
        <is>
          <t xml:space="preserve"> 7 </t>
        </is>
      </c>
      <c r="E275" s="15" t="inlineStr">
        <is>
          <t xml:space="preserve"> 4 </t>
        </is>
      </c>
      <c r="F275" s="15" t="inlineStr">
        <is>
          <t xml:space="preserve"> 'N' </t>
        </is>
      </c>
      <c r="H275" s="17" t="inlineStr">
        <is>
          <t>11</t>
        </is>
      </c>
      <c r="I275" s="17" t="inlineStr">
        <is>
          <t>7</t>
        </is>
      </c>
      <c r="J275" s="17" t="inlineStr">
        <is>
          <t>4</t>
        </is>
      </c>
      <c r="K275" s="17" t="inlineStr">
        <is>
          <t>N</t>
        </is>
      </c>
      <c r="M275" s="15" t="inlineStr">
        <is>
          <t>INSERT INTO</t>
        </is>
      </c>
      <c r="N275" s="15" t="inlineStr">
        <is>
          <t>MNG_DEAL_LIST_DSP_TBL</t>
        </is>
      </c>
      <c r="O275" s="15" t="inlineStr">
        <is>
          <t>VALUES(</t>
        </is>
      </c>
      <c r="P275" s="15" t="inlineStr">
        <is>
          <t xml:space="preserve">11 , 7 , 4 , 'N' </t>
        </is>
      </c>
      <c r="Q275" s="15" t="inlineStr">
        <is>
          <t>);</t>
        </is>
      </c>
      <c r="S275" s="18">
        <f>EXACT(TRIM(C275),H275&amp;"")</f>
        <v/>
      </c>
      <c r="T275" s="18">
        <f>EXACT(TRIM(D275),I275&amp;"")</f>
        <v/>
      </c>
      <c r="U275" s="18">
        <f>EXACT(TRIM(E275),J275&amp;"")</f>
        <v/>
      </c>
      <c r="V275" s="18">
        <f>EXACT(TRIM(F275),"'"&amp;K275&amp;"'")</f>
        <v/>
      </c>
      <c r="W275" s="18">
        <f>AND(S275:V275)</f>
        <v/>
      </c>
      <c r="X275" s="19">
        <f>TRIM(IF(S275,"",$S$3&amp;" ")&amp;IF(T275,"",$T$3&amp;" ")&amp;IF(U275,"",$U$3&amp;" ")&amp;IF(V275,"",$V$3&amp;" "))</f>
        <v/>
      </c>
      <c r="Y275" s="18">
        <f>EXACT(SUBSTITUTE(A275," ",""),SUBSTITUTE(M275&amp;N275&amp;O275&amp;P275&amp;Q275," ",""))</f>
        <v/>
      </c>
    </row>
    <row r="276">
      <c r="A276" s="15" t="inlineStr">
        <is>
          <t>INSERT INTO MNG_DEAL_LIST_DSP_TBL VALUES(11 , 7 , 5 , 'N' );</t>
        </is>
      </c>
      <c r="B276" s="16" t="n"/>
      <c r="C276" s="15" t="inlineStr">
        <is>
          <t xml:space="preserve">11 </t>
        </is>
      </c>
      <c r="D276" s="15" t="inlineStr">
        <is>
          <t xml:space="preserve"> 7 </t>
        </is>
      </c>
      <c r="E276" s="15" t="inlineStr">
        <is>
          <t xml:space="preserve"> 5 </t>
        </is>
      </c>
      <c r="F276" s="15" t="inlineStr">
        <is>
          <t xml:space="preserve"> 'N' </t>
        </is>
      </c>
      <c r="H276" s="17" t="inlineStr">
        <is>
          <t>11</t>
        </is>
      </c>
      <c r="I276" s="17" t="inlineStr">
        <is>
          <t>7</t>
        </is>
      </c>
      <c r="J276" s="17" t="inlineStr">
        <is>
          <t>5</t>
        </is>
      </c>
      <c r="K276" s="17" t="inlineStr">
        <is>
          <t>N</t>
        </is>
      </c>
      <c r="M276" s="15" t="inlineStr">
        <is>
          <t>INSERT INTO</t>
        </is>
      </c>
      <c r="N276" s="15" t="inlineStr">
        <is>
          <t>MNG_DEAL_LIST_DSP_TBL</t>
        </is>
      </c>
      <c r="O276" s="15" t="inlineStr">
        <is>
          <t>VALUES(</t>
        </is>
      </c>
      <c r="P276" s="15" t="inlineStr">
        <is>
          <t xml:space="preserve">11 , 7 , 5 , 'N' </t>
        </is>
      </c>
      <c r="Q276" s="15" t="inlineStr">
        <is>
          <t>);</t>
        </is>
      </c>
      <c r="S276" s="18">
        <f>EXACT(TRIM(C276),H276&amp;"")</f>
        <v/>
      </c>
      <c r="T276" s="18">
        <f>EXACT(TRIM(D276),I276&amp;"")</f>
        <v/>
      </c>
      <c r="U276" s="18">
        <f>EXACT(TRIM(E276),J276&amp;"")</f>
        <v/>
      </c>
      <c r="V276" s="18">
        <f>EXACT(TRIM(F276),"'"&amp;K276&amp;"'")</f>
        <v/>
      </c>
      <c r="W276" s="18">
        <f>AND(S276:V276)</f>
        <v/>
      </c>
      <c r="X276" s="19">
        <f>TRIM(IF(S276,"",$S$3&amp;" ")&amp;IF(T276,"",$T$3&amp;" ")&amp;IF(U276,"",$U$3&amp;" ")&amp;IF(V276,"",$V$3&amp;" "))</f>
        <v/>
      </c>
      <c r="Y276" s="18">
        <f>EXACT(SUBSTITUTE(A276," ",""),SUBSTITUTE(M276&amp;N276&amp;O276&amp;P276&amp;Q276," ",""))</f>
        <v/>
      </c>
    </row>
    <row r="277">
      <c r="A277" s="15" t="inlineStr">
        <is>
          <t>INSERT INTO MNG_DEAL_LIST_DSP_TBL VALUES(11 , 7 , 6 , 'N' );</t>
        </is>
      </c>
      <c r="B277" s="16" t="n"/>
      <c r="C277" s="15" t="inlineStr">
        <is>
          <t xml:space="preserve">11 </t>
        </is>
      </c>
      <c r="D277" s="15" t="inlineStr">
        <is>
          <t xml:space="preserve"> 7 </t>
        </is>
      </c>
      <c r="E277" s="15" t="inlineStr">
        <is>
          <t xml:space="preserve"> 6 </t>
        </is>
      </c>
      <c r="F277" s="15" t="inlineStr">
        <is>
          <t xml:space="preserve"> 'N' </t>
        </is>
      </c>
      <c r="H277" s="17" t="inlineStr">
        <is>
          <t>11</t>
        </is>
      </c>
      <c r="I277" s="17" t="inlineStr">
        <is>
          <t>7</t>
        </is>
      </c>
      <c r="J277" s="17" t="inlineStr">
        <is>
          <t>6</t>
        </is>
      </c>
      <c r="K277" s="17" t="inlineStr">
        <is>
          <t>N</t>
        </is>
      </c>
      <c r="M277" s="15" t="inlineStr">
        <is>
          <t>INSERT INTO</t>
        </is>
      </c>
      <c r="N277" s="15" t="inlineStr">
        <is>
          <t>MNG_DEAL_LIST_DSP_TBL</t>
        </is>
      </c>
      <c r="O277" s="15" t="inlineStr">
        <is>
          <t>VALUES(</t>
        </is>
      </c>
      <c r="P277" s="15" t="inlineStr">
        <is>
          <t xml:space="preserve">11 , 7 , 6 , 'N' </t>
        </is>
      </c>
      <c r="Q277" s="15" t="inlineStr">
        <is>
          <t>);</t>
        </is>
      </c>
      <c r="S277" s="18">
        <f>EXACT(TRIM(C277),H277&amp;"")</f>
        <v/>
      </c>
      <c r="T277" s="18">
        <f>EXACT(TRIM(D277),I277&amp;"")</f>
        <v/>
      </c>
      <c r="U277" s="18">
        <f>EXACT(TRIM(E277),J277&amp;"")</f>
        <v/>
      </c>
      <c r="V277" s="18">
        <f>EXACT(TRIM(F277),"'"&amp;K277&amp;"'")</f>
        <v/>
      </c>
      <c r="W277" s="18">
        <f>AND(S277:V277)</f>
        <v/>
      </c>
      <c r="X277" s="19">
        <f>TRIM(IF(S277,"",$S$3&amp;" ")&amp;IF(T277,"",$T$3&amp;" ")&amp;IF(U277,"",$U$3&amp;" ")&amp;IF(V277,"",$V$3&amp;" "))</f>
        <v/>
      </c>
      <c r="Y277" s="18">
        <f>EXACT(SUBSTITUTE(A277," ",""),SUBSTITUTE(M277&amp;N277&amp;O277&amp;P277&amp;Q277," ",""))</f>
        <v/>
      </c>
    </row>
    <row r="278">
      <c r="A278" s="15" t="inlineStr">
        <is>
          <t>INSERT INTO MNG_DEAL_LIST_DSP_TBL VALUES(11 , 7 , 7 , 'N' );</t>
        </is>
      </c>
      <c r="B278" s="16" t="n"/>
      <c r="C278" s="15" t="inlineStr">
        <is>
          <t xml:space="preserve">11 </t>
        </is>
      </c>
      <c r="D278" s="15" t="inlineStr">
        <is>
          <t xml:space="preserve"> 7 </t>
        </is>
      </c>
      <c r="E278" s="15" t="inlineStr">
        <is>
          <t xml:space="preserve"> 7 </t>
        </is>
      </c>
      <c r="F278" s="15" t="inlineStr">
        <is>
          <t xml:space="preserve"> 'N' </t>
        </is>
      </c>
      <c r="H278" s="17" t="inlineStr">
        <is>
          <t>11</t>
        </is>
      </c>
      <c r="I278" s="17" t="inlineStr">
        <is>
          <t>7</t>
        </is>
      </c>
      <c r="J278" s="17" t="inlineStr">
        <is>
          <t>7</t>
        </is>
      </c>
      <c r="K278" s="17" t="inlineStr">
        <is>
          <t>N</t>
        </is>
      </c>
      <c r="M278" s="15" t="inlineStr">
        <is>
          <t>INSERT INTO</t>
        </is>
      </c>
      <c r="N278" s="15" t="inlineStr">
        <is>
          <t>MNG_DEAL_LIST_DSP_TBL</t>
        </is>
      </c>
      <c r="O278" s="15" t="inlineStr">
        <is>
          <t>VALUES(</t>
        </is>
      </c>
      <c r="P278" s="15" t="inlineStr">
        <is>
          <t xml:space="preserve">11 , 7 , 7 , 'N' </t>
        </is>
      </c>
      <c r="Q278" s="15" t="inlineStr">
        <is>
          <t>);</t>
        </is>
      </c>
      <c r="S278" s="18">
        <f>EXACT(TRIM(C278),H278&amp;"")</f>
        <v/>
      </c>
      <c r="T278" s="18">
        <f>EXACT(TRIM(D278),I278&amp;"")</f>
        <v/>
      </c>
      <c r="U278" s="18">
        <f>EXACT(TRIM(E278),J278&amp;"")</f>
        <v/>
      </c>
      <c r="V278" s="18">
        <f>EXACT(TRIM(F278),"'"&amp;K278&amp;"'")</f>
        <v/>
      </c>
      <c r="W278" s="18">
        <f>AND(S278:V278)</f>
        <v/>
      </c>
      <c r="X278" s="19">
        <f>TRIM(IF(S278,"",$S$3&amp;" ")&amp;IF(T278,"",$T$3&amp;" ")&amp;IF(U278,"",$U$3&amp;" ")&amp;IF(V278,"",$V$3&amp;" "))</f>
        <v/>
      </c>
      <c r="Y278" s="18">
        <f>EXACT(SUBSTITUTE(A278," ",""),SUBSTITUTE(M278&amp;N278&amp;O278&amp;P278&amp;Q278," ",""))</f>
        <v/>
      </c>
    </row>
    <row r="279">
      <c r="A279" s="15" t="inlineStr">
        <is>
          <t>INSERT INTO MNG_DEAL_LIST_DSP_TBL VALUES(11 , 7 , 8 , 'N' );</t>
        </is>
      </c>
      <c r="B279" s="16" t="n"/>
      <c r="C279" s="15" t="inlineStr">
        <is>
          <t xml:space="preserve">11 </t>
        </is>
      </c>
      <c r="D279" s="15" t="inlineStr">
        <is>
          <t xml:space="preserve"> 7 </t>
        </is>
      </c>
      <c r="E279" s="15" t="inlineStr">
        <is>
          <t xml:space="preserve"> 8 </t>
        </is>
      </c>
      <c r="F279" s="15" t="inlineStr">
        <is>
          <t xml:space="preserve"> 'N' </t>
        </is>
      </c>
      <c r="H279" s="17" t="inlineStr">
        <is>
          <t>11</t>
        </is>
      </c>
      <c r="I279" s="17" t="inlineStr">
        <is>
          <t>7</t>
        </is>
      </c>
      <c r="J279" s="17" t="inlineStr">
        <is>
          <t>8</t>
        </is>
      </c>
      <c r="K279" s="17" t="inlineStr">
        <is>
          <t>N</t>
        </is>
      </c>
      <c r="M279" s="15" t="inlineStr">
        <is>
          <t>INSERT INTO</t>
        </is>
      </c>
      <c r="N279" s="15" t="inlineStr">
        <is>
          <t>MNG_DEAL_LIST_DSP_TBL</t>
        </is>
      </c>
      <c r="O279" s="15" t="inlineStr">
        <is>
          <t>VALUES(</t>
        </is>
      </c>
      <c r="P279" s="15" t="inlineStr">
        <is>
          <t xml:space="preserve">11 , 7 , 8 , 'N' </t>
        </is>
      </c>
      <c r="Q279" s="15" t="inlineStr">
        <is>
          <t>);</t>
        </is>
      </c>
      <c r="S279" s="18">
        <f>EXACT(TRIM(C279),H279&amp;"")</f>
        <v/>
      </c>
      <c r="T279" s="18">
        <f>EXACT(TRIM(D279),I279&amp;"")</f>
        <v/>
      </c>
      <c r="U279" s="18">
        <f>EXACT(TRIM(E279),J279&amp;"")</f>
        <v/>
      </c>
      <c r="V279" s="18">
        <f>EXACT(TRIM(F279),"'"&amp;K279&amp;"'")</f>
        <v/>
      </c>
      <c r="W279" s="18">
        <f>AND(S279:V279)</f>
        <v/>
      </c>
      <c r="X279" s="19">
        <f>TRIM(IF(S279,"",$S$3&amp;" ")&amp;IF(T279,"",$T$3&amp;" ")&amp;IF(U279,"",$U$3&amp;" ")&amp;IF(V279,"",$V$3&amp;" "))</f>
        <v/>
      </c>
      <c r="Y279" s="18">
        <f>EXACT(SUBSTITUTE(A279," ",""),SUBSTITUTE(M279&amp;N279&amp;O279&amp;P279&amp;Q279," ",""))</f>
        <v/>
      </c>
    </row>
    <row r="280">
      <c r="A280" s="15" t="inlineStr">
        <is>
          <t>INSERT INTO MNG_DEAL_LIST_DSP_TBL VALUES(11 , 7 , 9 , 'N' );</t>
        </is>
      </c>
      <c r="B280" s="16" t="n"/>
      <c r="C280" s="15" t="inlineStr">
        <is>
          <t xml:space="preserve">11 </t>
        </is>
      </c>
      <c r="D280" s="15" t="inlineStr">
        <is>
          <t xml:space="preserve"> 7 </t>
        </is>
      </c>
      <c r="E280" s="15" t="inlineStr">
        <is>
          <t xml:space="preserve"> 9 </t>
        </is>
      </c>
      <c r="F280" s="15" t="inlineStr">
        <is>
          <t xml:space="preserve"> 'N' </t>
        </is>
      </c>
      <c r="H280" s="17" t="inlineStr">
        <is>
          <t>11</t>
        </is>
      </c>
      <c r="I280" s="17" t="inlineStr">
        <is>
          <t>7</t>
        </is>
      </c>
      <c r="J280" s="17" t="inlineStr">
        <is>
          <t>9</t>
        </is>
      </c>
      <c r="K280" s="17" t="inlineStr">
        <is>
          <t>N</t>
        </is>
      </c>
      <c r="M280" s="15" t="inlineStr">
        <is>
          <t>INSERT INTO</t>
        </is>
      </c>
      <c r="N280" s="15" t="inlineStr">
        <is>
          <t>MNG_DEAL_LIST_DSP_TBL</t>
        </is>
      </c>
      <c r="O280" s="15" t="inlineStr">
        <is>
          <t>VALUES(</t>
        </is>
      </c>
      <c r="P280" s="15" t="inlineStr">
        <is>
          <t xml:space="preserve">11 , 7 , 9 , 'N' </t>
        </is>
      </c>
      <c r="Q280" s="15" t="inlineStr">
        <is>
          <t>);</t>
        </is>
      </c>
      <c r="S280" s="18">
        <f>EXACT(TRIM(C280),H280&amp;"")</f>
        <v/>
      </c>
      <c r="T280" s="18">
        <f>EXACT(TRIM(D280),I280&amp;"")</f>
        <v/>
      </c>
      <c r="U280" s="18">
        <f>EXACT(TRIM(E280),J280&amp;"")</f>
        <v/>
      </c>
      <c r="V280" s="18">
        <f>EXACT(TRIM(F280),"'"&amp;K280&amp;"'")</f>
        <v/>
      </c>
      <c r="W280" s="18">
        <f>AND(S280:V280)</f>
        <v/>
      </c>
      <c r="X280" s="19">
        <f>TRIM(IF(S280,"",$S$3&amp;" ")&amp;IF(T280,"",$T$3&amp;" ")&amp;IF(U280,"",$U$3&amp;" ")&amp;IF(V280,"",$V$3&amp;" "))</f>
        <v/>
      </c>
      <c r="Y280" s="18">
        <f>EXACT(SUBSTITUTE(A280," ",""),SUBSTITUTE(M280&amp;N280&amp;O280&amp;P280&amp;Q280," ",""))</f>
        <v/>
      </c>
    </row>
    <row r="281">
      <c r="A281" s="15" t="inlineStr">
        <is>
          <t>INSERT INTO MNG_DEAL_LIST_DSP_TBL VALUES(11 , 7 , 10 , 'N' );</t>
        </is>
      </c>
      <c r="B281" s="16" t="n"/>
      <c r="C281" s="15" t="inlineStr">
        <is>
          <t xml:space="preserve">11 </t>
        </is>
      </c>
      <c r="D281" s="15" t="inlineStr">
        <is>
          <t xml:space="preserve"> 7 </t>
        </is>
      </c>
      <c r="E281" s="15" t="inlineStr">
        <is>
          <t xml:space="preserve"> 10 </t>
        </is>
      </c>
      <c r="F281" s="15" t="inlineStr">
        <is>
          <t xml:space="preserve"> 'N' </t>
        </is>
      </c>
      <c r="H281" s="17" t="inlineStr">
        <is>
          <t>11</t>
        </is>
      </c>
      <c r="I281" s="17" t="inlineStr">
        <is>
          <t>7</t>
        </is>
      </c>
      <c r="J281" s="17" t="inlineStr">
        <is>
          <t>10</t>
        </is>
      </c>
      <c r="K281" s="17" t="inlineStr">
        <is>
          <t>N</t>
        </is>
      </c>
      <c r="M281" s="15" t="inlineStr">
        <is>
          <t>INSERT INTO</t>
        </is>
      </c>
      <c r="N281" s="15" t="inlineStr">
        <is>
          <t>MNG_DEAL_LIST_DSP_TBL</t>
        </is>
      </c>
      <c r="O281" s="15" t="inlineStr">
        <is>
          <t>VALUES(</t>
        </is>
      </c>
      <c r="P281" s="15" t="inlineStr">
        <is>
          <t xml:space="preserve">11 , 7 , 10 , 'N' </t>
        </is>
      </c>
      <c r="Q281" s="15" t="inlineStr">
        <is>
          <t>);</t>
        </is>
      </c>
      <c r="S281" s="18">
        <f>EXACT(TRIM(C281),H281&amp;"")</f>
        <v/>
      </c>
      <c r="T281" s="18">
        <f>EXACT(TRIM(D281),I281&amp;"")</f>
        <v/>
      </c>
      <c r="U281" s="18">
        <f>EXACT(TRIM(E281),J281&amp;"")</f>
        <v/>
      </c>
      <c r="V281" s="18">
        <f>EXACT(TRIM(F281),"'"&amp;K281&amp;"'")</f>
        <v/>
      </c>
      <c r="W281" s="18">
        <f>AND(S281:V281)</f>
        <v/>
      </c>
      <c r="X281" s="19">
        <f>TRIM(IF(S281,"",$S$3&amp;" ")&amp;IF(T281,"",$T$3&amp;" ")&amp;IF(U281,"",$U$3&amp;" ")&amp;IF(V281,"",$V$3&amp;" "))</f>
        <v/>
      </c>
      <c r="Y281" s="18">
        <f>EXACT(SUBSTITUTE(A281," ",""),SUBSTITUTE(M281&amp;N281&amp;O281&amp;P281&amp;Q281," ",""))</f>
        <v/>
      </c>
    </row>
    <row r="282">
      <c r="A282" s="15" t="inlineStr">
        <is>
          <t>INSERT INTO MNG_DEAL_LIST_DSP_TBL VALUES(11 , 7 , 11 , 'N' );</t>
        </is>
      </c>
      <c r="B282" s="16" t="n"/>
      <c r="C282" s="15" t="inlineStr">
        <is>
          <t xml:space="preserve">11 </t>
        </is>
      </c>
      <c r="D282" s="15" t="inlineStr">
        <is>
          <t xml:space="preserve"> 7 </t>
        </is>
      </c>
      <c r="E282" s="15" t="inlineStr">
        <is>
          <t xml:space="preserve"> 11 </t>
        </is>
      </c>
      <c r="F282" s="15" t="inlineStr">
        <is>
          <t xml:space="preserve"> 'N' </t>
        </is>
      </c>
      <c r="H282" s="17" t="inlineStr">
        <is>
          <t>11</t>
        </is>
      </c>
      <c r="I282" s="17" t="inlineStr">
        <is>
          <t>7</t>
        </is>
      </c>
      <c r="J282" s="17" t="inlineStr">
        <is>
          <t>11</t>
        </is>
      </c>
      <c r="K282" s="17" t="inlineStr">
        <is>
          <t>N</t>
        </is>
      </c>
      <c r="M282" s="15" t="inlineStr">
        <is>
          <t>INSERT INTO</t>
        </is>
      </c>
      <c r="N282" s="15" t="inlineStr">
        <is>
          <t>MNG_DEAL_LIST_DSP_TBL</t>
        </is>
      </c>
      <c r="O282" s="15" t="inlineStr">
        <is>
          <t>VALUES(</t>
        </is>
      </c>
      <c r="P282" s="15" t="inlineStr">
        <is>
          <t xml:space="preserve">11 , 7 , 11 , 'N' </t>
        </is>
      </c>
      <c r="Q282" s="15" t="inlineStr">
        <is>
          <t>);</t>
        </is>
      </c>
      <c r="S282" s="18">
        <f>EXACT(TRIM(C282),H282&amp;"")</f>
        <v/>
      </c>
      <c r="T282" s="18">
        <f>EXACT(TRIM(D282),I282&amp;"")</f>
        <v/>
      </c>
      <c r="U282" s="18">
        <f>EXACT(TRIM(E282),J282&amp;"")</f>
        <v/>
      </c>
      <c r="V282" s="18">
        <f>EXACT(TRIM(F282),"'"&amp;K282&amp;"'")</f>
        <v/>
      </c>
      <c r="W282" s="18">
        <f>AND(S282:V282)</f>
        <v/>
      </c>
      <c r="X282" s="19">
        <f>TRIM(IF(S282,"",$S$3&amp;" ")&amp;IF(T282,"",$T$3&amp;" ")&amp;IF(U282,"",$U$3&amp;" ")&amp;IF(V282,"",$V$3&amp;" "))</f>
        <v/>
      </c>
      <c r="Y282" s="18">
        <f>EXACT(SUBSTITUTE(A282," ",""),SUBSTITUTE(M282&amp;N282&amp;O282&amp;P282&amp;Q282," ",""))</f>
        <v/>
      </c>
    </row>
    <row r="283">
      <c r="A283" s="15" t="inlineStr">
        <is>
          <t>INSERT INTO MNG_DEAL_LIST_DSP_TBL VALUES(11 , 7 , 12 , 'N' );</t>
        </is>
      </c>
      <c r="B283" s="16" t="n"/>
      <c r="C283" s="15" t="inlineStr">
        <is>
          <t xml:space="preserve">11 </t>
        </is>
      </c>
      <c r="D283" s="15" t="inlineStr">
        <is>
          <t xml:space="preserve"> 7 </t>
        </is>
      </c>
      <c r="E283" s="15" t="inlineStr">
        <is>
          <t xml:space="preserve"> 12 </t>
        </is>
      </c>
      <c r="F283" s="15" t="inlineStr">
        <is>
          <t xml:space="preserve"> 'N' </t>
        </is>
      </c>
      <c r="H283" s="17" t="inlineStr">
        <is>
          <t>11</t>
        </is>
      </c>
      <c r="I283" s="17" t="inlineStr">
        <is>
          <t>7</t>
        </is>
      </c>
      <c r="J283" s="17" t="inlineStr">
        <is>
          <t>12</t>
        </is>
      </c>
      <c r="K283" s="17" t="inlineStr">
        <is>
          <t>N</t>
        </is>
      </c>
      <c r="M283" s="15" t="inlineStr">
        <is>
          <t>INSERT INTO</t>
        </is>
      </c>
      <c r="N283" s="15" t="inlineStr">
        <is>
          <t>MNG_DEAL_LIST_DSP_TBL</t>
        </is>
      </c>
      <c r="O283" s="15" t="inlineStr">
        <is>
          <t>VALUES(</t>
        </is>
      </c>
      <c r="P283" s="15" t="inlineStr">
        <is>
          <t xml:space="preserve">11 , 7 , 12 , 'N' </t>
        </is>
      </c>
      <c r="Q283" s="15" t="inlineStr">
        <is>
          <t>);</t>
        </is>
      </c>
      <c r="S283" s="18">
        <f>EXACT(TRIM(C283),H283&amp;"")</f>
        <v/>
      </c>
      <c r="T283" s="18">
        <f>EXACT(TRIM(D283),I283&amp;"")</f>
        <v/>
      </c>
      <c r="U283" s="18">
        <f>EXACT(TRIM(E283),J283&amp;"")</f>
        <v/>
      </c>
      <c r="V283" s="18">
        <f>EXACT(TRIM(F283),"'"&amp;K283&amp;"'")</f>
        <v/>
      </c>
      <c r="W283" s="18">
        <f>AND(S283:V283)</f>
        <v/>
      </c>
      <c r="X283" s="19">
        <f>TRIM(IF(S283,"",$S$3&amp;" ")&amp;IF(T283,"",$T$3&amp;" ")&amp;IF(U283,"",$U$3&amp;" ")&amp;IF(V283,"",$V$3&amp;" "))</f>
        <v/>
      </c>
      <c r="Y283" s="18">
        <f>EXACT(SUBSTITUTE(A283," ",""),SUBSTITUTE(M283&amp;N283&amp;O283&amp;P283&amp;Q283," ",""))</f>
        <v/>
      </c>
    </row>
    <row r="284">
      <c r="A284" s="15" t="inlineStr">
        <is>
          <t>INSERT INTO MNG_DEAL_LIST_DSP_TBL VALUES(11 , 7 , 13 , 'N' );</t>
        </is>
      </c>
      <c r="B284" s="16" t="n"/>
      <c r="C284" s="15" t="inlineStr">
        <is>
          <t xml:space="preserve">11 </t>
        </is>
      </c>
      <c r="D284" s="15" t="inlineStr">
        <is>
          <t xml:space="preserve"> 7 </t>
        </is>
      </c>
      <c r="E284" s="15" t="inlineStr">
        <is>
          <t xml:space="preserve"> 13 </t>
        </is>
      </c>
      <c r="F284" s="15" t="inlineStr">
        <is>
          <t xml:space="preserve"> 'N' </t>
        </is>
      </c>
      <c r="H284" s="17" t="inlineStr">
        <is>
          <t>11</t>
        </is>
      </c>
      <c r="I284" s="17" t="inlineStr">
        <is>
          <t>7</t>
        </is>
      </c>
      <c r="J284" s="17" t="inlineStr">
        <is>
          <t>13</t>
        </is>
      </c>
      <c r="K284" s="17" t="inlineStr">
        <is>
          <t>N</t>
        </is>
      </c>
      <c r="M284" s="15" t="inlineStr">
        <is>
          <t>INSERT INTO</t>
        </is>
      </c>
      <c r="N284" s="15" t="inlineStr">
        <is>
          <t>MNG_DEAL_LIST_DSP_TBL</t>
        </is>
      </c>
      <c r="O284" s="15" t="inlineStr">
        <is>
          <t>VALUES(</t>
        </is>
      </c>
      <c r="P284" s="15" t="inlineStr">
        <is>
          <t xml:space="preserve">11 , 7 , 13 , 'N' </t>
        </is>
      </c>
      <c r="Q284" s="15" t="inlineStr">
        <is>
          <t>);</t>
        </is>
      </c>
      <c r="S284" s="18">
        <f>EXACT(TRIM(C284),H284&amp;"")</f>
        <v/>
      </c>
      <c r="T284" s="18">
        <f>EXACT(TRIM(D284),I284&amp;"")</f>
        <v/>
      </c>
      <c r="U284" s="18">
        <f>EXACT(TRIM(E284),J284&amp;"")</f>
        <v/>
      </c>
      <c r="V284" s="18">
        <f>EXACT(TRIM(F284),"'"&amp;K284&amp;"'")</f>
        <v/>
      </c>
      <c r="W284" s="18">
        <f>AND(S284:V284)</f>
        <v/>
      </c>
      <c r="X284" s="19">
        <f>TRIM(IF(S284,"",$S$3&amp;" ")&amp;IF(T284,"",$T$3&amp;" ")&amp;IF(U284,"",$U$3&amp;" ")&amp;IF(V284,"",$V$3&amp;" "))</f>
        <v/>
      </c>
      <c r="Y284" s="18">
        <f>EXACT(SUBSTITUTE(A284," ",""),SUBSTITUTE(M284&amp;N284&amp;O284&amp;P284&amp;Q284," ",""))</f>
        <v/>
      </c>
    </row>
    <row r="285">
      <c r="A285" s="15" t="inlineStr">
        <is>
          <t>INSERT INTO MNG_DEAL_LIST_DSP_TBL VALUES(11 , 7 , 14 , 'N' );</t>
        </is>
      </c>
      <c r="B285" s="16" t="n"/>
      <c r="C285" s="15" t="inlineStr">
        <is>
          <t xml:space="preserve">11 </t>
        </is>
      </c>
      <c r="D285" s="15" t="inlineStr">
        <is>
          <t xml:space="preserve"> 7 </t>
        </is>
      </c>
      <c r="E285" s="15" t="inlineStr">
        <is>
          <t xml:space="preserve"> 14 </t>
        </is>
      </c>
      <c r="F285" s="15" t="inlineStr">
        <is>
          <t xml:space="preserve"> 'N' </t>
        </is>
      </c>
      <c r="H285" s="17" t="inlineStr">
        <is>
          <t>11</t>
        </is>
      </c>
      <c r="I285" s="17" t="inlineStr">
        <is>
          <t>7</t>
        </is>
      </c>
      <c r="J285" s="17" t="inlineStr">
        <is>
          <t>14</t>
        </is>
      </c>
      <c r="K285" s="17" t="inlineStr">
        <is>
          <t>N</t>
        </is>
      </c>
      <c r="M285" s="15" t="inlineStr">
        <is>
          <t>INSERT INTO</t>
        </is>
      </c>
      <c r="N285" s="15" t="inlineStr">
        <is>
          <t>MNG_DEAL_LIST_DSP_TBL</t>
        </is>
      </c>
      <c r="O285" s="15" t="inlineStr">
        <is>
          <t>VALUES(</t>
        </is>
      </c>
      <c r="P285" s="15" t="inlineStr">
        <is>
          <t xml:space="preserve">11 , 7 , 14 , 'N' </t>
        </is>
      </c>
      <c r="Q285" s="15" t="inlineStr">
        <is>
          <t>);</t>
        </is>
      </c>
      <c r="S285" s="18">
        <f>EXACT(TRIM(C285),H285&amp;"")</f>
        <v/>
      </c>
      <c r="T285" s="18">
        <f>EXACT(TRIM(D285),I285&amp;"")</f>
        <v/>
      </c>
      <c r="U285" s="18">
        <f>EXACT(TRIM(E285),J285&amp;"")</f>
        <v/>
      </c>
      <c r="V285" s="18">
        <f>EXACT(TRIM(F285),"'"&amp;K285&amp;"'")</f>
        <v/>
      </c>
      <c r="W285" s="18">
        <f>AND(S285:V285)</f>
        <v/>
      </c>
      <c r="X285" s="19">
        <f>TRIM(IF(S285,"",$S$3&amp;" ")&amp;IF(T285,"",$T$3&amp;" ")&amp;IF(U285,"",$U$3&amp;" ")&amp;IF(V285,"",$V$3&amp;" "))</f>
        <v/>
      </c>
      <c r="Y285" s="18">
        <f>EXACT(SUBSTITUTE(A285," ",""),SUBSTITUTE(M285&amp;N285&amp;O285&amp;P285&amp;Q285," ",""))</f>
        <v/>
      </c>
    </row>
    <row r="286">
      <c r="A286" s="15" t="inlineStr">
        <is>
          <t>INSERT INTO MNG_DEAL_LIST_DSP_TBL VALUES(11 , 7 , 15 , 'N' );</t>
        </is>
      </c>
      <c r="B286" s="16" t="n"/>
      <c r="C286" s="15" t="inlineStr">
        <is>
          <t xml:space="preserve">11 </t>
        </is>
      </c>
      <c r="D286" s="15" t="inlineStr">
        <is>
          <t xml:space="preserve"> 7 </t>
        </is>
      </c>
      <c r="E286" s="15" t="inlineStr">
        <is>
          <t xml:space="preserve"> 15 </t>
        </is>
      </c>
      <c r="F286" s="15" t="inlineStr">
        <is>
          <t xml:space="preserve"> 'N' </t>
        </is>
      </c>
      <c r="H286" s="17" t="inlineStr">
        <is>
          <t>11</t>
        </is>
      </c>
      <c r="I286" s="17" t="inlineStr">
        <is>
          <t>7</t>
        </is>
      </c>
      <c r="J286" s="17" t="inlineStr">
        <is>
          <t>15</t>
        </is>
      </c>
      <c r="K286" s="17" t="inlineStr">
        <is>
          <t>N</t>
        </is>
      </c>
      <c r="M286" s="15" t="inlineStr">
        <is>
          <t>INSERT INTO</t>
        </is>
      </c>
      <c r="N286" s="15" t="inlineStr">
        <is>
          <t>MNG_DEAL_LIST_DSP_TBL</t>
        </is>
      </c>
      <c r="O286" s="15" t="inlineStr">
        <is>
          <t>VALUES(</t>
        </is>
      </c>
      <c r="P286" s="15" t="inlineStr">
        <is>
          <t xml:space="preserve">11 , 7 , 15 , 'N' </t>
        </is>
      </c>
      <c r="Q286" s="15" t="inlineStr">
        <is>
          <t>);</t>
        </is>
      </c>
      <c r="S286" s="18">
        <f>EXACT(TRIM(C286),H286&amp;"")</f>
        <v/>
      </c>
      <c r="T286" s="18">
        <f>EXACT(TRIM(D286),I286&amp;"")</f>
        <v/>
      </c>
      <c r="U286" s="18">
        <f>EXACT(TRIM(E286),J286&amp;"")</f>
        <v/>
      </c>
      <c r="V286" s="18">
        <f>EXACT(TRIM(F286),"'"&amp;K286&amp;"'")</f>
        <v/>
      </c>
      <c r="W286" s="18">
        <f>AND(S286:V286)</f>
        <v/>
      </c>
      <c r="X286" s="19">
        <f>TRIM(IF(S286,"",$S$3&amp;" ")&amp;IF(T286,"",$T$3&amp;" ")&amp;IF(U286,"",$U$3&amp;" ")&amp;IF(V286,"",$V$3&amp;" "))</f>
        <v/>
      </c>
      <c r="Y286" s="18">
        <f>EXACT(SUBSTITUTE(A286," ",""),SUBSTITUTE(M286&amp;N286&amp;O286&amp;P286&amp;Q286," ",""))</f>
        <v/>
      </c>
    </row>
    <row r="287">
      <c r="A287" s="15" t="inlineStr">
        <is>
          <t>INSERT INTO MNG_DEAL_LIST_DSP_TBL VALUES(11 , 7 , 16 , 'N' );</t>
        </is>
      </c>
      <c r="B287" s="16" t="n"/>
      <c r="C287" s="15" t="inlineStr">
        <is>
          <t xml:space="preserve">11 </t>
        </is>
      </c>
      <c r="D287" s="15" t="inlineStr">
        <is>
          <t xml:space="preserve"> 7 </t>
        </is>
      </c>
      <c r="E287" s="15" t="inlineStr">
        <is>
          <t xml:space="preserve"> 16 </t>
        </is>
      </c>
      <c r="F287" s="15" t="inlineStr">
        <is>
          <t xml:space="preserve"> 'N' </t>
        </is>
      </c>
      <c r="H287" s="17" t="inlineStr">
        <is>
          <t>11</t>
        </is>
      </c>
      <c r="I287" s="17" t="inlineStr">
        <is>
          <t>7</t>
        </is>
      </c>
      <c r="J287" s="17" t="inlineStr">
        <is>
          <t>16</t>
        </is>
      </c>
      <c r="K287" s="17" t="inlineStr">
        <is>
          <t>N</t>
        </is>
      </c>
      <c r="M287" s="15" t="inlineStr">
        <is>
          <t>INSERT INTO</t>
        </is>
      </c>
      <c r="N287" s="15" t="inlineStr">
        <is>
          <t>MNG_DEAL_LIST_DSP_TBL</t>
        </is>
      </c>
      <c r="O287" s="15" t="inlineStr">
        <is>
          <t>VALUES(</t>
        </is>
      </c>
      <c r="P287" s="15" t="inlineStr">
        <is>
          <t xml:space="preserve">11 , 7 , 16 , 'N' </t>
        </is>
      </c>
      <c r="Q287" s="15" t="inlineStr">
        <is>
          <t>);</t>
        </is>
      </c>
      <c r="S287" s="18">
        <f>EXACT(TRIM(C287),H287&amp;"")</f>
        <v/>
      </c>
      <c r="T287" s="18">
        <f>EXACT(TRIM(D287),I287&amp;"")</f>
        <v/>
      </c>
      <c r="U287" s="18">
        <f>EXACT(TRIM(E287),J287&amp;"")</f>
        <v/>
      </c>
      <c r="V287" s="18">
        <f>EXACT(TRIM(F287),"'"&amp;K287&amp;"'")</f>
        <v/>
      </c>
      <c r="W287" s="18">
        <f>AND(S287:V287)</f>
        <v/>
      </c>
      <c r="X287" s="19">
        <f>TRIM(IF(S287,"",$S$3&amp;" ")&amp;IF(T287,"",$T$3&amp;" ")&amp;IF(U287,"",$U$3&amp;" ")&amp;IF(V287,"",$V$3&amp;" "))</f>
        <v/>
      </c>
      <c r="Y287" s="18">
        <f>EXACT(SUBSTITUTE(A287," ",""),SUBSTITUTE(M287&amp;N287&amp;O287&amp;P287&amp;Q287," ",""))</f>
        <v/>
      </c>
    </row>
    <row r="288">
      <c r="A288" s="15" t="inlineStr">
        <is>
          <t>INSERT INTO MNG_DEAL_LIST_DSP_TBL VALUES(11 , 8 , 1 , 'N' );</t>
        </is>
      </c>
      <c r="B288" s="16" t="n"/>
      <c r="C288" s="15" t="inlineStr">
        <is>
          <t xml:space="preserve">11 </t>
        </is>
      </c>
      <c r="D288" s="15" t="inlineStr">
        <is>
          <t xml:space="preserve"> 8 </t>
        </is>
      </c>
      <c r="E288" s="15" t="inlineStr">
        <is>
          <t xml:space="preserve"> 1 </t>
        </is>
      </c>
      <c r="F288" s="15" t="inlineStr">
        <is>
          <t xml:space="preserve"> 'N' </t>
        </is>
      </c>
      <c r="H288" s="17" t="inlineStr">
        <is>
          <t>11</t>
        </is>
      </c>
      <c r="I288" s="17" t="inlineStr">
        <is>
          <t>8</t>
        </is>
      </c>
      <c r="J288" s="17" t="inlineStr">
        <is>
          <t>1</t>
        </is>
      </c>
      <c r="K288" s="17" t="inlineStr">
        <is>
          <t>N</t>
        </is>
      </c>
      <c r="M288" s="15" t="inlineStr">
        <is>
          <t>INSERT INTO</t>
        </is>
      </c>
      <c r="N288" s="15" t="inlineStr">
        <is>
          <t>MNG_DEAL_LIST_DSP_TBL</t>
        </is>
      </c>
      <c r="O288" s="15" t="inlineStr">
        <is>
          <t>VALUES(</t>
        </is>
      </c>
      <c r="P288" s="15" t="inlineStr">
        <is>
          <t xml:space="preserve">11 , 8 , 1 , 'N' </t>
        </is>
      </c>
      <c r="Q288" s="15" t="inlineStr">
        <is>
          <t>);</t>
        </is>
      </c>
      <c r="S288" s="18">
        <f>EXACT(TRIM(C288),H288&amp;"")</f>
        <v/>
      </c>
      <c r="T288" s="18">
        <f>EXACT(TRIM(D288),I288&amp;"")</f>
        <v/>
      </c>
      <c r="U288" s="18">
        <f>EXACT(TRIM(E288),J288&amp;"")</f>
        <v/>
      </c>
      <c r="V288" s="18">
        <f>EXACT(TRIM(F288),"'"&amp;K288&amp;"'")</f>
        <v/>
      </c>
      <c r="W288" s="18">
        <f>AND(S288:V288)</f>
        <v/>
      </c>
      <c r="X288" s="19">
        <f>TRIM(IF(S288,"",$S$3&amp;" ")&amp;IF(T288,"",$T$3&amp;" ")&amp;IF(U288,"",$U$3&amp;" ")&amp;IF(V288,"",$V$3&amp;" "))</f>
        <v/>
      </c>
      <c r="Y288" s="18">
        <f>EXACT(SUBSTITUTE(A288," ",""),SUBSTITUTE(M288&amp;N288&amp;O288&amp;P288&amp;Q288," ",""))</f>
        <v/>
      </c>
    </row>
    <row r="289">
      <c r="A289" s="15" t="inlineStr">
        <is>
          <t>INSERT INTO MNG_DEAL_LIST_DSP_TBL VALUES(11 , 8 , 2 , 'N' );</t>
        </is>
      </c>
      <c r="B289" s="16" t="n"/>
      <c r="C289" s="15" t="inlineStr">
        <is>
          <t xml:space="preserve">11 </t>
        </is>
      </c>
      <c r="D289" s="15" t="inlineStr">
        <is>
          <t xml:space="preserve"> 8 </t>
        </is>
      </c>
      <c r="E289" s="15" t="inlineStr">
        <is>
          <t xml:space="preserve"> 2 </t>
        </is>
      </c>
      <c r="F289" s="15" t="inlineStr">
        <is>
          <t xml:space="preserve"> 'N' </t>
        </is>
      </c>
      <c r="H289" s="17" t="inlineStr">
        <is>
          <t>11</t>
        </is>
      </c>
      <c r="I289" s="17" t="inlineStr">
        <is>
          <t>8</t>
        </is>
      </c>
      <c r="J289" s="17" t="inlineStr">
        <is>
          <t>2</t>
        </is>
      </c>
      <c r="K289" s="17" t="inlineStr">
        <is>
          <t>N</t>
        </is>
      </c>
      <c r="M289" s="15" t="inlineStr">
        <is>
          <t>INSERT INTO</t>
        </is>
      </c>
      <c r="N289" s="15" t="inlineStr">
        <is>
          <t>MNG_DEAL_LIST_DSP_TBL</t>
        </is>
      </c>
      <c r="O289" s="15" t="inlineStr">
        <is>
          <t>VALUES(</t>
        </is>
      </c>
      <c r="P289" s="15" t="inlineStr">
        <is>
          <t xml:space="preserve">11 , 8 , 2 , 'N' </t>
        </is>
      </c>
      <c r="Q289" s="15" t="inlineStr">
        <is>
          <t>);</t>
        </is>
      </c>
      <c r="S289" s="18">
        <f>EXACT(TRIM(C289),H289&amp;"")</f>
        <v/>
      </c>
      <c r="T289" s="18">
        <f>EXACT(TRIM(D289),I289&amp;"")</f>
        <v/>
      </c>
      <c r="U289" s="18">
        <f>EXACT(TRIM(E289),J289&amp;"")</f>
        <v/>
      </c>
      <c r="V289" s="18">
        <f>EXACT(TRIM(F289),"'"&amp;K289&amp;"'")</f>
        <v/>
      </c>
      <c r="W289" s="18">
        <f>AND(S289:V289)</f>
        <v/>
      </c>
      <c r="X289" s="19">
        <f>TRIM(IF(S289,"",$S$3&amp;" ")&amp;IF(T289,"",$T$3&amp;" ")&amp;IF(U289,"",$U$3&amp;" ")&amp;IF(V289,"",$V$3&amp;" "))</f>
        <v/>
      </c>
      <c r="Y289" s="18">
        <f>EXACT(SUBSTITUTE(A289," ",""),SUBSTITUTE(M289&amp;N289&amp;O289&amp;P289&amp;Q289," ",""))</f>
        <v/>
      </c>
    </row>
    <row r="290">
      <c r="A290" s="15" t="inlineStr">
        <is>
          <t>INSERT INTO MNG_DEAL_LIST_DSP_TBL VALUES(11 , 8 , 3 , 'N' );</t>
        </is>
      </c>
      <c r="B290" s="16" t="n"/>
      <c r="C290" s="15" t="inlineStr">
        <is>
          <t xml:space="preserve">11 </t>
        </is>
      </c>
      <c r="D290" s="15" t="inlineStr">
        <is>
          <t xml:space="preserve"> 8 </t>
        </is>
      </c>
      <c r="E290" s="15" t="inlineStr">
        <is>
          <t xml:space="preserve"> 3 </t>
        </is>
      </c>
      <c r="F290" s="15" t="inlineStr">
        <is>
          <t xml:space="preserve"> 'N' </t>
        </is>
      </c>
      <c r="H290" s="17" t="inlineStr">
        <is>
          <t>11</t>
        </is>
      </c>
      <c r="I290" s="17" t="inlineStr">
        <is>
          <t>8</t>
        </is>
      </c>
      <c r="J290" s="17" t="inlineStr">
        <is>
          <t>3</t>
        </is>
      </c>
      <c r="K290" s="17" t="inlineStr">
        <is>
          <t>N</t>
        </is>
      </c>
      <c r="M290" s="15" t="inlineStr">
        <is>
          <t>INSERT INTO</t>
        </is>
      </c>
      <c r="N290" s="15" t="inlineStr">
        <is>
          <t>MNG_DEAL_LIST_DSP_TBL</t>
        </is>
      </c>
      <c r="O290" s="15" t="inlineStr">
        <is>
          <t>VALUES(</t>
        </is>
      </c>
      <c r="P290" s="15" t="inlineStr">
        <is>
          <t xml:space="preserve">11 , 8 , 3 , 'N' </t>
        </is>
      </c>
      <c r="Q290" s="15" t="inlineStr">
        <is>
          <t>);</t>
        </is>
      </c>
      <c r="S290" s="18">
        <f>EXACT(TRIM(C290),H290&amp;"")</f>
        <v/>
      </c>
      <c r="T290" s="18">
        <f>EXACT(TRIM(D290),I290&amp;"")</f>
        <v/>
      </c>
      <c r="U290" s="18">
        <f>EXACT(TRIM(E290),J290&amp;"")</f>
        <v/>
      </c>
      <c r="V290" s="18">
        <f>EXACT(TRIM(F290),"'"&amp;K290&amp;"'")</f>
        <v/>
      </c>
      <c r="W290" s="18">
        <f>AND(S290:V290)</f>
        <v/>
      </c>
      <c r="X290" s="19">
        <f>TRIM(IF(S290,"",$S$3&amp;" ")&amp;IF(T290,"",$T$3&amp;" ")&amp;IF(U290,"",$U$3&amp;" ")&amp;IF(V290,"",$V$3&amp;" "))</f>
        <v/>
      </c>
      <c r="Y290" s="18">
        <f>EXACT(SUBSTITUTE(A290," ",""),SUBSTITUTE(M290&amp;N290&amp;O290&amp;P290&amp;Q290," ",""))</f>
        <v/>
      </c>
    </row>
    <row r="291">
      <c r="A291" s="15" t="inlineStr">
        <is>
          <t>INSERT INTO MNG_DEAL_LIST_DSP_TBL VALUES(11 , 8 , 4 , 'N' );</t>
        </is>
      </c>
      <c r="B291" s="16" t="n"/>
      <c r="C291" s="15" t="inlineStr">
        <is>
          <t xml:space="preserve">11 </t>
        </is>
      </c>
      <c r="D291" s="15" t="inlineStr">
        <is>
          <t xml:space="preserve"> 8 </t>
        </is>
      </c>
      <c r="E291" s="15" t="inlineStr">
        <is>
          <t xml:space="preserve"> 4 </t>
        </is>
      </c>
      <c r="F291" s="15" t="inlineStr">
        <is>
          <t xml:space="preserve"> 'N' </t>
        </is>
      </c>
      <c r="H291" s="17" t="inlineStr">
        <is>
          <t>11</t>
        </is>
      </c>
      <c r="I291" s="17" t="inlineStr">
        <is>
          <t>8</t>
        </is>
      </c>
      <c r="J291" s="17" t="inlineStr">
        <is>
          <t>4</t>
        </is>
      </c>
      <c r="K291" s="17" t="inlineStr">
        <is>
          <t>N</t>
        </is>
      </c>
      <c r="M291" s="15" t="inlineStr">
        <is>
          <t>INSERT INTO</t>
        </is>
      </c>
      <c r="N291" s="15" t="inlineStr">
        <is>
          <t>MNG_DEAL_LIST_DSP_TBL</t>
        </is>
      </c>
      <c r="O291" s="15" t="inlineStr">
        <is>
          <t>VALUES(</t>
        </is>
      </c>
      <c r="P291" s="15" t="inlineStr">
        <is>
          <t xml:space="preserve">11 , 8 , 4 , 'N' </t>
        </is>
      </c>
      <c r="Q291" s="15" t="inlineStr">
        <is>
          <t>);</t>
        </is>
      </c>
      <c r="S291" s="18">
        <f>EXACT(TRIM(C291),H291&amp;"")</f>
        <v/>
      </c>
      <c r="T291" s="18">
        <f>EXACT(TRIM(D291),I291&amp;"")</f>
        <v/>
      </c>
      <c r="U291" s="18">
        <f>EXACT(TRIM(E291),J291&amp;"")</f>
        <v/>
      </c>
      <c r="V291" s="18">
        <f>EXACT(TRIM(F291),"'"&amp;K291&amp;"'")</f>
        <v/>
      </c>
      <c r="W291" s="18">
        <f>AND(S291:V291)</f>
        <v/>
      </c>
      <c r="X291" s="19">
        <f>TRIM(IF(S291,"",$S$3&amp;" ")&amp;IF(T291,"",$T$3&amp;" ")&amp;IF(U291,"",$U$3&amp;" ")&amp;IF(V291,"",$V$3&amp;" "))</f>
        <v/>
      </c>
      <c r="Y291" s="18">
        <f>EXACT(SUBSTITUTE(A291," ",""),SUBSTITUTE(M291&amp;N291&amp;O291&amp;P291&amp;Q291," ",""))</f>
        <v/>
      </c>
    </row>
    <row r="292">
      <c r="A292" s="15" t="inlineStr">
        <is>
          <t>INSERT INTO MNG_DEAL_LIST_DSP_TBL VALUES(11 , 8 , 5 , 'N' );</t>
        </is>
      </c>
      <c r="B292" s="16" t="n"/>
      <c r="C292" s="15" t="inlineStr">
        <is>
          <t xml:space="preserve">11 </t>
        </is>
      </c>
      <c r="D292" s="15" t="inlineStr">
        <is>
          <t xml:space="preserve"> 8 </t>
        </is>
      </c>
      <c r="E292" s="15" t="inlineStr">
        <is>
          <t xml:space="preserve"> 5 </t>
        </is>
      </c>
      <c r="F292" s="15" t="inlineStr">
        <is>
          <t xml:space="preserve"> 'N' </t>
        </is>
      </c>
      <c r="H292" s="17" t="inlineStr">
        <is>
          <t>11</t>
        </is>
      </c>
      <c r="I292" s="17" t="inlineStr">
        <is>
          <t>8</t>
        </is>
      </c>
      <c r="J292" s="17" t="inlineStr">
        <is>
          <t>5</t>
        </is>
      </c>
      <c r="K292" s="17" t="inlineStr">
        <is>
          <t>N</t>
        </is>
      </c>
      <c r="M292" s="15" t="inlineStr">
        <is>
          <t>INSERT INTO</t>
        </is>
      </c>
      <c r="N292" s="15" t="inlineStr">
        <is>
          <t>MNG_DEAL_LIST_DSP_TBL</t>
        </is>
      </c>
      <c r="O292" s="15" t="inlineStr">
        <is>
          <t>VALUES(</t>
        </is>
      </c>
      <c r="P292" s="15" t="inlineStr">
        <is>
          <t xml:space="preserve">11 , 8 , 5 , 'N' </t>
        </is>
      </c>
      <c r="Q292" s="15" t="inlineStr">
        <is>
          <t>);</t>
        </is>
      </c>
      <c r="S292" s="18">
        <f>EXACT(TRIM(C292),H292&amp;"")</f>
        <v/>
      </c>
      <c r="T292" s="18">
        <f>EXACT(TRIM(D292),I292&amp;"")</f>
        <v/>
      </c>
      <c r="U292" s="18">
        <f>EXACT(TRIM(E292),J292&amp;"")</f>
        <v/>
      </c>
      <c r="V292" s="18">
        <f>EXACT(TRIM(F292),"'"&amp;K292&amp;"'")</f>
        <v/>
      </c>
      <c r="W292" s="18">
        <f>AND(S292:V292)</f>
        <v/>
      </c>
      <c r="X292" s="19">
        <f>TRIM(IF(S292,"",$S$3&amp;" ")&amp;IF(T292,"",$T$3&amp;" ")&amp;IF(U292,"",$U$3&amp;" ")&amp;IF(V292,"",$V$3&amp;" "))</f>
        <v/>
      </c>
      <c r="Y292" s="18">
        <f>EXACT(SUBSTITUTE(A292," ",""),SUBSTITUTE(M292&amp;N292&amp;O292&amp;P292&amp;Q292," ",""))</f>
        <v/>
      </c>
    </row>
    <row r="293">
      <c r="A293" s="15" t="inlineStr">
        <is>
          <t>INSERT INTO MNG_DEAL_LIST_DSP_TBL VALUES(11 , 8 , 6 , 'N' );</t>
        </is>
      </c>
      <c r="B293" s="16" t="n"/>
      <c r="C293" s="15" t="inlineStr">
        <is>
          <t xml:space="preserve">11 </t>
        </is>
      </c>
      <c r="D293" s="15" t="inlineStr">
        <is>
          <t xml:space="preserve"> 8 </t>
        </is>
      </c>
      <c r="E293" s="15" t="inlineStr">
        <is>
          <t xml:space="preserve"> 6 </t>
        </is>
      </c>
      <c r="F293" s="15" t="inlineStr">
        <is>
          <t xml:space="preserve"> 'N' </t>
        </is>
      </c>
      <c r="H293" s="17" t="inlineStr">
        <is>
          <t>11</t>
        </is>
      </c>
      <c r="I293" s="17" t="inlineStr">
        <is>
          <t>8</t>
        </is>
      </c>
      <c r="J293" s="17" t="inlineStr">
        <is>
          <t>6</t>
        </is>
      </c>
      <c r="K293" s="17" t="inlineStr">
        <is>
          <t>N</t>
        </is>
      </c>
      <c r="M293" s="15" t="inlineStr">
        <is>
          <t>INSERT INTO</t>
        </is>
      </c>
      <c r="N293" s="15" t="inlineStr">
        <is>
          <t>MNG_DEAL_LIST_DSP_TBL</t>
        </is>
      </c>
      <c r="O293" s="15" t="inlineStr">
        <is>
          <t>VALUES(</t>
        </is>
      </c>
      <c r="P293" s="15" t="inlineStr">
        <is>
          <t xml:space="preserve">11 , 8 , 6 , 'N' </t>
        </is>
      </c>
      <c r="Q293" s="15" t="inlineStr">
        <is>
          <t>);</t>
        </is>
      </c>
      <c r="S293" s="18">
        <f>EXACT(TRIM(C293),H293&amp;"")</f>
        <v/>
      </c>
      <c r="T293" s="18">
        <f>EXACT(TRIM(D293),I293&amp;"")</f>
        <v/>
      </c>
      <c r="U293" s="18">
        <f>EXACT(TRIM(E293),J293&amp;"")</f>
        <v/>
      </c>
      <c r="V293" s="18">
        <f>EXACT(TRIM(F293),"'"&amp;K293&amp;"'")</f>
        <v/>
      </c>
      <c r="W293" s="18">
        <f>AND(S293:V293)</f>
        <v/>
      </c>
      <c r="X293" s="19">
        <f>TRIM(IF(S293,"",$S$3&amp;" ")&amp;IF(T293,"",$T$3&amp;" ")&amp;IF(U293,"",$U$3&amp;" ")&amp;IF(V293,"",$V$3&amp;" "))</f>
        <v/>
      </c>
      <c r="Y293" s="18">
        <f>EXACT(SUBSTITUTE(A293," ",""),SUBSTITUTE(M293&amp;N293&amp;O293&amp;P293&amp;Q293," ",""))</f>
        <v/>
      </c>
    </row>
    <row r="294">
      <c r="A294" s="15" t="inlineStr">
        <is>
          <t>INSERT INTO MNG_DEAL_LIST_DSP_TBL VALUES(11 , 8 , 7 , 'N' );</t>
        </is>
      </c>
      <c r="B294" s="16" t="n"/>
      <c r="C294" s="15" t="inlineStr">
        <is>
          <t xml:space="preserve">11 </t>
        </is>
      </c>
      <c r="D294" s="15" t="inlineStr">
        <is>
          <t xml:space="preserve"> 8 </t>
        </is>
      </c>
      <c r="E294" s="15" t="inlineStr">
        <is>
          <t xml:space="preserve"> 7 </t>
        </is>
      </c>
      <c r="F294" s="15" t="inlineStr">
        <is>
          <t xml:space="preserve"> 'N' </t>
        </is>
      </c>
      <c r="H294" s="17" t="inlineStr">
        <is>
          <t>11</t>
        </is>
      </c>
      <c r="I294" s="17" t="inlineStr">
        <is>
          <t>8</t>
        </is>
      </c>
      <c r="J294" s="17" t="inlineStr">
        <is>
          <t>7</t>
        </is>
      </c>
      <c r="K294" s="17" t="inlineStr">
        <is>
          <t>N</t>
        </is>
      </c>
      <c r="M294" s="15" t="inlineStr">
        <is>
          <t>INSERT INTO</t>
        </is>
      </c>
      <c r="N294" s="15" t="inlineStr">
        <is>
          <t>MNG_DEAL_LIST_DSP_TBL</t>
        </is>
      </c>
      <c r="O294" s="15" t="inlineStr">
        <is>
          <t>VALUES(</t>
        </is>
      </c>
      <c r="P294" s="15" t="inlineStr">
        <is>
          <t xml:space="preserve">11 , 8 , 7 , 'N' </t>
        </is>
      </c>
      <c r="Q294" s="15" t="inlineStr">
        <is>
          <t>);</t>
        </is>
      </c>
      <c r="S294" s="18">
        <f>EXACT(TRIM(C294),H294&amp;"")</f>
        <v/>
      </c>
      <c r="T294" s="18">
        <f>EXACT(TRIM(D294),I294&amp;"")</f>
        <v/>
      </c>
      <c r="U294" s="18">
        <f>EXACT(TRIM(E294),J294&amp;"")</f>
        <v/>
      </c>
      <c r="V294" s="18">
        <f>EXACT(TRIM(F294),"'"&amp;K294&amp;"'")</f>
        <v/>
      </c>
      <c r="W294" s="18">
        <f>AND(S294:V294)</f>
        <v/>
      </c>
      <c r="X294" s="19">
        <f>TRIM(IF(S294,"",$S$3&amp;" ")&amp;IF(T294,"",$T$3&amp;" ")&amp;IF(U294,"",$U$3&amp;" ")&amp;IF(V294,"",$V$3&amp;" "))</f>
        <v/>
      </c>
      <c r="Y294" s="18">
        <f>EXACT(SUBSTITUTE(A294," ",""),SUBSTITUTE(M294&amp;N294&amp;O294&amp;P294&amp;Q294," ",""))</f>
        <v/>
      </c>
    </row>
    <row r="295">
      <c r="A295" s="15" t="inlineStr">
        <is>
          <t>INSERT INTO MNG_DEAL_LIST_DSP_TBL VALUES(11 , 8 , 8 , 'N' );</t>
        </is>
      </c>
      <c r="B295" s="16" t="n"/>
      <c r="C295" s="15" t="inlineStr">
        <is>
          <t xml:space="preserve">11 </t>
        </is>
      </c>
      <c r="D295" s="15" t="inlineStr">
        <is>
          <t xml:space="preserve"> 8 </t>
        </is>
      </c>
      <c r="E295" s="15" t="inlineStr">
        <is>
          <t xml:space="preserve"> 8 </t>
        </is>
      </c>
      <c r="F295" s="15" t="inlineStr">
        <is>
          <t xml:space="preserve"> 'N' </t>
        </is>
      </c>
      <c r="H295" s="17" t="inlineStr">
        <is>
          <t>11</t>
        </is>
      </c>
      <c r="I295" s="17" t="inlineStr">
        <is>
          <t>8</t>
        </is>
      </c>
      <c r="J295" s="17" t="inlineStr">
        <is>
          <t>8</t>
        </is>
      </c>
      <c r="K295" s="17" t="inlineStr">
        <is>
          <t>N</t>
        </is>
      </c>
      <c r="M295" s="15" t="inlineStr">
        <is>
          <t>INSERT INTO</t>
        </is>
      </c>
      <c r="N295" s="15" t="inlineStr">
        <is>
          <t>MNG_DEAL_LIST_DSP_TBL</t>
        </is>
      </c>
      <c r="O295" s="15" t="inlineStr">
        <is>
          <t>VALUES(</t>
        </is>
      </c>
      <c r="P295" s="15" t="inlineStr">
        <is>
          <t xml:space="preserve">11 , 8 , 8 , 'N' </t>
        </is>
      </c>
      <c r="Q295" s="15" t="inlineStr">
        <is>
          <t>);</t>
        </is>
      </c>
      <c r="S295" s="18">
        <f>EXACT(TRIM(C295),H295&amp;"")</f>
        <v/>
      </c>
      <c r="T295" s="18">
        <f>EXACT(TRIM(D295),I295&amp;"")</f>
        <v/>
      </c>
      <c r="U295" s="18">
        <f>EXACT(TRIM(E295),J295&amp;"")</f>
        <v/>
      </c>
      <c r="V295" s="18">
        <f>EXACT(TRIM(F295),"'"&amp;K295&amp;"'")</f>
        <v/>
      </c>
      <c r="W295" s="18">
        <f>AND(S295:V295)</f>
        <v/>
      </c>
      <c r="X295" s="19">
        <f>TRIM(IF(S295,"",$S$3&amp;" ")&amp;IF(T295,"",$T$3&amp;" ")&amp;IF(U295,"",$U$3&amp;" ")&amp;IF(V295,"",$V$3&amp;" "))</f>
        <v/>
      </c>
      <c r="Y295" s="18">
        <f>EXACT(SUBSTITUTE(A295," ",""),SUBSTITUTE(M295&amp;N295&amp;O295&amp;P295&amp;Q295," ",""))</f>
        <v/>
      </c>
    </row>
    <row r="296">
      <c r="A296" s="15" t="inlineStr">
        <is>
          <t>INSERT INTO MNG_DEAL_LIST_DSP_TBL VALUES(11 , 8 , 9 , 'N' );</t>
        </is>
      </c>
      <c r="B296" s="16" t="n"/>
      <c r="C296" s="15" t="inlineStr">
        <is>
          <t xml:space="preserve">11 </t>
        </is>
      </c>
      <c r="D296" s="15" t="inlineStr">
        <is>
          <t xml:space="preserve"> 8 </t>
        </is>
      </c>
      <c r="E296" s="15" t="inlineStr">
        <is>
          <t xml:space="preserve"> 9 </t>
        </is>
      </c>
      <c r="F296" s="15" t="inlineStr">
        <is>
          <t xml:space="preserve"> 'N' </t>
        </is>
      </c>
      <c r="H296" s="17" t="inlineStr">
        <is>
          <t>11</t>
        </is>
      </c>
      <c r="I296" s="17" t="inlineStr">
        <is>
          <t>8</t>
        </is>
      </c>
      <c r="J296" s="17" t="inlineStr">
        <is>
          <t>9</t>
        </is>
      </c>
      <c r="K296" s="17" t="inlineStr">
        <is>
          <t>N</t>
        </is>
      </c>
      <c r="M296" s="15" t="inlineStr">
        <is>
          <t>INSERT INTO</t>
        </is>
      </c>
      <c r="N296" s="15" t="inlineStr">
        <is>
          <t>MNG_DEAL_LIST_DSP_TBL</t>
        </is>
      </c>
      <c r="O296" s="15" t="inlineStr">
        <is>
          <t>VALUES(</t>
        </is>
      </c>
      <c r="P296" s="15" t="inlineStr">
        <is>
          <t xml:space="preserve">11 , 8 , 9 , 'N' </t>
        </is>
      </c>
      <c r="Q296" s="15" t="inlineStr">
        <is>
          <t>);</t>
        </is>
      </c>
      <c r="S296" s="18">
        <f>EXACT(TRIM(C296),H296&amp;"")</f>
        <v/>
      </c>
      <c r="T296" s="18">
        <f>EXACT(TRIM(D296),I296&amp;"")</f>
        <v/>
      </c>
      <c r="U296" s="18">
        <f>EXACT(TRIM(E296),J296&amp;"")</f>
        <v/>
      </c>
      <c r="V296" s="18">
        <f>EXACT(TRIM(F296),"'"&amp;K296&amp;"'")</f>
        <v/>
      </c>
      <c r="W296" s="18">
        <f>AND(S296:V296)</f>
        <v/>
      </c>
      <c r="X296" s="19">
        <f>TRIM(IF(S296,"",$S$3&amp;" ")&amp;IF(T296,"",$T$3&amp;" ")&amp;IF(U296,"",$U$3&amp;" ")&amp;IF(V296,"",$V$3&amp;" "))</f>
        <v/>
      </c>
      <c r="Y296" s="18">
        <f>EXACT(SUBSTITUTE(A296," ",""),SUBSTITUTE(M296&amp;N296&amp;O296&amp;P296&amp;Q296," ",""))</f>
        <v/>
      </c>
    </row>
    <row r="297">
      <c r="A297" s="15" t="inlineStr">
        <is>
          <t>INSERT INTO MNG_DEAL_LIST_DSP_TBL VALUES(11 , 8 , 10 , 'N' );</t>
        </is>
      </c>
      <c r="B297" s="16" t="n"/>
      <c r="C297" s="15" t="inlineStr">
        <is>
          <t xml:space="preserve">11 </t>
        </is>
      </c>
      <c r="D297" s="15" t="inlineStr">
        <is>
          <t xml:space="preserve"> 8 </t>
        </is>
      </c>
      <c r="E297" s="15" t="inlineStr">
        <is>
          <t xml:space="preserve"> 10 </t>
        </is>
      </c>
      <c r="F297" s="15" t="inlineStr">
        <is>
          <t xml:space="preserve"> 'N' </t>
        </is>
      </c>
      <c r="H297" s="17" t="inlineStr">
        <is>
          <t>11</t>
        </is>
      </c>
      <c r="I297" s="17" t="inlineStr">
        <is>
          <t>8</t>
        </is>
      </c>
      <c r="J297" s="17" t="inlineStr">
        <is>
          <t>10</t>
        </is>
      </c>
      <c r="K297" s="17" t="inlineStr">
        <is>
          <t>N</t>
        </is>
      </c>
      <c r="M297" s="15" t="inlineStr">
        <is>
          <t>INSERT INTO</t>
        </is>
      </c>
      <c r="N297" s="15" t="inlineStr">
        <is>
          <t>MNG_DEAL_LIST_DSP_TBL</t>
        </is>
      </c>
      <c r="O297" s="15" t="inlineStr">
        <is>
          <t>VALUES(</t>
        </is>
      </c>
      <c r="P297" s="15" t="inlineStr">
        <is>
          <t xml:space="preserve">11 , 8 , 10 , 'N' </t>
        </is>
      </c>
      <c r="Q297" s="15" t="inlineStr">
        <is>
          <t>);</t>
        </is>
      </c>
      <c r="S297" s="18">
        <f>EXACT(TRIM(C297),H297&amp;"")</f>
        <v/>
      </c>
      <c r="T297" s="18">
        <f>EXACT(TRIM(D297),I297&amp;"")</f>
        <v/>
      </c>
      <c r="U297" s="18">
        <f>EXACT(TRIM(E297),J297&amp;"")</f>
        <v/>
      </c>
      <c r="V297" s="18">
        <f>EXACT(TRIM(F297),"'"&amp;K297&amp;"'")</f>
        <v/>
      </c>
      <c r="W297" s="18">
        <f>AND(S297:V297)</f>
        <v/>
      </c>
      <c r="X297" s="19">
        <f>TRIM(IF(S297,"",$S$3&amp;" ")&amp;IF(T297,"",$T$3&amp;" ")&amp;IF(U297,"",$U$3&amp;" ")&amp;IF(V297,"",$V$3&amp;" "))</f>
        <v/>
      </c>
      <c r="Y297" s="18">
        <f>EXACT(SUBSTITUTE(A297," ",""),SUBSTITUTE(M297&amp;N297&amp;O297&amp;P297&amp;Q297," ",""))</f>
        <v/>
      </c>
    </row>
    <row r="298">
      <c r="A298" s="15" t="inlineStr">
        <is>
          <t>INSERT INTO MNG_DEAL_LIST_DSP_TBL VALUES(11 , 8 , 11 , 'N' );</t>
        </is>
      </c>
      <c r="B298" s="16" t="n"/>
      <c r="C298" s="15" t="inlineStr">
        <is>
          <t xml:space="preserve">11 </t>
        </is>
      </c>
      <c r="D298" s="15" t="inlineStr">
        <is>
          <t xml:space="preserve"> 8 </t>
        </is>
      </c>
      <c r="E298" s="15" t="inlineStr">
        <is>
          <t xml:space="preserve"> 11 </t>
        </is>
      </c>
      <c r="F298" s="15" t="inlineStr">
        <is>
          <t xml:space="preserve"> 'N' </t>
        </is>
      </c>
      <c r="H298" s="17" t="inlineStr">
        <is>
          <t>11</t>
        </is>
      </c>
      <c r="I298" s="17" t="inlineStr">
        <is>
          <t>8</t>
        </is>
      </c>
      <c r="J298" s="17" t="inlineStr">
        <is>
          <t>11</t>
        </is>
      </c>
      <c r="K298" s="17" t="inlineStr">
        <is>
          <t>N</t>
        </is>
      </c>
      <c r="M298" s="15" t="inlineStr">
        <is>
          <t>INSERT INTO</t>
        </is>
      </c>
      <c r="N298" s="15" t="inlineStr">
        <is>
          <t>MNG_DEAL_LIST_DSP_TBL</t>
        </is>
      </c>
      <c r="O298" s="15" t="inlineStr">
        <is>
          <t>VALUES(</t>
        </is>
      </c>
      <c r="P298" s="15" t="inlineStr">
        <is>
          <t xml:space="preserve">11 , 8 , 11 , 'N' </t>
        </is>
      </c>
      <c r="Q298" s="15" t="inlineStr">
        <is>
          <t>);</t>
        </is>
      </c>
      <c r="S298" s="18">
        <f>EXACT(TRIM(C298),H298&amp;"")</f>
        <v/>
      </c>
      <c r="T298" s="18">
        <f>EXACT(TRIM(D298),I298&amp;"")</f>
        <v/>
      </c>
      <c r="U298" s="18">
        <f>EXACT(TRIM(E298),J298&amp;"")</f>
        <v/>
      </c>
      <c r="V298" s="18">
        <f>EXACT(TRIM(F298),"'"&amp;K298&amp;"'")</f>
        <v/>
      </c>
      <c r="W298" s="18">
        <f>AND(S298:V298)</f>
        <v/>
      </c>
      <c r="X298" s="19">
        <f>TRIM(IF(S298,"",$S$3&amp;" ")&amp;IF(T298,"",$T$3&amp;" ")&amp;IF(U298,"",$U$3&amp;" ")&amp;IF(V298,"",$V$3&amp;" "))</f>
        <v/>
      </c>
      <c r="Y298" s="18">
        <f>EXACT(SUBSTITUTE(A298," ",""),SUBSTITUTE(M298&amp;N298&amp;O298&amp;P298&amp;Q298," ",""))</f>
        <v/>
      </c>
    </row>
    <row r="299">
      <c r="A299" s="15" t="inlineStr">
        <is>
          <t>INSERT INTO MNG_DEAL_LIST_DSP_TBL VALUES(11 , 8 , 12 , 'N' );</t>
        </is>
      </c>
      <c r="B299" s="16" t="n"/>
      <c r="C299" s="15" t="inlineStr">
        <is>
          <t xml:space="preserve">11 </t>
        </is>
      </c>
      <c r="D299" s="15" t="inlineStr">
        <is>
          <t xml:space="preserve"> 8 </t>
        </is>
      </c>
      <c r="E299" s="15" t="inlineStr">
        <is>
          <t xml:space="preserve"> 12 </t>
        </is>
      </c>
      <c r="F299" s="15" t="inlineStr">
        <is>
          <t xml:space="preserve"> 'N' </t>
        </is>
      </c>
      <c r="H299" s="17" t="inlineStr">
        <is>
          <t>11</t>
        </is>
      </c>
      <c r="I299" s="17" t="inlineStr">
        <is>
          <t>8</t>
        </is>
      </c>
      <c r="J299" s="17" t="inlineStr">
        <is>
          <t>12</t>
        </is>
      </c>
      <c r="K299" s="17" t="inlineStr">
        <is>
          <t>N</t>
        </is>
      </c>
      <c r="M299" s="15" t="inlineStr">
        <is>
          <t>INSERT INTO</t>
        </is>
      </c>
      <c r="N299" s="15" t="inlineStr">
        <is>
          <t>MNG_DEAL_LIST_DSP_TBL</t>
        </is>
      </c>
      <c r="O299" s="15" t="inlineStr">
        <is>
          <t>VALUES(</t>
        </is>
      </c>
      <c r="P299" s="15" t="inlineStr">
        <is>
          <t xml:space="preserve">11 , 8 , 12 , 'N' </t>
        </is>
      </c>
      <c r="Q299" s="15" t="inlineStr">
        <is>
          <t>);</t>
        </is>
      </c>
      <c r="S299" s="18">
        <f>EXACT(TRIM(C299),H299&amp;"")</f>
        <v/>
      </c>
      <c r="T299" s="18">
        <f>EXACT(TRIM(D299),I299&amp;"")</f>
        <v/>
      </c>
      <c r="U299" s="18">
        <f>EXACT(TRIM(E299),J299&amp;"")</f>
        <v/>
      </c>
      <c r="V299" s="18">
        <f>EXACT(TRIM(F299),"'"&amp;K299&amp;"'")</f>
        <v/>
      </c>
      <c r="W299" s="18">
        <f>AND(S299:V299)</f>
        <v/>
      </c>
      <c r="X299" s="19">
        <f>TRIM(IF(S299,"",$S$3&amp;" ")&amp;IF(T299,"",$T$3&amp;" ")&amp;IF(U299,"",$U$3&amp;" ")&amp;IF(V299,"",$V$3&amp;" "))</f>
        <v/>
      </c>
      <c r="Y299" s="18">
        <f>EXACT(SUBSTITUTE(A299," ",""),SUBSTITUTE(M299&amp;N299&amp;O299&amp;P299&amp;Q299," ",""))</f>
        <v/>
      </c>
    </row>
    <row r="300">
      <c r="A300" s="15" t="inlineStr">
        <is>
          <t>INSERT INTO MNG_DEAL_LIST_DSP_TBL VALUES(11 , 8 , 13 , 'N' );</t>
        </is>
      </c>
      <c r="B300" s="16" t="n"/>
      <c r="C300" s="15" t="inlineStr">
        <is>
          <t xml:space="preserve">11 </t>
        </is>
      </c>
      <c r="D300" s="15" t="inlineStr">
        <is>
          <t xml:space="preserve"> 8 </t>
        </is>
      </c>
      <c r="E300" s="15" t="inlineStr">
        <is>
          <t xml:space="preserve"> 13 </t>
        </is>
      </c>
      <c r="F300" s="15" t="inlineStr">
        <is>
          <t xml:space="preserve"> 'N' </t>
        </is>
      </c>
      <c r="H300" s="17" t="inlineStr">
        <is>
          <t>11</t>
        </is>
      </c>
      <c r="I300" s="17" t="inlineStr">
        <is>
          <t>8</t>
        </is>
      </c>
      <c r="J300" s="17" t="inlineStr">
        <is>
          <t>13</t>
        </is>
      </c>
      <c r="K300" s="17" t="inlineStr">
        <is>
          <t>N</t>
        </is>
      </c>
      <c r="M300" s="15" t="inlineStr">
        <is>
          <t>INSERT INTO</t>
        </is>
      </c>
      <c r="N300" s="15" t="inlineStr">
        <is>
          <t>MNG_DEAL_LIST_DSP_TBL</t>
        </is>
      </c>
      <c r="O300" s="15" t="inlineStr">
        <is>
          <t>VALUES(</t>
        </is>
      </c>
      <c r="P300" s="15" t="inlineStr">
        <is>
          <t xml:space="preserve">11 , 8 , 13 , 'N' </t>
        </is>
      </c>
      <c r="Q300" s="15" t="inlineStr">
        <is>
          <t>);</t>
        </is>
      </c>
      <c r="S300" s="18">
        <f>EXACT(TRIM(C300),H300&amp;"")</f>
        <v/>
      </c>
      <c r="T300" s="18">
        <f>EXACT(TRIM(D300),I300&amp;"")</f>
        <v/>
      </c>
      <c r="U300" s="18">
        <f>EXACT(TRIM(E300),J300&amp;"")</f>
        <v/>
      </c>
      <c r="V300" s="18">
        <f>EXACT(TRIM(F300),"'"&amp;K300&amp;"'")</f>
        <v/>
      </c>
      <c r="W300" s="18">
        <f>AND(S300:V300)</f>
        <v/>
      </c>
      <c r="X300" s="19">
        <f>TRIM(IF(S300,"",$S$3&amp;" ")&amp;IF(T300,"",$T$3&amp;" ")&amp;IF(U300,"",$U$3&amp;" ")&amp;IF(V300,"",$V$3&amp;" "))</f>
        <v/>
      </c>
      <c r="Y300" s="18">
        <f>EXACT(SUBSTITUTE(A300," ",""),SUBSTITUTE(M300&amp;N300&amp;O300&amp;P300&amp;Q300," ",""))</f>
        <v/>
      </c>
    </row>
    <row r="301">
      <c r="A301" s="15" t="inlineStr">
        <is>
          <t>INSERT INTO MNG_DEAL_LIST_DSP_TBL VALUES(11 , 8 , 14 , 'N' );</t>
        </is>
      </c>
      <c r="B301" s="16" t="n"/>
      <c r="C301" s="15" t="inlineStr">
        <is>
          <t xml:space="preserve">11 </t>
        </is>
      </c>
      <c r="D301" s="15" t="inlineStr">
        <is>
          <t xml:space="preserve"> 8 </t>
        </is>
      </c>
      <c r="E301" s="15" t="inlineStr">
        <is>
          <t xml:space="preserve"> 14 </t>
        </is>
      </c>
      <c r="F301" s="15" t="inlineStr">
        <is>
          <t xml:space="preserve"> 'N' </t>
        </is>
      </c>
      <c r="H301" s="17" t="inlineStr">
        <is>
          <t>11</t>
        </is>
      </c>
      <c r="I301" s="17" t="inlineStr">
        <is>
          <t>8</t>
        </is>
      </c>
      <c r="J301" s="17" t="inlineStr">
        <is>
          <t>14</t>
        </is>
      </c>
      <c r="K301" s="17" t="inlineStr">
        <is>
          <t>N</t>
        </is>
      </c>
      <c r="M301" s="15" t="inlineStr">
        <is>
          <t>INSERT INTO</t>
        </is>
      </c>
      <c r="N301" s="15" t="inlineStr">
        <is>
          <t>MNG_DEAL_LIST_DSP_TBL</t>
        </is>
      </c>
      <c r="O301" s="15" t="inlineStr">
        <is>
          <t>VALUES(</t>
        </is>
      </c>
      <c r="P301" s="15" t="inlineStr">
        <is>
          <t xml:space="preserve">11 , 8 , 14 , 'N' </t>
        </is>
      </c>
      <c r="Q301" s="15" t="inlineStr">
        <is>
          <t>);</t>
        </is>
      </c>
      <c r="S301" s="18">
        <f>EXACT(TRIM(C301),H301&amp;"")</f>
        <v/>
      </c>
      <c r="T301" s="18">
        <f>EXACT(TRIM(D301),I301&amp;"")</f>
        <v/>
      </c>
      <c r="U301" s="18">
        <f>EXACT(TRIM(E301),J301&amp;"")</f>
        <v/>
      </c>
      <c r="V301" s="18">
        <f>EXACT(TRIM(F301),"'"&amp;K301&amp;"'")</f>
        <v/>
      </c>
      <c r="W301" s="18">
        <f>AND(S301:V301)</f>
        <v/>
      </c>
      <c r="X301" s="19">
        <f>TRIM(IF(S301,"",$S$3&amp;" ")&amp;IF(T301,"",$T$3&amp;" ")&amp;IF(U301,"",$U$3&amp;" ")&amp;IF(V301,"",$V$3&amp;" "))</f>
        <v/>
      </c>
      <c r="Y301" s="18">
        <f>EXACT(SUBSTITUTE(A301," ",""),SUBSTITUTE(M301&amp;N301&amp;O301&amp;P301&amp;Q301," ",""))</f>
        <v/>
      </c>
    </row>
    <row r="302">
      <c r="A302" s="15" t="inlineStr">
        <is>
          <t>INSERT INTO MNG_DEAL_LIST_DSP_TBL VALUES(11 , 8 , 15 , 'N' );</t>
        </is>
      </c>
      <c r="B302" s="16" t="n"/>
      <c r="C302" s="15" t="inlineStr">
        <is>
          <t xml:space="preserve">11 </t>
        </is>
      </c>
      <c r="D302" s="15" t="inlineStr">
        <is>
          <t xml:space="preserve"> 8 </t>
        </is>
      </c>
      <c r="E302" s="15" t="inlineStr">
        <is>
          <t xml:space="preserve"> 15 </t>
        </is>
      </c>
      <c r="F302" s="15" t="inlineStr">
        <is>
          <t xml:space="preserve"> 'N' </t>
        </is>
      </c>
      <c r="H302" s="17" t="inlineStr">
        <is>
          <t>11</t>
        </is>
      </c>
      <c r="I302" s="17" t="inlineStr">
        <is>
          <t>8</t>
        </is>
      </c>
      <c r="J302" s="17" t="inlineStr">
        <is>
          <t>15</t>
        </is>
      </c>
      <c r="K302" s="17" t="inlineStr">
        <is>
          <t>N</t>
        </is>
      </c>
      <c r="M302" s="15" t="inlineStr">
        <is>
          <t>INSERT INTO</t>
        </is>
      </c>
      <c r="N302" s="15" t="inlineStr">
        <is>
          <t>MNG_DEAL_LIST_DSP_TBL</t>
        </is>
      </c>
      <c r="O302" s="15" t="inlineStr">
        <is>
          <t>VALUES(</t>
        </is>
      </c>
      <c r="P302" s="15" t="inlineStr">
        <is>
          <t xml:space="preserve">11 , 8 , 15 , 'N' </t>
        </is>
      </c>
      <c r="Q302" s="15" t="inlineStr">
        <is>
          <t>);</t>
        </is>
      </c>
      <c r="S302" s="18">
        <f>EXACT(TRIM(C302),H302&amp;"")</f>
        <v/>
      </c>
      <c r="T302" s="18">
        <f>EXACT(TRIM(D302),I302&amp;"")</f>
        <v/>
      </c>
      <c r="U302" s="18">
        <f>EXACT(TRIM(E302),J302&amp;"")</f>
        <v/>
      </c>
      <c r="V302" s="18">
        <f>EXACT(TRIM(F302),"'"&amp;K302&amp;"'")</f>
        <v/>
      </c>
      <c r="W302" s="18">
        <f>AND(S302:V302)</f>
        <v/>
      </c>
      <c r="X302" s="19">
        <f>TRIM(IF(S302,"",$S$3&amp;" ")&amp;IF(T302,"",$T$3&amp;" ")&amp;IF(U302,"",$U$3&amp;" ")&amp;IF(V302,"",$V$3&amp;" "))</f>
        <v/>
      </c>
      <c r="Y302" s="18">
        <f>EXACT(SUBSTITUTE(A302," ",""),SUBSTITUTE(M302&amp;N302&amp;O302&amp;P302&amp;Q302," ",""))</f>
        <v/>
      </c>
    </row>
    <row r="303">
      <c r="A303" s="15" t="inlineStr">
        <is>
          <t>INSERT INTO MNG_DEAL_LIST_DSP_TBL VALUES(11 , 8 , 16 , 'N' );</t>
        </is>
      </c>
      <c r="B303" s="16" t="n"/>
      <c r="C303" s="15" t="inlineStr">
        <is>
          <t xml:space="preserve">11 </t>
        </is>
      </c>
      <c r="D303" s="15" t="inlineStr">
        <is>
          <t xml:space="preserve"> 8 </t>
        </is>
      </c>
      <c r="E303" s="15" t="inlineStr">
        <is>
          <t xml:space="preserve"> 16 </t>
        </is>
      </c>
      <c r="F303" s="15" t="inlineStr">
        <is>
          <t xml:space="preserve"> 'N' </t>
        </is>
      </c>
      <c r="H303" s="17" t="inlineStr">
        <is>
          <t>11</t>
        </is>
      </c>
      <c r="I303" s="17" t="inlineStr">
        <is>
          <t>8</t>
        </is>
      </c>
      <c r="J303" s="17" t="inlineStr">
        <is>
          <t>16</t>
        </is>
      </c>
      <c r="K303" s="17" t="inlineStr">
        <is>
          <t>N</t>
        </is>
      </c>
      <c r="M303" s="15" t="inlineStr">
        <is>
          <t>INSERT INTO</t>
        </is>
      </c>
      <c r="N303" s="15" t="inlineStr">
        <is>
          <t>MNG_DEAL_LIST_DSP_TBL</t>
        </is>
      </c>
      <c r="O303" s="15" t="inlineStr">
        <is>
          <t>VALUES(</t>
        </is>
      </c>
      <c r="P303" s="15" t="inlineStr">
        <is>
          <t xml:space="preserve">11 , 8 , 16 , 'N' </t>
        </is>
      </c>
      <c r="Q303" s="15" t="inlineStr">
        <is>
          <t>);</t>
        </is>
      </c>
      <c r="S303" s="18">
        <f>EXACT(TRIM(C303),H303&amp;"")</f>
        <v/>
      </c>
      <c r="T303" s="18">
        <f>EXACT(TRIM(D303),I303&amp;"")</f>
        <v/>
      </c>
      <c r="U303" s="18">
        <f>EXACT(TRIM(E303),J303&amp;"")</f>
        <v/>
      </c>
      <c r="V303" s="18">
        <f>EXACT(TRIM(F303),"'"&amp;K303&amp;"'")</f>
        <v/>
      </c>
      <c r="W303" s="18">
        <f>AND(S303:V303)</f>
        <v/>
      </c>
      <c r="X303" s="19">
        <f>TRIM(IF(S303,"",$S$3&amp;" ")&amp;IF(T303,"",$T$3&amp;" ")&amp;IF(U303,"",$U$3&amp;" ")&amp;IF(V303,"",$V$3&amp;" "))</f>
        <v/>
      </c>
      <c r="Y303" s="18">
        <f>EXACT(SUBSTITUTE(A303," ",""),SUBSTITUTE(M303&amp;N303&amp;O303&amp;P303&amp;Q303," ",""))</f>
        <v/>
      </c>
    </row>
    <row r="304">
      <c r="A304" s="15" t="inlineStr">
        <is>
          <t>INSERT INTO MNG_DEAL_LIST_DSP_TBL VALUES(11 , 10 , 1 , 'N' );</t>
        </is>
      </c>
      <c r="B304" s="16" t="n"/>
      <c r="C304" s="15" t="inlineStr">
        <is>
          <t xml:space="preserve">11 </t>
        </is>
      </c>
      <c r="D304" s="15" t="inlineStr">
        <is>
          <t xml:space="preserve"> 10 </t>
        </is>
      </c>
      <c r="E304" s="15" t="inlineStr">
        <is>
          <t xml:space="preserve"> 1 </t>
        </is>
      </c>
      <c r="F304" s="15" t="inlineStr">
        <is>
          <t xml:space="preserve"> 'N' </t>
        </is>
      </c>
      <c r="H304" s="20" t="inlineStr"/>
      <c r="I304" s="20" t="inlineStr"/>
      <c r="J304" s="20" t="inlineStr"/>
      <c r="K304" s="20" t="inlineStr"/>
      <c r="M304" s="20" t="inlineStr"/>
      <c r="N304" s="20" t="inlineStr"/>
      <c r="O304" s="20" t="inlineStr"/>
      <c r="P304" s="20" t="inlineStr"/>
      <c r="Q304" s="20" t="inlineStr"/>
      <c r="S304" s="18">
        <f>EXACT(TRIM(C304),H304&amp;"")</f>
        <v/>
      </c>
      <c r="T304" s="18">
        <f>EXACT(TRIM(D304),I304&amp;"")</f>
        <v/>
      </c>
      <c r="U304" s="18">
        <f>EXACT(TRIM(E304),J304&amp;"")</f>
        <v/>
      </c>
      <c r="V304" s="18">
        <f>EXACT(TRIM(F304),"'"&amp;K304&amp;"'")</f>
        <v/>
      </c>
      <c r="W304" s="18">
        <f>AND(S304:V304)</f>
        <v/>
      </c>
      <c r="X304" s="19">
        <f>TRIM(IF(S304,"",$S$3&amp;" ")&amp;IF(T304,"",$T$3&amp;" ")&amp;IF(U304,"",$U$3&amp;" ")&amp;IF(V304,"",$V$3&amp;" "))</f>
        <v/>
      </c>
      <c r="Y304" s="18">
        <f>EXACT(SUBSTITUTE(A304," ",""),SUBSTITUTE(M304&amp;N304&amp;O304&amp;P304&amp;Q304," ",""))</f>
        <v/>
      </c>
    </row>
    <row r="305">
      <c r="A305" s="15" t="inlineStr">
        <is>
          <t>INSERT INTO MNG_DEAL_LIST_DSP_TBL VALUES(11 , 10 , 2 , 'N' );</t>
        </is>
      </c>
      <c r="B305" s="16" t="n"/>
      <c r="C305" s="15" t="inlineStr">
        <is>
          <t xml:space="preserve">11 </t>
        </is>
      </c>
      <c r="D305" s="15" t="inlineStr">
        <is>
          <t xml:space="preserve"> 10 </t>
        </is>
      </c>
      <c r="E305" s="15" t="inlineStr">
        <is>
          <t xml:space="preserve"> 2 </t>
        </is>
      </c>
      <c r="F305" s="15" t="inlineStr">
        <is>
          <t xml:space="preserve"> 'N' </t>
        </is>
      </c>
      <c r="H305" s="20" t="inlineStr"/>
      <c r="I305" s="20" t="inlineStr"/>
      <c r="J305" s="20" t="inlineStr"/>
      <c r="K305" s="20" t="inlineStr"/>
      <c r="M305" s="20" t="inlineStr"/>
      <c r="N305" s="20" t="inlineStr"/>
      <c r="O305" s="20" t="inlineStr"/>
      <c r="P305" s="20" t="inlineStr"/>
      <c r="Q305" s="20" t="inlineStr"/>
      <c r="S305" s="18">
        <f>EXACT(TRIM(C305),H305&amp;"")</f>
        <v/>
      </c>
      <c r="T305" s="18">
        <f>EXACT(TRIM(D305),I305&amp;"")</f>
        <v/>
      </c>
      <c r="U305" s="18">
        <f>EXACT(TRIM(E305),J305&amp;"")</f>
        <v/>
      </c>
      <c r="V305" s="18">
        <f>EXACT(TRIM(F305),"'"&amp;K305&amp;"'")</f>
        <v/>
      </c>
      <c r="W305" s="18">
        <f>AND(S305:V305)</f>
        <v/>
      </c>
      <c r="X305" s="19">
        <f>TRIM(IF(S305,"",$S$3&amp;" ")&amp;IF(T305,"",$T$3&amp;" ")&amp;IF(U305,"",$U$3&amp;" ")&amp;IF(V305,"",$V$3&amp;" "))</f>
        <v/>
      </c>
      <c r="Y305" s="18">
        <f>EXACT(SUBSTITUTE(A305," ",""),SUBSTITUTE(M305&amp;N305&amp;O305&amp;P305&amp;Q305," ",""))</f>
        <v/>
      </c>
    </row>
    <row r="306">
      <c r="A306" s="15" t="inlineStr">
        <is>
          <t>INSERT INTO MNG_DEAL_LIST_DSP_TBL VALUES(11 , 10 , 3 , 'N' );</t>
        </is>
      </c>
      <c r="B306" s="16" t="n"/>
      <c r="C306" s="15" t="inlineStr">
        <is>
          <t xml:space="preserve">11 </t>
        </is>
      </c>
      <c r="D306" s="15" t="inlineStr">
        <is>
          <t xml:space="preserve"> 10 </t>
        </is>
      </c>
      <c r="E306" s="15" t="inlineStr">
        <is>
          <t xml:space="preserve"> 3 </t>
        </is>
      </c>
      <c r="F306" s="15" t="inlineStr">
        <is>
          <t xml:space="preserve"> 'N' </t>
        </is>
      </c>
      <c r="H306" s="20" t="inlineStr"/>
      <c r="I306" s="20" t="inlineStr"/>
      <c r="J306" s="20" t="inlineStr"/>
      <c r="K306" s="20" t="inlineStr"/>
      <c r="M306" s="20" t="inlineStr"/>
      <c r="N306" s="20" t="inlineStr"/>
      <c r="O306" s="20" t="inlineStr"/>
      <c r="P306" s="20" t="inlineStr"/>
      <c r="Q306" s="20" t="inlineStr"/>
      <c r="S306" s="18">
        <f>EXACT(TRIM(C306),H306&amp;"")</f>
        <v/>
      </c>
      <c r="T306" s="18">
        <f>EXACT(TRIM(D306),I306&amp;"")</f>
        <v/>
      </c>
      <c r="U306" s="18">
        <f>EXACT(TRIM(E306),J306&amp;"")</f>
        <v/>
      </c>
      <c r="V306" s="18">
        <f>EXACT(TRIM(F306),"'"&amp;K306&amp;"'")</f>
        <v/>
      </c>
      <c r="W306" s="18">
        <f>AND(S306:V306)</f>
        <v/>
      </c>
      <c r="X306" s="19">
        <f>TRIM(IF(S306,"",$S$3&amp;" ")&amp;IF(T306,"",$T$3&amp;" ")&amp;IF(U306,"",$U$3&amp;" ")&amp;IF(V306,"",$V$3&amp;" "))</f>
        <v/>
      </c>
      <c r="Y306" s="18">
        <f>EXACT(SUBSTITUTE(A306," ",""),SUBSTITUTE(M306&amp;N306&amp;O306&amp;P306&amp;Q306," ",""))</f>
        <v/>
      </c>
    </row>
    <row r="307">
      <c r="A307" s="15" t="inlineStr">
        <is>
          <t>INSERT INTO MNG_DEAL_LIST_DSP_TBL VALUES(11 , 10 , 4 , 'N' );</t>
        </is>
      </c>
      <c r="B307" s="16" t="n"/>
      <c r="C307" s="15" t="inlineStr">
        <is>
          <t xml:space="preserve">11 </t>
        </is>
      </c>
      <c r="D307" s="15" t="inlineStr">
        <is>
          <t xml:space="preserve"> 10 </t>
        </is>
      </c>
      <c r="E307" s="15" t="inlineStr">
        <is>
          <t xml:space="preserve"> 4 </t>
        </is>
      </c>
      <c r="F307" s="15" t="inlineStr">
        <is>
          <t xml:space="preserve"> 'N' </t>
        </is>
      </c>
      <c r="H307" s="20" t="inlineStr"/>
      <c r="I307" s="20" t="inlineStr"/>
      <c r="J307" s="20" t="inlineStr"/>
      <c r="K307" s="20" t="inlineStr"/>
      <c r="M307" s="20" t="inlineStr"/>
      <c r="N307" s="20" t="inlineStr"/>
      <c r="O307" s="20" t="inlineStr"/>
      <c r="P307" s="20" t="inlineStr"/>
      <c r="Q307" s="20" t="inlineStr"/>
      <c r="S307" s="18">
        <f>EXACT(TRIM(C307),H307&amp;"")</f>
        <v/>
      </c>
      <c r="T307" s="18">
        <f>EXACT(TRIM(D307),I307&amp;"")</f>
        <v/>
      </c>
      <c r="U307" s="18">
        <f>EXACT(TRIM(E307),J307&amp;"")</f>
        <v/>
      </c>
      <c r="V307" s="18">
        <f>EXACT(TRIM(F307),"'"&amp;K307&amp;"'")</f>
        <v/>
      </c>
      <c r="W307" s="18">
        <f>AND(S307:V307)</f>
        <v/>
      </c>
      <c r="X307" s="19">
        <f>TRIM(IF(S307,"",$S$3&amp;" ")&amp;IF(T307,"",$T$3&amp;" ")&amp;IF(U307,"",$U$3&amp;" ")&amp;IF(V307,"",$V$3&amp;" "))</f>
        <v/>
      </c>
      <c r="Y307" s="18">
        <f>EXACT(SUBSTITUTE(A307," ",""),SUBSTITUTE(M307&amp;N307&amp;O307&amp;P307&amp;Q307," ",""))</f>
        <v/>
      </c>
    </row>
    <row r="308">
      <c r="A308" s="15" t="inlineStr">
        <is>
          <t>INSERT INTO MNG_DEAL_LIST_DSP_TBL VALUES(11 , 10 , 5 , 'N' );</t>
        </is>
      </c>
      <c r="B308" s="16" t="n"/>
      <c r="C308" s="15" t="inlineStr">
        <is>
          <t xml:space="preserve">11 </t>
        </is>
      </c>
      <c r="D308" s="15" t="inlineStr">
        <is>
          <t xml:space="preserve"> 10 </t>
        </is>
      </c>
      <c r="E308" s="15" t="inlineStr">
        <is>
          <t xml:space="preserve"> 5 </t>
        </is>
      </c>
      <c r="F308" s="15" t="inlineStr">
        <is>
          <t xml:space="preserve"> 'N' </t>
        </is>
      </c>
      <c r="H308" s="20" t="inlineStr"/>
      <c r="I308" s="20" t="inlineStr"/>
      <c r="J308" s="20" t="inlineStr"/>
      <c r="K308" s="20" t="inlineStr"/>
      <c r="M308" s="20" t="inlineStr"/>
      <c r="N308" s="20" t="inlineStr"/>
      <c r="O308" s="20" t="inlineStr"/>
      <c r="P308" s="20" t="inlineStr"/>
      <c r="Q308" s="20" t="inlineStr"/>
      <c r="S308" s="18">
        <f>EXACT(TRIM(C308),H308&amp;"")</f>
        <v/>
      </c>
      <c r="T308" s="18">
        <f>EXACT(TRIM(D308),I308&amp;"")</f>
        <v/>
      </c>
      <c r="U308" s="18">
        <f>EXACT(TRIM(E308),J308&amp;"")</f>
        <v/>
      </c>
      <c r="V308" s="18">
        <f>EXACT(TRIM(F308),"'"&amp;K308&amp;"'")</f>
        <v/>
      </c>
      <c r="W308" s="18">
        <f>AND(S308:V308)</f>
        <v/>
      </c>
      <c r="X308" s="19">
        <f>TRIM(IF(S308,"",$S$3&amp;" ")&amp;IF(T308,"",$T$3&amp;" ")&amp;IF(U308,"",$U$3&amp;" ")&amp;IF(V308,"",$V$3&amp;" "))</f>
        <v/>
      </c>
      <c r="Y308" s="18">
        <f>EXACT(SUBSTITUTE(A308," ",""),SUBSTITUTE(M308&amp;N308&amp;O308&amp;P308&amp;Q308," ",""))</f>
        <v/>
      </c>
    </row>
    <row r="309">
      <c r="A309" s="15" t="inlineStr">
        <is>
          <t>INSERT INTO MNG_DEAL_LIST_DSP_TBL VALUES(11 , 10 , 6 , 'N' );</t>
        </is>
      </c>
      <c r="B309" s="16" t="n"/>
      <c r="C309" s="15" t="inlineStr">
        <is>
          <t xml:space="preserve">11 </t>
        </is>
      </c>
      <c r="D309" s="15" t="inlineStr">
        <is>
          <t xml:space="preserve"> 10 </t>
        </is>
      </c>
      <c r="E309" s="15" t="inlineStr">
        <is>
          <t xml:space="preserve"> 6 </t>
        </is>
      </c>
      <c r="F309" s="15" t="inlineStr">
        <is>
          <t xml:space="preserve"> 'N' </t>
        </is>
      </c>
      <c r="H309" s="20" t="inlineStr"/>
      <c r="I309" s="20" t="inlineStr"/>
      <c r="J309" s="20" t="inlineStr"/>
      <c r="K309" s="20" t="inlineStr"/>
      <c r="M309" s="20" t="inlineStr"/>
      <c r="N309" s="20" t="inlineStr"/>
      <c r="O309" s="20" t="inlineStr"/>
      <c r="P309" s="20" t="inlineStr"/>
      <c r="Q309" s="20" t="inlineStr"/>
      <c r="S309" s="18">
        <f>EXACT(TRIM(C309),H309&amp;"")</f>
        <v/>
      </c>
      <c r="T309" s="18">
        <f>EXACT(TRIM(D309),I309&amp;"")</f>
        <v/>
      </c>
      <c r="U309" s="18">
        <f>EXACT(TRIM(E309),J309&amp;"")</f>
        <v/>
      </c>
      <c r="V309" s="18">
        <f>EXACT(TRIM(F309),"'"&amp;K309&amp;"'")</f>
        <v/>
      </c>
      <c r="W309" s="18">
        <f>AND(S309:V309)</f>
        <v/>
      </c>
      <c r="X309" s="19">
        <f>TRIM(IF(S309,"",$S$3&amp;" ")&amp;IF(T309,"",$T$3&amp;" ")&amp;IF(U309,"",$U$3&amp;" ")&amp;IF(V309,"",$V$3&amp;" "))</f>
        <v/>
      </c>
      <c r="Y309" s="18">
        <f>EXACT(SUBSTITUTE(A309," ",""),SUBSTITUTE(M309&amp;N309&amp;O309&amp;P309&amp;Q309," ",""))</f>
        <v/>
      </c>
    </row>
    <row r="310">
      <c r="A310" s="15" t="inlineStr">
        <is>
          <t>INSERT INTO MNG_DEAL_LIST_DSP_TBL VALUES(11 , 10 , 7 , 'N' );</t>
        </is>
      </c>
      <c r="B310" s="16" t="n"/>
      <c r="C310" s="15" t="inlineStr">
        <is>
          <t xml:space="preserve">11 </t>
        </is>
      </c>
      <c r="D310" s="15" t="inlineStr">
        <is>
          <t xml:space="preserve"> 10 </t>
        </is>
      </c>
      <c r="E310" s="15" t="inlineStr">
        <is>
          <t xml:space="preserve"> 7 </t>
        </is>
      </c>
      <c r="F310" s="15" t="inlineStr">
        <is>
          <t xml:space="preserve"> 'N' </t>
        </is>
      </c>
      <c r="H310" s="20" t="inlineStr"/>
      <c r="I310" s="20" t="inlineStr"/>
      <c r="J310" s="20" t="inlineStr"/>
      <c r="K310" s="20" t="inlineStr"/>
      <c r="M310" s="20" t="inlineStr"/>
      <c r="N310" s="20" t="inlineStr"/>
      <c r="O310" s="20" t="inlineStr"/>
      <c r="P310" s="20" t="inlineStr"/>
      <c r="Q310" s="20" t="inlineStr"/>
      <c r="S310" s="18">
        <f>EXACT(TRIM(C310),H310&amp;"")</f>
        <v/>
      </c>
      <c r="T310" s="18">
        <f>EXACT(TRIM(D310),I310&amp;"")</f>
        <v/>
      </c>
      <c r="U310" s="18">
        <f>EXACT(TRIM(E310),J310&amp;"")</f>
        <v/>
      </c>
      <c r="V310" s="18">
        <f>EXACT(TRIM(F310),"'"&amp;K310&amp;"'")</f>
        <v/>
      </c>
      <c r="W310" s="18">
        <f>AND(S310:V310)</f>
        <v/>
      </c>
      <c r="X310" s="19">
        <f>TRIM(IF(S310,"",$S$3&amp;" ")&amp;IF(T310,"",$T$3&amp;" ")&amp;IF(U310,"",$U$3&amp;" ")&amp;IF(V310,"",$V$3&amp;" "))</f>
        <v/>
      </c>
      <c r="Y310" s="18">
        <f>EXACT(SUBSTITUTE(A310," ",""),SUBSTITUTE(M310&amp;N310&amp;O310&amp;P310&amp;Q310," ",""))</f>
        <v/>
      </c>
    </row>
    <row r="311">
      <c r="A311" s="15" t="inlineStr">
        <is>
          <t>INSERT INTO MNG_DEAL_LIST_DSP_TBL VALUES(11 , 10 , 8 , 'N' );</t>
        </is>
      </c>
      <c r="B311" s="16" t="n"/>
      <c r="C311" s="15" t="inlineStr">
        <is>
          <t xml:space="preserve">11 </t>
        </is>
      </c>
      <c r="D311" s="15" t="inlineStr">
        <is>
          <t xml:space="preserve"> 10 </t>
        </is>
      </c>
      <c r="E311" s="15" t="inlineStr">
        <is>
          <t xml:space="preserve"> 8 </t>
        </is>
      </c>
      <c r="F311" s="15" t="inlineStr">
        <is>
          <t xml:space="preserve"> 'N' </t>
        </is>
      </c>
      <c r="H311" s="20" t="inlineStr"/>
      <c r="I311" s="20" t="inlineStr"/>
      <c r="J311" s="20" t="inlineStr"/>
      <c r="K311" s="20" t="inlineStr"/>
      <c r="M311" s="20" t="inlineStr"/>
      <c r="N311" s="20" t="inlineStr"/>
      <c r="O311" s="20" t="inlineStr"/>
      <c r="P311" s="20" t="inlineStr"/>
      <c r="Q311" s="20" t="inlineStr"/>
      <c r="S311" s="18">
        <f>EXACT(TRIM(C311),H311&amp;"")</f>
        <v/>
      </c>
      <c r="T311" s="18">
        <f>EXACT(TRIM(D311),I311&amp;"")</f>
        <v/>
      </c>
      <c r="U311" s="18">
        <f>EXACT(TRIM(E311),J311&amp;"")</f>
        <v/>
      </c>
      <c r="V311" s="18">
        <f>EXACT(TRIM(F311),"'"&amp;K311&amp;"'")</f>
        <v/>
      </c>
      <c r="W311" s="18">
        <f>AND(S311:V311)</f>
        <v/>
      </c>
      <c r="X311" s="19">
        <f>TRIM(IF(S311,"",$S$3&amp;" ")&amp;IF(T311,"",$T$3&amp;" ")&amp;IF(U311,"",$U$3&amp;" ")&amp;IF(V311,"",$V$3&amp;" "))</f>
        <v/>
      </c>
      <c r="Y311" s="18">
        <f>EXACT(SUBSTITUTE(A311," ",""),SUBSTITUTE(M311&amp;N311&amp;O311&amp;P311&amp;Q311," ",""))</f>
        <v/>
      </c>
    </row>
    <row r="312">
      <c r="A312" s="15" t="inlineStr">
        <is>
          <t>INSERT INTO MNG_DEAL_LIST_DSP_TBL VALUES(11 , 10 , 9 , 'N' );</t>
        </is>
      </c>
      <c r="B312" s="16" t="n"/>
      <c r="C312" s="15" t="inlineStr">
        <is>
          <t xml:space="preserve">11 </t>
        </is>
      </c>
      <c r="D312" s="15" t="inlineStr">
        <is>
          <t xml:space="preserve"> 10 </t>
        </is>
      </c>
      <c r="E312" s="15" t="inlineStr">
        <is>
          <t xml:space="preserve"> 9 </t>
        </is>
      </c>
      <c r="F312" s="15" t="inlineStr">
        <is>
          <t xml:space="preserve"> 'N' </t>
        </is>
      </c>
      <c r="H312" s="20" t="inlineStr"/>
      <c r="I312" s="20" t="inlineStr"/>
      <c r="J312" s="20" t="inlineStr"/>
      <c r="K312" s="20" t="inlineStr"/>
      <c r="M312" s="20" t="inlineStr"/>
      <c r="N312" s="20" t="inlineStr"/>
      <c r="O312" s="20" t="inlineStr"/>
      <c r="P312" s="20" t="inlineStr"/>
      <c r="Q312" s="20" t="inlineStr"/>
      <c r="S312" s="18">
        <f>EXACT(TRIM(C312),H312&amp;"")</f>
        <v/>
      </c>
      <c r="T312" s="18">
        <f>EXACT(TRIM(D312),I312&amp;"")</f>
        <v/>
      </c>
      <c r="U312" s="18">
        <f>EXACT(TRIM(E312),J312&amp;"")</f>
        <v/>
      </c>
      <c r="V312" s="18">
        <f>EXACT(TRIM(F312),"'"&amp;K312&amp;"'")</f>
        <v/>
      </c>
      <c r="W312" s="18">
        <f>AND(S312:V312)</f>
        <v/>
      </c>
      <c r="X312" s="19">
        <f>TRIM(IF(S312,"",$S$3&amp;" ")&amp;IF(T312,"",$T$3&amp;" ")&amp;IF(U312,"",$U$3&amp;" ")&amp;IF(V312,"",$V$3&amp;" "))</f>
        <v/>
      </c>
      <c r="Y312" s="18">
        <f>EXACT(SUBSTITUTE(A312," ",""),SUBSTITUTE(M312&amp;N312&amp;O312&amp;P312&amp;Q312," ",""))</f>
        <v/>
      </c>
    </row>
    <row r="313">
      <c r="A313" s="15" t="inlineStr">
        <is>
          <t>INSERT INTO MNG_DEAL_LIST_DSP_TBL VALUES(11 , 10 , 10 , 'N' );</t>
        </is>
      </c>
      <c r="B313" s="16" t="n"/>
      <c r="C313" s="15" t="inlineStr">
        <is>
          <t xml:space="preserve">11 </t>
        </is>
      </c>
      <c r="D313" s="15" t="inlineStr">
        <is>
          <t xml:space="preserve"> 10 </t>
        </is>
      </c>
      <c r="E313" s="15" t="inlineStr">
        <is>
          <t xml:space="preserve"> 10 </t>
        </is>
      </c>
      <c r="F313" s="15" t="inlineStr">
        <is>
          <t xml:space="preserve"> 'N' </t>
        </is>
      </c>
      <c r="H313" s="20" t="inlineStr"/>
      <c r="I313" s="20" t="inlineStr"/>
      <c r="J313" s="20" t="inlineStr"/>
      <c r="K313" s="20" t="inlineStr"/>
      <c r="M313" s="20" t="inlineStr"/>
      <c r="N313" s="20" t="inlineStr"/>
      <c r="O313" s="20" t="inlineStr"/>
      <c r="P313" s="20" t="inlineStr"/>
      <c r="Q313" s="20" t="inlineStr"/>
      <c r="S313" s="18">
        <f>EXACT(TRIM(C313),H313&amp;"")</f>
        <v/>
      </c>
      <c r="T313" s="18">
        <f>EXACT(TRIM(D313),I313&amp;"")</f>
        <v/>
      </c>
      <c r="U313" s="18">
        <f>EXACT(TRIM(E313),J313&amp;"")</f>
        <v/>
      </c>
      <c r="V313" s="18">
        <f>EXACT(TRIM(F313),"'"&amp;K313&amp;"'")</f>
        <v/>
      </c>
      <c r="W313" s="18">
        <f>AND(S313:V313)</f>
        <v/>
      </c>
      <c r="X313" s="19">
        <f>TRIM(IF(S313,"",$S$3&amp;" ")&amp;IF(T313,"",$T$3&amp;" ")&amp;IF(U313,"",$U$3&amp;" ")&amp;IF(V313,"",$V$3&amp;" "))</f>
        <v/>
      </c>
      <c r="Y313" s="18">
        <f>EXACT(SUBSTITUTE(A313," ",""),SUBSTITUTE(M313&amp;N313&amp;O313&amp;P313&amp;Q313," ",""))</f>
        <v/>
      </c>
    </row>
    <row r="314">
      <c r="A314" s="15" t="inlineStr">
        <is>
          <t>INSERT INTO MNG_DEAL_LIST_DSP_TBL VALUES(11 , 10 , 11 , 'N' );</t>
        </is>
      </c>
      <c r="B314" s="16" t="n"/>
      <c r="C314" s="15" t="inlineStr">
        <is>
          <t xml:space="preserve">11 </t>
        </is>
      </c>
      <c r="D314" s="15" t="inlineStr">
        <is>
          <t xml:space="preserve"> 10 </t>
        </is>
      </c>
      <c r="E314" s="15" t="inlineStr">
        <is>
          <t xml:space="preserve"> 11 </t>
        </is>
      </c>
      <c r="F314" s="15" t="inlineStr">
        <is>
          <t xml:space="preserve"> 'N' </t>
        </is>
      </c>
      <c r="H314" s="20" t="inlineStr"/>
      <c r="I314" s="20" t="inlineStr"/>
      <c r="J314" s="20" t="inlineStr"/>
      <c r="K314" s="20" t="inlineStr"/>
      <c r="M314" s="20" t="inlineStr"/>
      <c r="N314" s="20" t="inlineStr"/>
      <c r="O314" s="20" t="inlineStr"/>
      <c r="P314" s="20" t="inlineStr"/>
      <c r="Q314" s="20" t="inlineStr"/>
      <c r="S314" s="18">
        <f>EXACT(TRIM(C314),H314&amp;"")</f>
        <v/>
      </c>
      <c r="T314" s="18">
        <f>EXACT(TRIM(D314),I314&amp;"")</f>
        <v/>
      </c>
      <c r="U314" s="18">
        <f>EXACT(TRIM(E314),J314&amp;"")</f>
        <v/>
      </c>
      <c r="V314" s="18">
        <f>EXACT(TRIM(F314),"'"&amp;K314&amp;"'")</f>
        <v/>
      </c>
      <c r="W314" s="18">
        <f>AND(S314:V314)</f>
        <v/>
      </c>
      <c r="X314" s="19">
        <f>TRIM(IF(S314,"",$S$3&amp;" ")&amp;IF(T314,"",$T$3&amp;" ")&amp;IF(U314,"",$U$3&amp;" ")&amp;IF(V314,"",$V$3&amp;" "))</f>
        <v/>
      </c>
      <c r="Y314" s="18">
        <f>EXACT(SUBSTITUTE(A314," ",""),SUBSTITUTE(M314&amp;N314&amp;O314&amp;P314&amp;Q314," ",""))</f>
        <v/>
      </c>
    </row>
    <row r="315">
      <c r="A315" s="15" t="inlineStr">
        <is>
          <t>INSERT INTO MNG_DEAL_LIST_DSP_TBL VALUES(11 , 10 , 12 , 'N' );</t>
        </is>
      </c>
      <c r="B315" s="16" t="n"/>
      <c r="C315" s="15" t="inlineStr">
        <is>
          <t xml:space="preserve">11 </t>
        </is>
      </c>
      <c r="D315" s="15" t="inlineStr">
        <is>
          <t xml:space="preserve"> 10 </t>
        </is>
      </c>
      <c r="E315" s="15" t="inlineStr">
        <is>
          <t xml:space="preserve"> 12 </t>
        </is>
      </c>
      <c r="F315" s="15" t="inlineStr">
        <is>
          <t xml:space="preserve"> 'N' </t>
        </is>
      </c>
      <c r="H315" s="20" t="inlineStr"/>
      <c r="I315" s="20" t="inlineStr"/>
      <c r="J315" s="20" t="inlineStr"/>
      <c r="K315" s="20" t="inlineStr"/>
      <c r="M315" s="20" t="inlineStr"/>
      <c r="N315" s="20" t="inlineStr"/>
      <c r="O315" s="20" t="inlineStr"/>
      <c r="P315" s="20" t="inlineStr"/>
      <c r="Q315" s="20" t="inlineStr"/>
      <c r="S315" s="18">
        <f>EXACT(TRIM(C315),H315&amp;"")</f>
        <v/>
      </c>
      <c r="T315" s="18">
        <f>EXACT(TRIM(D315),I315&amp;"")</f>
        <v/>
      </c>
      <c r="U315" s="18">
        <f>EXACT(TRIM(E315),J315&amp;"")</f>
        <v/>
      </c>
      <c r="V315" s="18">
        <f>EXACT(TRIM(F315),"'"&amp;K315&amp;"'")</f>
        <v/>
      </c>
      <c r="W315" s="18">
        <f>AND(S315:V315)</f>
        <v/>
      </c>
      <c r="X315" s="19">
        <f>TRIM(IF(S315,"",$S$3&amp;" ")&amp;IF(T315,"",$T$3&amp;" ")&amp;IF(U315,"",$U$3&amp;" ")&amp;IF(V315,"",$V$3&amp;" "))</f>
        <v/>
      </c>
      <c r="Y315" s="18">
        <f>EXACT(SUBSTITUTE(A315," ",""),SUBSTITUTE(M315&amp;N315&amp;O315&amp;P315&amp;Q315," ",""))</f>
        <v/>
      </c>
    </row>
    <row r="316">
      <c r="A316" s="15" t="inlineStr">
        <is>
          <t>INSERT INTO MNG_DEAL_LIST_DSP_TBL VALUES(11 , 10 , 13 , 'N' );</t>
        </is>
      </c>
      <c r="B316" s="16" t="n"/>
      <c r="C316" s="15" t="inlineStr">
        <is>
          <t xml:space="preserve">11 </t>
        </is>
      </c>
      <c r="D316" s="15" t="inlineStr">
        <is>
          <t xml:space="preserve"> 10 </t>
        </is>
      </c>
      <c r="E316" s="15" t="inlineStr">
        <is>
          <t xml:space="preserve"> 13 </t>
        </is>
      </c>
      <c r="F316" s="15" t="inlineStr">
        <is>
          <t xml:space="preserve"> 'N' </t>
        </is>
      </c>
      <c r="H316" s="20" t="inlineStr"/>
      <c r="I316" s="20" t="inlineStr"/>
      <c r="J316" s="20" t="inlineStr"/>
      <c r="K316" s="20" t="inlineStr"/>
      <c r="M316" s="20" t="inlineStr"/>
      <c r="N316" s="20" t="inlineStr"/>
      <c r="O316" s="20" t="inlineStr"/>
      <c r="P316" s="20" t="inlineStr"/>
      <c r="Q316" s="20" t="inlineStr"/>
      <c r="S316" s="18">
        <f>EXACT(TRIM(C316),H316&amp;"")</f>
        <v/>
      </c>
      <c r="T316" s="18">
        <f>EXACT(TRIM(D316),I316&amp;"")</f>
        <v/>
      </c>
      <c r="U316" s="18">
        <f>EXACT(TRIM(E316),J316&amp;"")</f>
        <v/>
      </c>
      <c r="V316" s="18">
        <f>EXACT(TRIM(F316),"'"&amp;K316&amp;"'")</f>
        <v/>
      </c>
      <c r="W316" s="18">
        <f>AND(S316:V316)</f>
        <v/>
      </c>
      <c r="X316" s="19">
        <f>TRIM(IF(S316,"",$S$3&amp;" ")&amp;IF(T316,"",$T$3&amp;" ")&amp;IF(U316,"",$U$3&amp;" ")&amp;IF(V316,"",$V$3&amp;" "))</f>
        <v/>
      </c>
      <c r="Y316" s="18">
        <f>EXACT(SUBSTITUTE(A316," ",""),SUBSTITUTE(M316&amp;N316&amp;O316&amp;P316&amp;Q316," ",""))</f>
        <v/>
      </c>
    </row>
    <row r="317">
      <c r="A317" s="15" t="inlineStr">
        <is>
          <t>INSERT INTO MNG_DEAL_LIST_DSP_TBL VALUES(11 , 10 , 14 , 'N' );</t>
        </is>
      </c>
      <c r="B317" s="16" t="n"/>
      <c r="C317" s="15" t="inlineStr">
        <is>
          <t xml:space="preserve">11 </t>
        </is>
      </c>
      <c r="D317" s="15" t="inlineStr">
        <is>
          <t xml:space="preserve"> 10 </t>
        </is>
      </c>
      <c r="E317" s="15" t="inlineStr">
        <is>
          <t xml:space="preserve"> 14 </t>
        </is>
      </c>
      <c r="F317" s="15" t="inlineStr">
        <is>
          <t xml:space="preserve"> 'N' </t>
        </is>
      </c>
      <c r="H317" s="20" t="inlineStr"/>
      <c r="I317" s="20" t="inlineStr"/>
      <c r="J317" s="20" t="inlineStr"/>
      <c r="K317" s="20" t="inlineStr"/>
      <c r="M317" s="20" t="inlineStr"/>
      <c r="N317" s="20" t="inlineStr"/>
      <c r="O317" s="20" t="inlineStr"/>
      <c r="P317" s="20" t="inlineStr"/>
      <c r="Q317" s="20" t="inlineStr"/>
      <c r="S317" s="18">
        <f>EXACT(TRIM(C317),H317&amp;"")</f>
        <v/>
      </c>
      <c r="T317" s="18">
        <f>EXACT(TRIM(D317),I317&amp;"")</f>
        <v/>
      </c>
      <c r="U317" s="18">
        <f>EXACT(TRIM(E317),J317&amp;"")</f>
        <v/>
      </c>
      <c r="V317" s="18">
        <f>EXACT(TRIM(F317),"'"&amp;K317&amp;"'")</f>
        <v/>
      </c>
      <c r="W317" s="18">
        <f>AND(S317:V317)</f>
        <v/>
      </c>
      <c r="X317" s="19">
        <f>TRIM(IF(S317,"",$S$3&amp;" ")&amp;IF(T317,"",$T$3&amp;" ")&amp;IF(U317,"",$U$3&amp;" ")&amp;IF(V317,"",$V$3&amp;" "))</f>
        <v/>
      </c>
      <c r="Y317" s="18">
        <f>EXACT(SUBSTITUTE(A317," ",""),SUBSTITUTE(M317&amp;N317&amp;O317&amp;P317&amp;Q317," ",""))</f>
        <v/>
      </c>
    </row>
    <row r="318">
      <c r="A318" s="15" t="inlineStr">
        <is>
          <t>INSERT INTO MNG_DEAL_LIST_DSP_TBL VALUES(11 , 10 , 15 , 'N' );</t>
        </is>
      </c>
      <c r="B318" s="16" t="n"/>
      <c r="C318" s="15" t="inlineStr">
        <is>
          <t xml:space="preserve">11 </t>
        </is>
      </c>
      <c r="D318" s="15" t="inlineStr">
        <is>
          <t xml:space="preserve"> 10 </t>
        </is>
      </c>
      <c r="E318" s="15" t="inlineStr">
        <is>
          <t xml:space="preserve"> 15 </t>
        </is>
      </c>
      <c r="F318" s="15" t="inlineStr">
        <is>
          <t xml:space="preserve"> 'N' </t>
        </is>
      </c>
      <c r="H318" s="20" t="inlineStr"/>
      <c r="I318" s="20" t="inlineStr"/>
      <c r="J318" s="20" t="inlineStr"/>
      <c r="K318" s="20" t="inlineStr"/>
      <c r="M318" s="20" t="inlineStr"/>
      <c r="N318" s="20" t="inlineStr"/>
      <c r="O318" s="20" t="inlineStr"/>
      <c r="P318" s="20" t="inlineStr"/>
      <c r="Q318" s="20" t="inlineStr"/>
      <c r="S318" s="18">
        <f>EXACT(TRIM(C318),H318&amp;"")</f>
        <v/>
      </c>
      <c r="T318" s="18">
        <f>EXACT(TRIM(D318),I318&amp;"")</f>
        <v/>
      </c>
      <c r="U318" s="18">
        <f>EXACT(TRIM(E318),J318&amp;"")</f>
        <v/>
      </c>
      <c r="V318" s="18">
        <f>EXACT(TRIM(F318),"'"&amp;K318&amp;"'")</f>
        <v/>
      </c>
      <c r="W318" s="18">
        <f>AND(S318:V318)</f>
        <v/>
      </c>
      <c r="X318" s="19">
        <f>TRIM(IF(S318,"",$S$3&amp;" ")&amp;IF(T318,"",$T$3&amp;" ")&amp;IF(U318,"",$U$3&amp;" ")&amp;IF(V318,"",$V$3&amp;" "))</f>
        <v/>
      </c>
      <c r="Y318" s="18">
        <f>EXACT(SUBSTITUTE(A318," ",""),SUBSTITUTE(M318&amp;N318&amp;O318&amp;P318&amp;Q318," ",""))</f>
        <v/>
      </c>
    </row>
    <row r="319">
      <c r="A319" s="15" t="inlineStr">
        <is>
          <t>INSERT INTO MNG_DEAL_LIST_DSP_TBL VALUES(11 , 10 , 16 , 'N' );</t>
        </is>
      </c>
      <c r="B319" s="16" t="n"/>
      <c r="C319" s="15" t="inlineStr">
        <is>
          <t xml:space="preserve">11 </t>
        </is>
      </c>
      <c r="D319" s="15" t="inlineStr">
        <is>
          <t xml:space="preserve"> 10 </t>
        </is>
      </c>
      <c r="E319" s="15" t="inlineStr">
        <is>
          <t xml:space="preserve"> 16 </t>
        </is>
      </c>
      <c r="F319" s="15" t="inlineStr">
        <is>
          <t xml:space="preserve"> 'N' </t>
        </is>
      </c>
      <c r="H319" s="20" t="inlineStr"/>
      <c r="I319" s="20" t="inlineStr"/>
      <c r="J319" s="20" t="inlineStr"/>
      <c r="K319" s="20" t="inlineStr"/>
      <c r="M319" s="20" t="inlineStr"/>
      <c r="N319" s="20" t="inlineStr"/>
      <c r="O319" s="20" t="inlineStr"/>
      <c r="P319" s="20" t="inlineStr"/>
      <c r="Q319" s="20" t="inlineStr"/>
      <c r="S319" s="18">
        <f>EXACT(TRIM(C319),H319&amp;"")</f>
        <v/>
      </c>
      <c r="T319" s="18">
        <f>EXACT(TRIM(D319),I319&amp;"")</f>
        <v/>
      </c>
      <c r="U319" s="18">
        <f>EXACT(TRIM(E319),J319&amp;"")</f>
        <v/>
      </c>
      <c r="V319" s="18">
        <f>EXACT(TRIM(F319),"'"&amp;K319&amp;"'")</f>
        <v/>
      </c>
      <c r="W319" s="18">
        <f>AND(S319:V319)</f>
        <v/>
      </c>
      <c r="X319" s="19">
        <f>TRIM(IF(S319,"",$S$3&amp;" ")&amp;IF(T319,"",$T$3&amp;" ")&amp;IF(U319,"",$U$3&amp;" ")&amp;IF(V319,"",$V$3&amp;" "))</f>
        <v/>
      </c>
      <c r="Y319" s="18">
        <f>EXACT(SUBSTITUTE(A319," ",""),SUBSTITUTE(M319&amp;N319&amp;O319&amp;P319&amp;Q319," ",""))</f>
        <v/>
      </c>
    </row>
    <row r="320">
      <c r="A320" s="15" t="inlineStr">
        <is>
          <t>INSERT INTO MNG_DEAL_LIST_DSP_TBL VALUES(11 , 11 , 1 , 'N' );</t>
        </is>
      </c>
      <c r="B320" s="16" t="n"/>
      <c r="C320" s="15" t="inlineStr">
        <is>
          <t xml:space="preserve">11 </t>
        </is>
      </c>
      <c r="D320" s="15" t="inlineStr">
        <is>
          <t xml:space="preserve"> 11 </t>
        </is>
      </c>
      <c r="E320" s="15" t="inlineStr">
        <is>
          <t xml:space="preserve"> 1 </t>
        </is>
      </c>
      <c r="F320" s="15" t="inlineStr">
        <is>
          <t xml:space="preserve"> 'N' </t>
        </is>
      </c>
      <c r="H320" s="20" t="inlineStr"/>
      <c r="I320" s="20" t="inlineStr"/>
      <c r="J320" s="20" t="inlineStr"/>
      <c r="K320" s="20" t="inlineStr"/>
      <c r="M320" s="20" t="inlineStr"/>
      <c r="N320" s="20" t="inlineStr"/>
      <c r="O320" s="20" t="inlineStr"/>
      <c r="P320" s="20" t="inlineStr"/>
      <c r="Q320" s="20" t="inlineStr"/>
      <c r="S320" s="18">
        <f>EXACT(TRIM(C320),H320&amp;"")</f>
        <v/>
      </c>
      <c r="T320" s="18">
        <f>EXACT(TRIM(D320),I320&amp;"")</f>
        <v/>
      </c>
      <c r="U320" s="18">
        <f>EXACT(TRIM(E320),J320&amp;"")</f>
        <v/>
      </c>
      <c r="V320" s="18">
        <f>EXACT(TRIM(F320),"'"&amp;K320&amp;"'")</f>
        <v/>
      </c>
      <c r="W320" s="18">
        <f>AND(S320:V320)</f>
        <v/>
      </c>
      <c r="X320" s="19">
        <f>TRIM(IF(S320,"",$S$3&amp;" ")&amp;IF(T320,"",$T$3&amp;" ")&amp;IF(U320,"",$U$3&amp;" ")&amp;IF(V320,"",$V$3&amp;" "))</f>
        <v/>
      </c>
      <c r="Y320" s="18">
        <f>EXACT(SUBSTITUTE(A320," ",""),SUBSTITUTE(M320&amp;N320&amp;O320&amp;P320&amp;Q320," ",""))</f>
        <v/>
      </c>
    </row>
    <row r="321">
      <c r="A321" s="15" t="inlineStr">
        <is>
          <t>INSERT INTO MNG_DEAL_LIST_DSP_TBL VALUES(11 , 11 , 2 , 'N' );</t>
        </is>
      </c>
      <c r="B321" s="16" t="n"/>
      <c r="C321" s="15" t="inlineStr">
        <is>
          <t xml:space="preserve">11 </t>
        </is>
      </c>
      <c r="D321" s="15" t="inlineStr">
        <is>
          <t xml:space="preserve"> 11 </t>
        </is>
      </c>
      <c r="E321" s="15" t="inlineStr">
        <is>
          <t xml:space="preserve"> 2 </t>
        </is>
      </c>
      <c r="F321" s="15" t="inlineStr">
        <is>
          <t xml:space="preserve"> 'N' </t>
        </is>
      </c>
      <c r="H321" s="20" t="inlineStr"/>
      <c r="I321" s="20" t="inlineStr"/>
      <c r="J321" s="20" t="inlineStr"/>
      <c r="K321" s="20" t="inlineStr"/>
      <c r="M321" s="20" t="inlineStr"/>
      <c r="N321" s="20" t="inlineStr"/>
      <c r="O321" s="20" t="inlineStr"/>
      <c r="P321" s="20" t="inlineStr"/>
      <c r="Q321" s="20" t="inlineStr"/>
      <c r="S321" s="18">
        <f>EXACT(TRIM(C321),H321&amp;"")</f>
        <v/>
      </c>
      <c r="T321" s="18">
        <f>EXACT(TRIM(D321),I321&amp;"")</f>
        <v/>
      </c>
      <c r="U321" s="18">
        <f>EXACT(TRIM(E321),J321&amp;"")</f>
        <v/>
      </c>
      <c r="V321" s="18">
        <f>EXACT(TRIM(F321),"'"&amp;K321&amp;"'")</f>
        <v/>
      </c>
      <c r="W321" s="18">
        <f>AND(S321:V321)</f>
        <v/>
      </c>
      <c r="X321" s="19">
        <f>TRIM(IF(S321,"",$S$3&amp;" ")&amp;IF(T321,"",$T$3&amp;" ")&amp;IF(U321,"",$U$3&amp;" ")&amp;IF(V321,"",$V$3&amp;" "))</f>
        <v/>
      </c>
      <c r="Y321" s="18">
        <f>EXACT(SUBSTITUTE(A321," ",""),SUBSTITUTE(M321&amp;N321&amp;O321&amp;P321&amp;Q321," ",""))</f>
        <v/>
      </c>
    </row>
    <row r="322">
      <c r="A322" s="15" t="inlineStr">
        <is>
          <t>INSERT INTO MNG_DEAL_LIST_DSP_TBL VALUES(11 , 11 , 3 , 'N' );</t>
        </is>
      </c>
      <c r="B322" s="16" t="n"/>
      <c r="C322" s="15" t="inlineStr">
        <is>
          <t xml:space="preserve">11 </t>
        </is>
      </c>
      <c r="D322" s="15" t="inlineStr">
        <is>
          <t xml:space="preserve"> 11 </t>
        </is>
      </c>
      <c r="E322" s="15" t="inlineStr">
        <is>
          <t xml:space="preserve"> 3 </t>
        </is>
      </c>
      <c r="F322" s="15" t="inlineStr">
        <is>
          <t xml:space="preserve"> 'N' </t>
        </is>
      </c>
      <c r="H322" s="20" t="inlineStr"/>
      <c r="I322" s="20" t="inlineStr"/>
      <c r="J322" s="20" t="inlineStr"/>
      <c r="K322" s="20" t="inlineStr"/>
      <c r="M322" s="20" t="inlineStr"/>
      <c r="N322" s="20" t="inlineStr"/>
      <c r="O322" s="20" t="inlineStr"/>
      <c r="P322" s="20" t="inlineStr"/>
      <c r="Q322" s="20" t="inlineStr"/>
      <c r="S322" s="18">
        <f>EXACT(TRIM(C322),H322&amp;"")</f>
        <v/>
      </c>
      <c r="T322" s="18">
        <f>EXACT(TRIM(D322),I322&amp;"")</f>
        <v/>
      </c>
      <c r="U322" s="18">
        <f>EXACT(TRIM(E322),J322&amp;"")</f>
        <v/>
      </c>
      <c r="V322" s="18">
        <f>EXACT(TRIM(F322),"'"&amp;K322&amp;"'")</f>
        <v/>
      </c>
      <c r="W322" s="18">
        <f>AND(S322:V322)</f>
        <v/>
      </c>
      <c r="X322" s="19">
        <f>TRIM(IF(S322,"",$S$3&amp;" ")&amp;IF(T322,"",$T$3&amp;" ")&amp;IF(U322,"",$U$3&amp;" ")&amp;IF(V322,"",$V$3&amp;" "))</f>
        <v/>
      </c>
      <c r="Y322" s="18">
        <f>EXACT(SUBSTITUTE(A322," ",""),SUBSTITUTE(M322&amp;N322&amp;O322&amp;P322&amp;Q322," ",""))</f>
        <v/>
      </c>
    </row>
    <row r="323">
      <c r="A323" s="15" t="inlineStr">
        <is>
          <t>INSERT INTO MNG_DEAL_LIST_DSP_TBL VALUES(11 , 11 , 4 , 'N' );</t>
        </is>
      </c>
      <c r="B323" s="16" t="n"/>
      <c r="C323" s="15" t="inlineStr">
        <is>
          <t xml:space="preserve">11 </t>
        </is>
      </c>
      <c r="D323" s="15" t="inlineStr">
        <is>
          <t xml:space="preserve"> 11 </t>
        </is>
      </c>
      <c r="E323" s="15" t="inlineStr">
        <is>
          <t xml:space="preserve"> 4 </t>
        </is>
      </c>
      <c r="F323" s="15" t="inlineStr">
        <is>
          <t xml:space="preserve"> 'N' </t>
        </is>
      </c>
      <c r="H323" s="20" t="inlineStr"/>
      <c r="I323" s="20" t="inlineStr"/>
      <c r="J323" s="20" t="inlineStr"/>
      <c r="K323" s="20" t="inlineStr"/>
      <c r="M323" s="20" t="inlineStr"/>
      <c r="N323" s="20" t="inlineStr"/>
      <c r="O323" s="20" t="inlineStr"/>
      <c r="P323" s="20" t="inlineStr"/>
      <c r="Q323" s="20" t="inlineStr"/>
      <c r="S323" s="18">
        <f>EXACT(TRIM(C323),H323&amp;"")</f>
        <v/>
      </c>
      <c r="T323" s="18">
        <f>EXACT(TRIM(D323),I323&amp;"")</f>
        <v/>
      </c>
      <c r="U323" s="18">
        <f>EXACT(TRIM(E323),J323&amp;"")</f>
        <v/>
      </c>
      <c r="V323" s="18">
        <f>EXACT(TRIM(F323),"'"&amp;K323&amp;"'")</f>
        <v/>
      </c>
      <c r="W323" s="18">
        <f>AND(S323:V323)</f>
        <v/>
      </c>
      <c r="X323" s="19">
        <f>TRIM(IF(S323,"",$S$3&amp;" ")&amp;IF(T323,"",$T$3&amp;" ")&amp;IF(U323,"",$U$3&amp;" ")&amp;IF(V323,"",$V$3&amp;" "))</f>
        <v/>
      </c>
      <c r="Y323" s="18">
        <f>EXACT(SUBSTITUTE(A323," ",""),SUBSTITUTE(M323&amp;N323&amp;O323&amp;P323&amp;Q323," ",""))</f>
        <v/>
      </c>
    </row>
    <row r="324">
      <c r="A324" s="15" t="inlineStr">
        <is>
          <t>INSERT INTO MNG_DEAL_LIST_DSP_TBL VALUES(11 , 11 , 5 , 'N' );</t>
        </is>
      </c>
      <c r="B324" s="16" t="n"/>
      <c r="C324" s="15" t="inlineStr">
        <is>
          <t xml:space="preserve">11 </t>
        </is>
      </c>
      <c r="D324" s="15" t="inlineStr">
        <is>
          <t xml:space="preserve"> 11 </t>
        </is>
      </c>
      <c r="E324" s="15" t="inlineStr">
        <is>
          <t xml:space="preserve"> 5 </t>
        </is>
      </c>
      <c r="F324" s="15" t="inlineStr">
        <is>
          <t xml:space="preserve"> 'N' </t>
        </is>
      </c>
      <c r="H324" s="20" t="inlineStr"/>
      <c r="I324" s="20" t="inlineStr"/>
      <c r="J324" s="20" t="inlineStr"/>
      <c r="K324" s="20" t="inlineStr"/>
      <c r="M324" s="20" t="inlineStr"/>
      <c r="N324" s="20" t="inlineStr"/>
      <c r="O324" s="20" t="inlineStr"/>
      <c r="P324" s="20" t="inlineStr"/>
      <c r="Q324" s="20" t="inlineStr"/>
      <c r="S324" s="18">
        <f>EXACT(TRIM(C324),H324&amp;"")</f>
        <v/>
      </c>
      <c r="T324" s="18">
        <f>EXACT(TRIM(D324),I324&amp;"")</f>
        <v/>
      </c>
      <c r="U324" s="18">
        <f>EXACT(TRIM(E324),J324&amp;"")</f>
        <v/>
      </c>
      <c r="V324" s="18">
        <f>EXACT(TRIM(F324),"'"&amp;K324&amp;"'")</f>
        <v/>
      </c>
      <c r="W324" s="18">
        <f>AND(S324:V324)</f>
        <v/>
      </c>
      <c r="X324" s="19">
        <f>TRIM(IF(S324,"",$S$3&amp;" ")&amp;IF(T324,"",$T$3&amp;" ")&amp;IF(U324,"",$U$3&amp;" ")&amp;IF(V324,"",$V$3&amp;" "))</f>
        <v/>
      </c>
      <c r="Y324" s="18">
        <f>EXACT(SUBSTITUTE(A324," ",""),SUBSTITUTE(M324&amp;N324&amp;O324&amp;P324&amp;Q324," ",""))</f>
        <v/>
      </c>
    </row>
    <row r="325">
      <c r="A325" s="15" t="inlineStr">
        <is>
          <t>INSERT INTO MNG_DEAL_LIST_DSP_TBL VALUES(11 , 11 , 6 , 'N' );</t>
        </is>
      </c>
      <c r="B325" s="16" t="n"/>
      <c r="C325" s="15" t="inlineStr">
        <is>
          <t xml:space="preserve">11 </t>
        </is>
      </c>
      <c r="D325" s="15" t="inlineStr">
        <is>
          <t xml:space="preserve"> 11 </t>
        </is>
      </c>
      <c r="E325" s="15" t="inlineStr">
        <is>
          <t xml:space="preserve"> 6 </t>
        </is>
      </c>
      <c r="F325" s="15" t="inlineStr">
        <is>
          <t xml:space="preserve"> 'N' </t>
        </is>
      </c>
      <c r="H325" s="20" t="inlineStr"/>
      <c r="I325" s="20" t="inlineStr"/>
      <c r="J325" s="20" t="inlineStr"/>
      <c r="K325" s="20" t="inlineStr"/>
      <c r="M325" s="20" t="inlineStr"/>
      <c r="N325" s="20" t="inlineStr"/>
      <c r="O325" s="20" t="inlineStr"/>
      <c r="P325" s="20" t="inlineStr"/>
      <c r="Q325" s="20" t="inlineStr"/>
      <c r="S325" s="18">
        <f>EXACT(TRIM(C325),H325&amp;"")</f>
        <v/>
      </c>
      <c r="T325" s="18">
        <f>EXACT(TRIM(D325),I325&amp;"")</f>
        <v/>
      </c>
      <c r="U325" s="18">
        <f>EXACT(TRIM(E325),J325&amp;"")</f>
        <v/>
      </c>
      <c r="V325" s="18">
        <f>EXACT(TRIM(F325),"'"&amp;K325&amp;"'")</f>
        <v/>
      </c>
      <c r="W325" s="18">
        <f>AND(S325:V325)</f>
        <v/>
      </c>
      <c r="X325" s="19">
        <f>TRIM(IF(S325,"",$S$3&amp;" ")&amp;IF(T325,"",$T$3&amp;" ")&amp;IF(U325,"",$U$3&amp;" ")&amp;IF(V325,"",$V$3&amp;" "))</f>
        <v/>
      </c>
      <c r="Y325" s="18">
        <f>EXACT(SUBSTITUTE(A325," ",""),SUBSTITUTE(M325&amp;N325&amp;O325&amp;P325&amp;Q325," ",""))</f>
        <v/>
      </c>
    </row>
    <row r="326">
      <c r="A326" s="15" t="inlineStr">
        <is>
          <t>INSERT INTO MNG_DEAL_LIST_DSP_TBL VALUES(11 , 11 , 7 , 'N' );</t>
        </is>
      </c>
      <c r="B326" s="16" t="n"/>
      <c r="C326" s="15" t="inlineStr">
        <is>
          <t xml:space="preserve">11 </t>
        </is>
      </c>
      <c r="D326" s="15" t="inlineStr">
        <is>
          <t xml:space="preserve"> 11 </t>
        </is>
      </c>
      <c r="E326" s="15" t="inlineStr">
        <is>
          <t xml:space="preserve"> 7 </t>
        </is>
      </c>
      <c r="F326" s="15" t="inlineStr">
        <is>
          <t xml:space="preserve"> 'N' </t>
        </is>
      </c>
      <c r="H326" s="20" t="inlineStr"/>
      <c r="I326" s="20" t="inlineStr"/>
      <c r="J326" s="20" t="inlineStr"/>
      <c r="K326" s="20" t="inlineStr"/>
      <c r="M326" s="20" t="inlineStr"/>
      <c r="N326" s="20" t="inlineStr"/>
      <c r="O326" s="20" t="inlineStr"/>
      <c r="P326" s="20" t="inlineStr"/>
      <c r="Q326" s="20" t="inlineStr"/>
      <c r="S326" s="18">
        <f>EXACT(TRIM(C326),H326&amp;"")</f>
        <v/>
      </c>
      <c r="T326" s="18">
        <f>EXACT(TRIM(D326),I326&amp;"")</f>
        <v/>
      </c>
      <c r="U326" s="18">
        <f>EXACT(TRIM(E326),J326&amp;"")</f>
        <v/>
      </c>
      <c r="V326" s="18">
        <f>EXACT(TRIM(F326),"'"&amp;K326&amp;"'")</f>
        <v/>
      </c>
      <c r="W326" s="18">
        <f>AND(S326:V326)</f>
        <v/>
      </c>
      <c r="X326" s="19">
        <f>TRIM(IF(S326,"",$S$3&amp;" ")&amp;IF(T326,"",$T$3&amp;" ")&amp;IF(U326,"",$U$3&amp;" ")&amp;IF(V326,"",$V$3&amp;" "))</f>
        <v/>
      </c>
      <c r="Y326" s="18">
        <f>EXACT(SUBSTITUTE(A326," ",""),SUBSTITUTE(M326&amp;N326&amp;O326&amp;P326&amp;Q326," ",""))</f>
        <v/>
      </c>
    </row>
    <row r="327">
      <c r="A327" s="15" t="inlineStr">
        <is>
          <t>INSERT INTO MNG_DEAL_LIST_DSP_TBL VALUES(11 , 11 , 8 , 'N' );</t>
        </is>
      </c>
      <c r="B327" s="16" t="n"/>
      <c r="C327" s="15" t="inlineStr">
        <is>
          <t xml:space="preserve">11 </t>
        </is>
      </c>
      <c r="D327" s="15" t="inlineStr">
        <is>
          <t xml:space="preserve"> 11 </t>
        </is>
      </c>
      <c r="E327" s="15" t="inlineStr">
        <is>
          <t xml:space="preserve"> 8 </t>
        </is>
      </c>
      <c r="F327" s="15" t="inlineStr">
        <is>
          <t xml:space="preserve"> 'N' </t>
        </is>
      </c>
      <c r="H327" s="20" t="inlineStr"/>
      <c r="I327" s="20" t="inlineStr"/>
      <c r="J327" s="20" t="inlineStr"/>
      <c r="K327" s="20" t="inlineStr"/>
      <c r="M327" s="20" t="inlineStr"/>
      <c r="N327" s="20" t="inlineStr"/>
      <c r="O327" s="20" t="inlineStr"/>
      <c r="P327" s="20" t="inlineStr"/>
      <c r="Q327" s="20" t="inlineStr"/>
      <c r="S327" s="18">
        <f>EXACT(TRIM(C327),H327&amp;"")</f>
        <v/>
      </c>
      <c r="T327" s="18">
        <f>EXACT(TRIM(D327),I327&amp;"")</f>
        <v/>
      </c>
      <c r="U327" s="18">
        <f>EXACT(TRIM(E327),J327&amp;"")</f>
        <v/>
      </c>
      <c r="V327" s="18">
        <f>EXACT(TRIM(F327),"'"&amp;K327&amp;"'")</f>
        <v/>
      </c>
      <c r="W327" s="18">
        <f>AND(S327:V327)</f>
        <v/>
      </c>
      <c r="X327" s="19">
        <f>TRIM(IF(S327,"",$S$3&amp;" ")&amp;IF(T327,"",$T$3&amp;" ")&amp;IF(U327,"",$U$3&amp;" ")&amp;IF(V327,"",$V$3&amp;" "))</f>
        <v/>
      </c>
      <c r="Y327" s="18">
        <f>EXACT(SUBSTITUTE(A327," ",""),SUBSTITUTE(M327&amp;N327&amp;O327&amp;P327&amp;Q327," ",""))</f>
        <v/>
      </c>
    </row>
    <row r="328">
      <c r="A328" s="15" t="inlineStr">
        <is>
          <t>INSERT INTO MNG_DEAL_LIST_DSP_TBL VALUES(11 , 11 , 9 , 'N' );</t>
        </is>
      </c>
      <c r="B328" s="16" t="n"/>
      <c r="C328" s="15" t="inlineStr">
        <is>
          <t xml:space="preserve">11 </t>
        </is>
      </c>
      <c r="D328" s="15" t="inlineStr">
        <is>
          <t xml:space="preserve"> 11 </t>
        </is>
      </c>
      <c r="E328" s="15" t="inlineStr">
        <is>
          <t xml:space="preserve"> 9 </t>
        </is>
      </c>
      <c r="F328" s="15" t="inlineStr">
        <is>
          <t xml:space="preserve"> 'N' </t>
        </is>
      </c>
      <c r="H328" s="20" t="inlineStr"/>
      <c r="I328" s="20" t="inlineStr"/>
      <c r="J328" s="20" t="inlineStr"/>
      <c r="K328" s="20" t="inlineStr"/>
      <c r="M328" s="20" t="inlineStr"/>
      <c r="N328" s="20" t="inlineStr"/>
      <c r="O328" s="20" t="inlineStr"/>
      <c r="P328" s="20" t="inlineStr"/>
      <c r="Q328" s="20" t="inlineStr"/>
      <c r="S328" s="18">
        <f>EXACT(TRIM(C328),H328&amp;"")</f>
        <v/>
      </c>
      <c r="T328" s="18">
        <f>EXACT(TRIM(D328),I328&amp;"")</f>
        <v/>
      </c>
      <c r="U328" s="18">
        <f>EXACT(TRIM(E328),J328&amp;"")</f>
        <v/>
      </c>
      <c r="V328" s="18">
        <f>EXACT(TRIM(F328),"'"&amp;K328&amp;"'")</f>
        <v/>
      </c>
      <c r="W328" s="18">
        <f>AND(S328:V328)</f>
        <v/>
      </c>
      <c r="X328" s="19">
        <f>TRIM(IF(S328,"",$S$3&amp;" ")&amp;IF(T328,"",$T$3&amp;" ")&amp;IF(U328,"",$U$3&amp;" ")&amp;IF(V328,"",$V$3&amp;" "))</f>
        <v/>
      </c>
      <c r="Y328" s="18">
        <f>EXACT(SUBSTITUTE(A328," ",""),SUBSTITUTE(M328&amp;N328&amp;O328&amp;P328&amp;Q328," ",""))</f>
        <v/>
      </c>
    </row>
    <row r="329">
      <c r="A329" s="15" t="inlineStr">
        <is>
          <t>INSERT INTO MNG_DEAL_LIST_DSP_TBL VALUES(11 , 11 , 10 , 'N' );</t>
        </is>
      </c>
      <c r="B329" s="16" t="n"/>
      <c r="C329" s="15" t="inlineStr">
        <is>
          <t xml:space="preserve">11 </t>
        </is>
      </c>
      <c r="D329" s="15" t="inlineStr">
        <is>
          <t xml:space="preserve"> 11 </t>
        </is>
      </c>
      <c r="E329" s="15" t="inlineStr">
        <is>
          <t xml:space="preserve"> 10 </t>
        </is>
      </c>
      <c r="F329" s="15" t="inlineStr">
        <is>
          <t xml:space="preserve"> 'N' </t>
        </is>
      </c>
      <c r="H329" s="20" t="inlineStr"/>
      <c r="I329" s="20" t="inlineStr"/>
      <c r="J329" s="20" t="inlineStr"/>
      <c r="K329" s="20" t="inlineStr"/>
      <c r="M329" s="20" t="inlineStr"/>
      <c r="N329" s="20" t="inlineStr"/>
      <c r="O329" s="20" t="inlineStr"/>
      <c r="P329" s="20" t="inlineStr"/>
      <c r="Q329" s="20" t="inlineStr"/>
      <c r="S329" s="18">
        <f>EXACT(TRIM(C329),H329&amp;"")</f>
        <v/>
      </c>
      <c r="T329" s="18">
        <f>EXACT(TRIM(D329),I329&amp;"")</f>
        <v/>
      </c>
      <c r="U329" s="18">
        <f>EXACT(TRIM(E329),J329&amp;"")</f>
        <v/>
      </c>
      <c r="V329" s="18">
        <f>EXACT(TRIM(F329),"'"&amp;K329&amp;"'")</f>
        <v/>
      </c>
      <c r="W329" s="18">
        <f>AND(S329:V329)</f>
        <v/>
      </c>
      <c r="X329" s="19">
        <f>TRIM(IF(S329,"",$S$3&amp;" ")&amp;IF(T329,"",$T$3&amp;" ")&amp;IF(U329,"",$U$3&amp;" ")&amp;IF(V329,"",$V$3&amp;" "))</f>
        <v/>
      </c>
      <c r="Y329" s="18">
        <f>EXACT(SUBSTITUTE(A329," ",""),SUBSTITUTE(M329&amp;N329&amp;O329&amp;P329&amp;Q329," ",""))</f>
        <v/>
      </c>
    </row>
    <row r="330">
      <c r="A330" s="15" t="inlineStr">
        <is>
          <t>INSERT INTO MNG_DEAL_LIST_DSP_TBL VALUES(11 , 11 , 11 , 'N' );</t>
        </is>
      </c>
      <c r="B330" s="16" t="n"/>
      <c r="C330" s="15" t="inlineStr">
        <is>
          <t xml:space="preserve">11 </t>
        </is>
      </c>
      <c r="D330" s="15" t="inlineStr">
        <is>
          <t xml:space="preserve"> 11 </t>
        </is>
      </c>
      <c r="E330" s="15" t="inlineStr">
        <is>
          <t xml:space="preserve"> 11 </t>
        </is>
      </c>
      <c r="F330" s="15" t="inlineStr">
        <is>
          <t xml:space="preserve"> 'N' </t>
        </is>
      </c>
      <c r="H330" s="20" t="inlineStr"/>
      <c r="I330" s="20" t="inlineStr"/>
      <c r="J330" s="20" t="inlineStr"/>
      <c r="K330" s="20" t="inlineStr"/>
      <c r="M330" s="20" t="inlineStr"/>
      <c r="N330" s="20" t="inlineStr"/>
      <c r="O330" s="20" t="inlineStr"/>
      <c r="P330" s="20" t="inlineStr"/>
      <c r="Q330" s="20" t="inlineStr"/>
      <c r="S330" s="18">
        <f>EXACT(TRIM(C330),H330&amp;"")</f>
        <v/>
      </c>
      <c r="T330" s="18">
        <f>EXACT(TRIM(D330),I330&amp;"")</f>
        <v/>
      </c>
      <c r="U330" s="18">
        <f>EXACT(TRIM(E330),J330&amp;"")</f>
        <v/>
      </c>
      <c r="V330" s="18">
        <f>EXACT(TRIM(F330),"'"&amp;K330&amp;"'")</f>
        <v/>
      </c>
      <c r="W330" s="18">
        <f>AND(S330:V330)</f>
        <v/>
      </c>
      <c r="X330" s="19">
        <f>TRIM(IF(S330,"",$S$3&amp;" ")&amp;IF(T330,"",$T$3&amp;" ")&amp;IF(U330,"",$U$3&amp;" ")&amp;IF(V330,"",$V$3&amp;" "))</f>
        <v/>
      </c>
      <c r="Y330" s="18">
        <f>EXACT(SUBSTITUTE(A330," ",""),SUBSTITUTE(M330&amp;N330&amp;O330&amp;P330&amp;Q330," ",""))</f>
        <v/>
      </c>
    </row>
    <row r="331">
      <c r="A331" s="15" t="inlineStr">
        <is>
          <t>INSERT INTO MNG_DEAL_LIST_DSP_TBL VALUES(11 , 11 , 12 , 'N' );</t>
        </is>
      </c>
      <c r="B331" s="16" t="n"/>
      <c r="C331" s="15" t="inlineStr">
        <is>
          <t xml:space="preserve">11 </t>
        </is>
      </c>
      <c r="D331" s="15" t="inlineStr">
        <is>
          <t xml:space="preserve"> 11 </t>
        </is>
      </c>
      <c r="E331" s="15" t="inlineStr">
        <is>
          <t xml:space="preserve"> 12 </t>
        </is>
      </c>
      <c r="F331" s="15" t="inlineStr">
        <is>
          <t xml:space="preserve"> 'N' </t>
        </is>
      </c>
      <c r="H331" s="20" t="inlineStr"/>
      <c r="I331" s="20" t="inlineStr"/>
      <c r="J331" s="20" t="inlineStr"/>
      <c r="K331" s="20" t="inlineStr"/>
      <c r="M331" s="20" t="inlineStr"/>
      <c r="N331" s="20" t="inlineStr"/>
      <c r="O331" s="20" t="inlineStr"/>
      <c r="P331" s="20" t="inlineStr"/>
      <c r="Q331" s="20" t="inlineStr"/>
      <c r="S331" s="18">
        <f>EXACT(TRIM(C331),H331&amp;"")</f>
        <v/>
      </c>
      <c r="T331" s="18">
        <f>EXACT(TRIM(D331),I331&amp;"")</f>
        <v/>
      </c>
      <c r="U331" s="18">
        <f>EXACT(TRIM(E331),J331&amp;"")</f>
        <v/>
      </c>
      <c r="V331" s="18">
        <f>EXACT(TRIM(F331),"'"&amp;K331&amp;"'")</f>
        <v/>
      </c>
      <c r="W331" s="18">
        <f>AND(S331:V331)</f>
        <v/>
      </c>
      <c r="X331" s="19">
        <f>TRIM(IF(S331,"",$S$3&amp;" ")&amp;IF(T331,"",$T$3&amp;" ")&amp;IF(U331,"",$U$3&amp;" ")&amp;IF(V331,"",$V$3&amp;" "))</f>
        <v/>
      </c>
      <c r="Y331" s="18">
        <f>EXACT(SUBSTITUTE(A331," ",""),SUBSTITUTE(M331&amp;N331&amp;O331&amp;P331&amp;Q331," ",""))</f>
        <v/>
      </c>
    </row>
    <row r="332">
      <c r="A332" s="15" t="inlineStr">
        <is>
          <t>INSERT INTO MNG_DEAL_LIST_DSP_TBL VALUES(11 , 11 , 13 , 'N' );</t>
        </is>
      </c>
      <c r="B332" s="16" t="n"/>
      <c r="C332" s="15" t="inlineStr">
        <is>
          <t xml:space="preserve">11 </t>
        </is>
      </c>
      <c r="D332" s="15" t="inlineStr">
        <is>
          <t xml:space="preserve"> 11 </t>
        </is>
      </c>
      <c r="E332" s="15" t="inlineStr">
        <is>
          <t xml:space="preserve"> 13 </t>
        </is>
      </c>
      <c r="F332" s="15" t="inlineStr">
        <is>
          <t xml:space="preserve"> 'N' </t>
        </is>
      </c>
      <c r="H332" s="20" t="inlineStr"/>
      <c r="I332" s="20" t="inlineStr"/>
      <c r="J332" s="20" t="inlineStr"/>
      <c r="K332" s="20" t="inlineStr"/>
      <c r="M332" s="20" t="inlineStr"/>
      <c r="N332" s="20" t="inlineStr"/>
      <c r="O332" s="20" t="inlineStr"/>
      <c r="P332" s="20" t="inlineStr"/>
      <c r="Q332" s="20" t="inlineStr"/>
      <c r="S332" s="18">
        <f>EXACT(TRIM(C332),H332&amp;"")</f>
        <v/>
      </c>
      <c r="T332" s="18">
        <f>EXACT(TRIM(D332),I332&amp;"")</f>
        <v/>
      </c>
      <c r="U332" s="18">
        <f>EXACT(TRIM(E332),J332&amp;"")</f>
        <v/>
      </c>
      <c r="V332" s="18">
        <f>EXACT(TRIM(F332),"'"&amp;K332&amp;"'")</f>
        <v/>
      </c>
      <c r="W332" s="18">
        <f>AND(S332:V332)</f>
        <v/>
      </c>
      <c r="X332" s="19">
        <f>TRIM(IF(S332,"",$S$3&amp;" ")&amp;IF(T332,"",$T$3&amp;" ")&amp;IF(U332,"",$U$3&amp;" ")&amp;IF(V332,"",$V$3&amp;" "))</f>
        <v/>
      </c>
      <c r="Y332" s="18">
        <f>EXACT(SUBSTITUTE(A332," ",""),SUBSTITUTE(M332&amp;N332&amp;O332&amp;P332&amp;Q332," ",""))</f>
        <v/>
      </c>
    </row>
    <row r="333">
      <c r="A333" s="15" t="inlineStr">
        <is>
          <t>INSERT INTO MNG_DEAL_LIST_DSP_TBL VALUES(11 , 11 , 14 , 'N' );</t>
        </is>
      </c>
      <c r="B333" s="16" t="n"/>
      <c r="C333" s="15" t="inlineStr">
        <is>
          <t xml:space="preserve">11 </t>
        </is>
      </c>
      <c r="D333" s="15" t="inlineStr">
        <is>
          <t xml:space="preserve"> 11 </t>
        </is>
      </c>
      <c r="E333" s="15" t="inlineStr">
        <is>
          <t xml:space="preserve"> 14 </t>
        </is>
      </c>
      <c r="F333" s="15" t="inlineStr">
        <is>
          <t xml:space="preserve"> 'N' </t>
        </is>
      </c>
      <c r="H333" s="20" t="inlineStr"/>
      <c r="I333" s="20" t="inlineStr"/>
      <c r="J333" s="20" t="inlineStr"/>
      <c r="K333" s="20" t="inlineStr"/>
      <c r="M333" s="20" t="inlineStr"/>
      <c r="N333" s="20" t="inlineStr"/>
      <c r="O333" s="20" t="inlineStr"/>
      <c r="P333" s="20" t="inlineStr"/>
      <c r="Q333" s="20" t="inlineStr"/>
      <c r="S333" s="18">
        <f>EXACT(TRIM(C333),H333&amp;"")</f>
        <v/>
      </c>
      <c r="T333" s="18">
        <f>EXACT(TRIM(D333),I333&amp;"")</f>
        <v/>
      </c>
      <c r="U333" s="18">
        <f>EXACT(TRIM(E333),J333&amp;"")</f>
        <v/>
      </c>
      <c r="V333" s="18">
        <f>EXACT(TRIM(F333),"'"&amp;K333&amp;"'")</f>
        <v/>
      </c>
      <c r="W333" s="18">
        <f>AND(S333:V333)</f>
        <v/>
      </c>
      <c r="X333" s="19">
        <f>TRIM(IF(S333,"",$S$3&amp;" ")&amp;IF(T333,"",$T$3&amp;" ")&amp;IF(U333,"",$U$3&amp;" ")&amp;IF(V333,"",$V$3&amp;" "))</f>
        <v/>
      </c>
      <c r="Y333" s="18">
        <f>EXACT(SUBSTITUTE(A333," ",""),SUBSTITUTE(M333&amp;N333&amp;O333&amp;P333&amp;Q333," ",""))</f>
        <v/>
      </c>
    </row>
    <row r="334">
      <c r="A334" s="15" t="inlineStr">
        <is>
          <t>INSERT INTO MNG_DEAL_LIST_DSP_TBL VALUES(11 , 11 , 15 , 'N' );</t>
        </is>
      </c>
      <c r="B334" s="16" t="n"/>
      <c r="C334" s="15" t="inlineStr">
        <is>
          <t xml:space="preserve">11 </t>
        </is>
      </c>
      <c r="D334" s="15" t="inlineStr">
        <is>
          <t xml:space="preserve"> 11 </t>
        </is>
      </c>
      <c r="E334" s="15" t="inlineStr">
        <is>
          <t xml:space="preserve"> 15 </t>
        </is>
      </c>
      <c r="F334" s="15" t="inlineStr">
        <is>
          <t xml:space="preserve"> 'N' </t>
        </is>
      </c>
      <c r="H334" s="20" t="inlineStr"/>
      <c r="I334" s="20" t="inlineStr"/>
      <c r="J334" s="20" t="inlineStr"/>
      <c r="K334" s="20" t="inlineStr"/>
      <c r="M334" s="20" t="inlineStr"/>
      <c r="N334" s="20" t="inlineStr"/>
      <c r="O334" s="20" t="inlineStr"/>
      <c r="P334" s="20" t="inlineStr"/>
      <c r="Q334" s="20" t="inlineStr"/>
      <c r="S334" s="18">
        <f>EXACT(TRIM(C334),H334&amp;"")</f>
        <v/>
      </c>
      <c r="T334" s="18">
        <f>EXACT(TRIM(D334),I334&amp;"")</f>
        <v/>
      </c>
      <c r="U334" s="18">
        <f>EXACT(TRIM(E334),J334&amp;"")</f>
        <v/>
      </c>
      <c r="V334" s="18">
        <f>EXACT(TRIM(F334),"'"&amp;K334&amp;"'")</f>
        <v/>
      </c>
      <c r="W334" s="18">
        <f>AND(S334:V334)</f>
        <v/>
      </c>
      <c r="X334" s="19">
        <f>TRIM(IF(S334,"",$S$3&amp;" ")&amp;IF(T334,"",$T$3&amp;" ")&amp;IF(U334,"",$U$3&amp;" ")&amp;IF(V334,"",$V$3&amp;" "))</f>
        <v/>
      </c>
      <c r="Y334" s="18">
        <f>EXACT(SUBSTITUTE(A334," ",""),SUBSTITUTE(M334&amp;N334&amp;O334&amp;P334&amp;Q334," ",""))</f>
        <v/>
      </c>
    </row>
    <row r="335">
      <c r="A335" s="15" t="inlineStr">
        <is>
          <t>INSERT INTO MNG_DEAL_LIST_DSP_TBL VALUES(11 , 11 , 16 , 'N' );</t>
        </is>
      </c>
      <c r="B335" s="16" t="n"/>
      <c r="C335" s="15" t="inlineStr">
        <is>
          <t xml:space="preserve">11 </t>
        </is>
      </c>
      <c r="D335" s="15" t="inlineStr">
        <is>
          <t xml:space="preserve"> 11 </t>
        </is>
      </c>
      <c r="E335" s="15" t="inlineStr">
        <is>
          <t xml:space="preserve"> 16 </t>
        </is>
      </c>
      <c r="F335" s="15" t="inlineStr">
        <is>
          <t xml:space="preserve"> 'N' </t>
        </is>
      </c>
      <c r="H335" s="20" t="inlineStr"/>
      <c r="I335" s="20" t="inlineStr"/>
      <c r="J335" s="20" t="inlineStr"/>
      <c r="K335" s="20" t="inlineStr"/>
      <c r="M335" s="20" t="inlineStr"/>
      <c r="N335" s="20" t="inlineStr"/>
      <c r="O335" s="20" t="inlineStr"/>
      <c r="P335" s="20" t="inlineStr"/>
      <c r="Q335" s="20" t="inlineStr"/>
      <c r="S335" s="18">
        <f>EXACT(TRIM(C335),H335&amp;"")</f>
        <v/>
      </c>
      <c r="T335" s="18">
        <f>EXACT(TRIM(D335),I335&amp;"")</f>
        <v/>
      </c>
      <c r="U335" s="18">
        <f>EXACT(TRIM(E335),J335&amp;"")</f>
        <v/>
      </c>
      <c r="V335" s="18">
        <f>EXACT(TRIM(F335),"'"&amp;K335&amp;"'")</f>
        <v/>
      </c>
      <c r="W335" s="18">
        <f>AND(S335:V335)</f>
        <v/>
      </c>
      <c r="X335" s="19">
        <f>TRIM(IF(S335,"",$S$3&amp;" ")&amp;IF(T335,"",$T$3&amp;" ")&amp;IF(U335,"",$U$3&amp;" ")&amp;IF(V335,"",$V$3&amp;" "))</f>
        <v/>
      </c>
      <c r="Y335" s="18">
        <f>EXACT(SUBSTITUTE(A335," ",""),SUBSTITUTE(M335&amp;N335&amp;O335&amp;P335&amp;Q335," ",""))</f>
        <v/>
      </c>
    </row>
  </sheetData>
  <autoFilter ref="A3:AB335"/>
  <mergeCells count="9">
    <mergeCell ref="S2:X2"/>
    <mergeCell ref="M2:Q2"/>
    <mergeCell ref="AA2:AB2"/>
    <mergeCell ref="A1:F1"/>
    <mergeCell ref="H2:K2"/>
    <mergeCell ref="AA1:AB1"/>
    <mergeCell ref="C2:F2"/>
    <mergeCell ref="H1:Q1"/>
    <mergeCell ref="S1:Y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N33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" customWidth="1" min="20" max="20"/>
    <col width="11" customWidth="1" min="21" max="21"/>
    <col width="11" customWidth="1" min="22" max="22"/>
    <col width="11" customWidth="1" min="23" max="23"/>
    <col width="62" customWidth="1" min="24" max="24"/>
    <col width="11" customWidth="1" min="25" max="25"/>
    <col width="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24" customWidth="1" min="36" max="36"/>
    <col width="11" customWidth="1" min="37" max="37"/>
    <col width="2" customWidth="1" min="38" max="38"/>
    <col width="8" customWidth="1" min="39" max="39"/>
    <col width="30" customWidth="1" min="40" max="40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4" t="inlineStr">
        <is>
          <t>②③ マスタ定義書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5" t="inlineStr">
        <is>
          <t>突合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6" t="inlineStr">
        <is>
          <t>確認結果（記入欄）</t>
        </is>
      </c>
      <c r="AN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2" t="n"/>
      <c r="I2" s="2" t="n"/>
      <c r="J2" s="3" t="n"/>
      <c r="L2" s="4" t="inlineStr">
        <is>
          <t>横浜銀行様用出荷設定</t>
        </is>
      </c>
      <c r="M2" s="2" t="n"/>
      <c r="N2" s="2" t="n"/>
      <c r="O2" s="2" t="n"/>
      <c r="P2" s="2" t="n"/>
      <c r="Q2" s="2" t="n"/>
      <c r="R2" s="2" t="n"/>
      <c r="S2" s="3" t="n"/>
      <c r="U2" s="8" t="inlineStr">
        <is>
          <t>SQL</t>
        </is>
      </c>
      <c r="V2" s="2" t="n"/>
      <c r="W2" s="2" t="n"/>
      <c r="X2" s="2" t="n"/>
      <c r="Y2" s="3" t="n"/>
      <c r="AA2" s="5" t="inlineStr">
        <is>
          <t>①②の突合（項目ごと）</t>
        </is>
      </c>
      <c r="AB2" s="2" t="n"/>
      <c r="AC2" s="2" t="n"/>
      <c r="AD2" s="2" t="n"/>
      <c r="AE2" s="2" t="n"/>
      <c r="AF2" s="2" t="n"/>
      <c r="AG2" s="2" t="n"/>
      <c r="AH2" s="2" t="n"/>
      <c r="AI2" s="2" t="n"/>
      <c r="AJ2" s="3" t="n"/>
      <c r="AK2" s="5" t="inlineStr">
        <is>
          <t>①③の突合</t>
        </is>
      </c>
      <c r="AM2" s="6" t="inlineStr">
        <is>
          <t>確認結果</t>
        </is>
      </c>
      <c r="AN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I3" s="10" t="inlineStr">
        <is>
          <t>区切7</t>
        </is>
      </c>
      <c r="J3" s="10" t="inlineStr">
        <is>
          <t>区切8</t>
        </is>
      </c>
      <c r="L3" s="11" t="inlineStr">
        <is>
          <t>LST_ID</t>
        </is>
      </c>
      <c r="M3" s="11" t="inlineStr">
        <is>
          <t>REF_NO</t>
        </is>
      </c>
      <c r="N3" s="11" t="inlineStr">
        <is>
          <t>REF_NAME</t>
        </is>
      </c>
      <c r="O3" s="11" t="inlineStr">
        <is>
          <t>CMN_CHECK</t>
        </is>
      </c>
      <c r="P3" s="11" t="inlineStr">
        <is>
          <t>DIGITS</t>
        </is>
      </c>
      <c r="Q3" s="11" t="inlineStr">
        <is>
          <t>TYPE_OF_TEXT</t>
        </is>
      </c>
      <c r="R3" s="11" t="inlineStr">
        <is>
          <t>PSN_CHECK</t>
        </is>
      </c>
      <c r="S3" s="11" t="inlineStr">
        <is>
          <t>CHECK_ITEM</t>
        </is>
      </c>
      <c r="U3" s="12" t="inlineStr">
        <is>
          <t>固定</t>
        </is>
      </c>
      <c r="V3" s="12" t="inlineStr">
        <is>
          <t>固定</t>
        </is>
      </c>
      <c r="W3" s="12" t="inlineStr">
        <is>
          <t>固定</t>
        </is>
      </c>
      <c r="X3" s="12" t="inlineStr">
        <is>
          <t>数式</t>
        </is>
      </c>
      <c r="Y3" s="12" t="inlineStr">
        <is>
          <t>固定</t>
        </is>
      </c>
      <c r="AA3" s="13" t="inlineStr">
        <is>
          <t>LST_ID</t>
        </is>
      </c>
      <c r="AB3" s="13" t="inlineStr">
        <is>
          <t>REF_NO</t>
        </is>
      </c>
      <c r="AC3" s="13" t="inlineStr">
        <is>
          <t>REF_NAME</t>
        </is>
      </c>
      <c r="AD3" s="13" t="inlineStr">
        <is>
          <t>CMN_CHECK</t>
        </is>
      </c>
      <c r="AE3" s="13" t="inlineStr">
        <is>
          <t>DIGITS</t>
        </is>
      </c>
      <c r="AF3" s="13" t="inlineStr">
        <is>
          <t>TYPE_OF_TEXT</t>
        </is>
      </c>
      <c r="AG3" s="13" t="inlineStr">
        <is>
          <t>PSN_CHECK</t>
        </is>
      </c>
      <c r="AH3" s="13" t="inlineStr">
        <is>
          <t>CHECK_ITEM</t>
        </is>
      </c>
      <c r="AI3" s="13" t="inlineStr">
        <is>
          <t>全項目一致</t>
        </is>
      </c>
      <c r="AJ3" s="13" t="inlineStr">
        <is>
          <t>相違した項目</t>
        </is>
      </c>
      <c r="AK3" s="13" t="inlineStr">
        <is>
          <t>SQL文一致</t>
        </is>
      </c>
      <c r="AM3" s="14" t="inlineStr">
        <is>
          <t>判定</t>
        </is>
      </c>
      <c r="AN3" s="14" t="inlineStr">
        <is>
          <t>備考</t>
        </is>
      </c>
    </row>
    <row r="4">
      <c r="A4" s="15" t="inlineStr">
        <is>
          <t>INSERT INTO MNG_LIST_REF_TBL VALUES(16 , 1 , '補足1', '4', 1000 , '2', '' , '');</t>
        </is>
      </c>
      <c r="B4" s="16" t="n"/>
      <c r="C4" s="15" t="inlineStr">
        <is>
          <t xml:space="preserve">16 </t>
        </is>
      </c>
      <c r="D4" s="15" t="inlineStr">
        <is>
          <t xml:space="preserve"> 1 </t>
        </is>
      </c>
      <c r="E4" s="15" t="inlineStr">
        <is>
          <t xml:space="preserve"> '補足1'</t>
        </is>
      </c>
      <c r="F4" s="15" t="inlineStr">
        <is>
          <t xml:space="preserve"> '4'</t>
        </is>
      </c>
      <c r="G4" s="15" t="inlineStr">
        <is>
          <t xml:space="preserve"> 1000 </t>
        </is>
      </c>
      <c r="H4" s="15" t="inlineStr">
        <is>
          <t xml:space="preserve"> '2'</t>
        </is>
      </c>
      <c r="I4" s="15" t="inlineStr">
        <is>
          <t xml:space="preserve"> '' </t>
        </is>
      </c>
      <c r="J4" s="15" t="inlineStr">
        <is>
          <t xml:space="preserve"> ''</t>
        </is>
      </c>
      <c r="L4" s="17" t="inlineStr">
        <is>
          <t>16</t>
        </is>
      </c>
      <c r="M4" s="17" t="inlineStr">
        <is>
          <t>1</t>
        </is>
      </c>
      <c r="N4" s="17" t="inlineStr">
        <is>
          <t>補足1</t>
        </is>
      </c>
      <c r="O4" s="17" t="inlineStr">
        <is>
          <t>4</t>
        </is>
      </c>
      <c r="P4" s="17" t="inlineStr">
        <is>
          <t>1000</t>
        </is>
      </c>
      <c r="Q4" s="17" t="inlineStr">
        <is>
          <t>2</t>
        </is>
      </c>
      <c r="R4" s="17" t="inlineStr"/>
      <c r="S4" s="17" t="inlineStr"/>
      <c r="U4" s="15" t="inlineStr">
        <is>
          <t>INSERT INTO</t>
        </is>
      </c>
      <c r="V4" s="15" t="inlineStr">
        <is>
          <t>MNG_LIST_REF_TBL</t>
        </is>
      </c>
      <c r="W4" s="15" t="inlineStr">
        <is>
          <t>VALUES(</t>
        </is>
      </c>
      <c r="X4" s="15" t="inlineStr">
        <is>
          <t>16,1, '補足1','4',1000,'2','',''</t>
        </is>
      </c>
      <c r="Y4" s="15" t="inlineStr">
        <is>
          <t>);</t>
        </is>
      </c>
      <c r="AA4" s="18">
        <f>EXACT(TRIM(C4),L4&amp;"")</f>
        <v/>
      </c>
      <c r="AB4" s="18">
        <f>EXACT(TRIM(D4),M4&amp;"")</f>
        <v/>
      </c>
      <c r="AC4" s="18">
        <f>EXACT(TRIM(E4),"'"&amp;N4&amp;"'")</f>
        <v/>
      </c>
      <c r="AD4" s="18">
        <f>EXACT(TRIM(F4),"'"&amp;O4&amp;"'")</f>
        <v/>
      </c>
      <c r="AE4" s="18">
        <f>EXACT(TRIM(G4),P4&amp;"")</f>
        <v/>
      </c>
      <c r="AF4" s="18">
        <f>EXACT(TRIM(H4),"'"&amp;Q4&amp;"'")</f>
        <v/>
      </c>
      <c r="AG4" s="18">
        <f>EXACT(TRIM(I4),"'"&amp;R4&amp;"'")</f>
        <v/>
      </c>
      <c r="AH4" s="18">
        <f>EXACT(TRIM(J4),"'"&amp;S4&amp;"'")</f>
        <v/>
      </c>
      <c r="AI4" s="18">
        <f>AND(AA4:AH4)</f>
        <v/>
      </c>
      <c r="AJ4" s="19">
        <f>TRIM(IF(AA4,"",$AA$3&amp;" ")&amp;IF(AB4,"",$AB$3&amp;" ")&amp;IF(AC4,"",$AC$3&amp;" ")&amp;IF(AD4,"",$AD$3&amp;" ")&amp;IF(AE4,"",$AE$3&amp;" ")&amp;IF(AF4,"",$AF$3&amp;" ")&amp;IF(AG4,"",$AG$3&amp;" ")&amp;IF(AH4,"",$AH$3&amp;" "))</f>
        <v/>
      </c>
      <c r="AK4" s="18">
        <f>EXACT(SUBSTITUTE(A4," ",""),SUBSTITUTE(U4&amp;V4&amp;W4&amp;X4&amp;Y4," ",""))</f>
        <v/>
      </c>
    </row>
    <row r="5">
      <c r="A5" s="15" t="inlineStr">
        <is>
          <t>INSERT INTO MNG_LIST_REF_TBL VALUES(16 , 2 , '補足2', '4', 1000 , '2', '' , '');</t>
        </is>
      </c>
      <c r="B5" s="16" t="n"/>
      <c r="C5" s="15" t="inlineStr">
        <is>
          <t xml:space="preserve">16 </t>
        </is>
      </c>
      <c r="D5" s="15" t="inlineStr">
        <is>
          <t xml:space="preserve"> 2 </t>
        </is>
      </c>
      <c r="E5" s="15" t="inlineStr">
        <is>
          <t xml:space="preserve"> '補足2'</t>
        </is>
      </c>
      <c r="F5" s="15" t="inlineStr">
        <is>
          <t xml:space="preserve"> '4'</t>
        </is>
      </c>
      <c r="G5" s="15" t="inlineStr">
        <is>
          <t xml:space="preserve"> 1000 </t>
        </is>
      </c>
      <c r="H5" s="15" t="inlineStr">
        <is>
          <t xml:space="preserve"> '2'</t>
        </is>
      </c>
      <c r="I5" s="15" t="inlineStr">
        <is>
          <t xml:space="preserve"> '' </t>
        </is>
      </c>
      <c r="J5" s="15" t="inlineStr">
        <is>
          <t xml:space="preserve"> ''</t>
        </is>
      </c>
      <c r="L5" s="17" t="inlineStr">
        <is>
          <t>16</t>
        </is>
      </c>
      <c r="M5" s="17" t="inlineStr">
        <is>
          <t>2</t>
        </is>
      </c>
      <c r="N5" s="17" t="inlineStr">
        <is>
          <t>補足2</t>
        </is>
      </c>
      <c r="O5" s="17" t="inlineStr">
        <is>
          <t>4</t>
        </is>
      </c>
      <c r="P5" s="17" t="inlineStr">
        <is>
          <t>1000</t>
        </is>
      </c>
      <c r="Q5" s="17" t="inlineStr">
        <is>
          <t>2</t>
        </is>
      </c>
      <c r="R5" s="17" t="inlineStr"/>
      <c r="S5" s="17" t="inlineStr"/>
      <c r="U5" s="15" t="inlineStr">
        <is>
          <t>INSERT INTO</t>
        </is>
      </c>
      <c r="V5" s="15" t="inlineStr">
        <is>
          <t>MNG_LIST_REF_TBL</t>
        </is>
      </c>
      <c r="W5" s="15" t="inlineStr">
        <is>
          <t>VALUES(</t>
        </is>
      </c>
      <c r="X5" s="15" t="inlineStr">
        <is>
          <t>16,2, '補足2','4',1000,'2','',''</t>
        </is>
      </c>
      <c r="Y5" s="15" t="inlineStr">
        <is>
          <t>);</t>
        </is>
      </c>
      <c r="AA5" s="18">
        <f>EXACT(TRIM(C5),L5&amp;"")</f>
        <v/>
      </c>
      <c r="AB5" s="18">
        <f>EXACT(TRIM(D5),M5&amp;"")</f>
        <v/>
      </c>
      <c r="AC5" s="18">
        <f>EXACT(TRIM(E5),"'"&amp;N5&amp;"'")</f>
        <v/>
      </c>
      <c r="AD5" s="18">
        <f>EXACT(TRIM(F5),"'"&amp;O5&amp;"'")</f>
        <v/>
      </c>
      <c r="AE5" s="18">
        <f>EXACT(TRIM(G5),P5&amp;"")</f>
        <v/>
      </c>
      <c r="AF5" s="18">
        <f>EXACT(TRIM(H5),"'"&amp;Q5&amp;"'")</f>
        <v/>
      </c>
      <c r="AG5" s="18">
        <f>EXACT(TRIM(I5),"'"&amp;R5&amp;"'")</f>
        <v/>
      </c>
      <c r="AH5" s="18">
        <f>EXACT(TRIM(J5),"'"&amp;S5&amp;"'")</f>
        <v/>
      </c>
      <c r="AI5" s="18">
        <f>AND(AA5:AH5)</f>
        <v/>
      </c>
      <c r="AJ5" s="19">
        <f>TRIM(IF(AA5,"",$AA$3&amp;" ")&amp;IF(AB5,"",$AB$3&amp;" ")&amp;IF(AC5,"",$AC$3&amp;" ")&amp;IF(AD5,"",$AD$3&amp;" ")&amp;IF(AE5,"",$AE$3&amp;" ")&amp;IF(AF5,"",$AF$3&amp;" ")&amp;IF(AG5,"",$AG$3&amp;" ")&amp;IF(AH5,"",$AH$3&amp;" "))</f>
        <v/>
      </c>
      <c r="AK5" s="18">
        <f>EXACT(SUBSTITUTE(A5," ",""),SUBSTITUTE(U5&amp;V5&amp;W5&amp;X5&amp;Y5," ",""))</f>
        <v/>
      </c>
    </row>
    <row r="6">
      <c r="A6" s="15" t="inlineStr">
        <is>
          <t>INSERT INTO MNG_LIST_REF_TBL VALUES(16 , 3 , '補足3', '4', 1000 , '2', '' , '');</t>
        </is>
      </c>
      <c r="B6" s="16" t="n"/>
      <c r="C6" s="15" t="inlineStr">
        <is>
          <t xml:space="preserve">16 </t>
        </is>
      </c>
      <c r="D6" s="15" t="inlineStr">
        <is>
          <t xml:space="preserve"> 3 </t>
        </is>
      </c>
      <c r="E6" s="15" t="inlineStr">
        <is>
          <t xml:space="preserve"> '補足3'</t>
        </is>
      </c>
      <c r="F6" s="15" t="inlineStr">
        <is>
          <t xml:space="preserve"> '4'</t>
        </is>
      </c>
      <c r="G6" s="15" t="inlineStr">
        <is>
          <t xml:space="preserve"> 1000 </t>
        </is>
      </c>
      <c r="H6" s="15" t="inlineStr">
        <is>
          <t xml:space="preserve"> '2'</t>
        </is>
      </c>
      <c r="I6" s="15" t="inlineStr">
        <is>
          <t xml:space="preserve"> '' </t>
        </is>
      </c>
      <c r="J6" s="15" t="inlineStr">
        <is>
          <t xml:space="preserve"> ''</t>
        </is>
      </c>
      <c r="L6" s="17" t="inlineStr">
        <is>
          <t>16</t>
        </is>
      </c>
      <c r="M6" s="17" t="inlineStr">
        <is>
          <t>3</t>
        </is>
      </c>
      <c r="N6" s="17" t="inlineStr">
        <is>
          <t>補足3</t>
        </is>
      </c>
      <c r="O6" s="17" t="inlineStr">
        <is>
          <t>4</t>
        </is>
      </c>
      <c r="P6" s="17" t="inlineStr">
        <is>
          <t>1000</t>
        </is>
      </c>
      <c r="Q6" s="17" t="inlineStr">
        <is>
          <t>2</t>
        </is>
      </c>
      <c r="R6" s="17" t="inlineStr"/>
      <c r="S6" s="17" t="inlineStr"/>
      <c r="U6" s="15" t="inlineStr">
        <is>
          <t>INSERT INTO</t>
        </is>
      </c>
      <c r="V6" s="15" t="inlineStr">
        <is>
          <t>MNG_LIST_REF_TBL</t>
        </is>
      </c>
      <c r="W6" s="15" t="inlineStr">
        <is>
          <t>VALUES(</t>
        </is>
      </c>
      <c r="X6" s="15" t="inlineStr">
        <is>
          <t>16,3, '補足3','4',1000,'2','',''</t>
        </is>
      </c>
      <c r="Y6" s="15" t="inlineStr">
        <is>
          <t>);</t>
        </is>
      </c>
      <c r="AA6" s="18">
        <f>EXACT(TRIM(C6),L6&amp;"")</f>
        <v/>
      </c>
      <c r="AB6" s="18">
        <f>EXACT(TRIM(D6),M6&amp;"")</f>
        <v/>
      </c>
      <c r="AC6" s="18">
        <f>EXACT(TRIM(E6),"'"&amp;N6&amp;"'")</f>
        <v/>
      </c>
      <c r="AD6" s="18">
        <f>EXACT(TRIM(F6),"'"&amp;O6&amp;"'")</f>
        <v/>
      </c>
      <c r="AE6" s="18">
        <f>EXACT(TRIM(G6),P6&amp;"")</f>
        <v/>
      </c>
      <c r="AF6" s="18">
        <f>EXACT(TRIM(H6),"'"&amp;Q6&amp;"'")</f>
        <v/>
      </c>
      <c r="AG6" s="18">
        <f>EXACT(TRIM(I6),"'"&amp;R6&amp;"'")</f>
        <v/>
      </c>
      <c r="AH6" s="18">
        <f>EXACT(TRIM(J6),"'"&amp;S6&amp;"'")</f>
        <v/>
      </c>
      <c r="AI6" s="18">
        <f>AND(AA6:AH6)</f>
        <v/>
      </c>
      <c r="AJ6" s="19">
        <f>TRIM(IF(AA6,"",$AA$3&amp;" ")&amp;IF(AB6,"",$AB$3&amp;" ")&amp;IF(AC6,"",$AC$3&amp;" ")&amp;IF(AD6,"",$AD$3&amp;" ")&amp;IF(AE6,"",$AE$3&amp;" ")&amp;IF(AF6,"",$AF$3&amp;" ")&amp;IF(AG6,"",$AG$3&amp;" ")&amp;IF(AH6,"",$AH$3&amp;" "))</f>
        <v/>
      </c>
      <c r="AK6" s="18">
        <f>EXACT(SUBSTITUTE(A6," ",""),SUBSTITUTE(U6&amp;V6&amp;W6&amp;X6&amp;Y6," ",""))</f>
        <v/>
      </c>
    </row>
    <row r="7">
      <c r="A7" s="15" t="inlineStr">
        <is>
          <t>INSERT INTO MNG_LIST_REF_TBL VALUES(16 , 4 , '補足4', '4', 1000 , '2', '' , '');</t>
        </is>
      </c>
      <c r="B7" s="16" t="n"/>
      <c r="C7" s="15" t="inlineStr">
        <is>
          <t xml:space="preserve">16 </t>
        </is>
      </c>
      <c r="D7" s="15" t="inlineStr">
        <is>
          <t xml:space="preserve"> 4 </t>
        </is>
      </c>
      <c r="E7" s="15" t="inlineStr">
        <is>
          <t xml:space="preserve"> '補足4'</t>
        </is>
      </c>
      <c r="F7" s="15" t="inlineStr">
        <is>
          <t xml:space="preserve"> '4'</t>
        </is>
      </c>
      <c r="G7" s="15" t="inlineStr">
        <is>
          <t xml:space="preserve"> 1000 </t>
        </is>
      </c>
      <c r="H7" s="15" t="inlineStr">
        <is>
          <t xml:space="preserve"> '2'</t>
        </is>
      </c>
      <c r="I7" s="15" t="inlineStr">
        <is>
          <t xml:space="preserve"> '' </t>
        </is>
      </c>
      <c r="J7" s="15" t="inlineStr">
        <is>
          <t xml:space="preserve"> ''</t>
        </is>
      </c>
      <c r="L7" s="17" t="inlineStr">
        <is>
          <t>16</t>
        </is>
      </c>
      <c r="M7" s="17" t="inlineStr">
        <is>
          <t>4</t>
        </is>
      </c>
      <c r="N7" s="17" t="inlineStr">
        <is>
          <t>補足4</t>
        </is>
      </c>
      <c r="O7" s="17" t="inlineStr">
        <is>
          <t>4</t>
        </is>
      </c>
      <c r="P7" s="17" t="inlineStr">
        <is>
          <t>1000</t>
        </is>
      </c>
      <c r="Q7" s="17" t="inlineStr">
        <is>
          <t>2</t>
        </is>
      </c>
      <c r="R7" s="17" t="inlineStr"/>
      <c r="S7" s="17" t="inlineStr"/>
      <c r="U7" s="15" t="inlineStr">
        <is>
          <t>INSERT INTO</t>
        </is>
      </c>
      <c r="V7" s="15" t="inlineStr">
        <is>
          <t>MNG_LIST_REF_TBL</t>
        </is>
      </c>
      <c r="W7" s="15" t="inlineStr">
        <is>
          <t>VALUES(</t>
        </is>
      </c>
      <c r="X7" s="15" t="inlineStr">
        <is>
          <t>16,4, '補足4','4',1000,'2','',''</t>
        </is>
      </c>
      <c r="Y7" s="15" t="inlineStr">
        <is>
          <t>);</t>
        </is>
      </c>
      <c r="AA7" s="18">
        <f>EXACT(TRIM(C7),L7&amp;"")</f>
        <v/>
      </c>
      <c r="AB7" s="18">
        <f>EXACT(TRIM(D7),M7&amp;"")</f>
        <v/>
      </c>
      <c r="AC7" s="18">
        <f>EXACT(TRIM(E7),"'"&amp;N7&amp;"'")</f>
        <v/>
      </c>
      <c r="AD7" s="18">
        <f>EXACT(TRIM(F7),"'"&amp;O7&amp;"'")</f>
        <v/>
      </c>
      <c r="AE7" s="18">
        <f>EXACT(TRIM(G7),P7&amp;"")</f>
        <v/>
      </c>
      <c r="AF7" s="18">
        <f>EXACT(TRIM(H7),"'"&amp;Q7&amp;"'")</f>
        <v/>
      </c>
      <c r="AG7" s="18">
        <f>EXACT(TRIM(I7),"'"&amp;R7&amp;"'")</f>
        <v/>
      </c>
      <c r="AH7" s="18">
        <f>EXACT(TRIM(J7),"'"&amp;S7&amp;"'")</f>
        <v/>
      </c>
      <c r="AI7" s="18">
        <f>AND(AA7:AH7)</f>
        <v/>
      </c>
      <c r="AJ7" s="19">
        <f>TRIM(IF(AA7,"",$AA$3&amp;" ")&amp;IF(AB7,"",$AB$3&amp;" ")&amp;IF(AC7,"",$AC$3&amp;" ")&amp;IF(AD7,"",$AD$3&amp;" ")&amp;IF(AE7,"",$AE$3&amp;" ")&amp;IF(AF7,"",$AF$3&amp;" ")&amp;IF(AG7,"",$AG$3&amp;" ")&amp;IF(AH7,"",$AH$3&amp;" "))</f>
        <v/>
      </c>
      <c r="AK7" s="18">
        <f>EXACT(SUBSTITUTE(A7," ",""),SUBSTITUTE(U7&amp;V7&amp;W7&amp;X7&amp;Y7," ",""))</f>
        <v/>
      </c>
    </row>
    <row r="8">
      <c r="A8" s="15" t="inlineStr">
        <is>
          <t>INSERT INTO MNG_LIST_REF_TBL VALUES(16 , 5 , '補足5', '4', 1000 , '2', '' , '');</t>
        </is>
      </c>
      <c r="B8" s="16" t="n"/>
      <c r="C8" s="15" t="inlineStr">
        <is>
          <t xml:space="preserve">16 </t>
        </is>
      </c>
      <c r="D8" s="15" t="inlineStr">
        <is>
          <t xml:space="preserve"> 5 </t>
        </is>
      </c>
      <c r="E8" s="15" t="inlineStr">
        <is>
          <t xml:space="preserve"> '補足5'</t>
        </is>
      </c>
      <c r="F8" s="15" t="inlineStr">
        <is>
          <t xml:space="preserve"> '4'</t>
        </is>
      </c>
      <c r="G8" s="15" t="inlineStr">
        <is>
          <t xml:space="preserve"> 1000 </t>
        </is>
      </c>
      <c r="H8" s="15" t="inlineStr">
        <is>
          <t xml:space="preserve"> '2'</t>
        </is>
      </c>
      <c r="I8" s="15" t="inlineStr">
        <is>
          <t xml:space="preserve"> '' </t>
        </is>
      </c>
      <c r="J8" s="15" t="inlineStr">
        <is>
          <t xml:space="preserve"> ''</t>
        </is>
      </c>
      <c r="L8" s="17" t="inlineStr">
        <is>
          <t>16</t>
        </is>
      </c>
      <c r="M8" s="17" t="inlineStr">
        <is>
          <t>5</t>
        </is>
      </c>
      <c r="N8" s="17" t="inlineStr">
        <is>
          <t>補足5</t>
        </is>
      </c>
      <c r="O8" s="17" t="inlineStr">
        <is>
          <t>4</t>
        </is>
      </c>
      <c r="P8" s="17" t="inlineStr">
        <is>
          <t>1000</t>
        </is>
      </c>
      <c r="Q8" s="17" t="inlineStr">
        <is>
          <t>2</t>
        </is>
      </c>
      <c r="R8" s="17" t="inlineStr"/>
      <c r="S8" s="17" t="inlineStr"/>
      <c r="U8" s="15" t="inlineStr">
        <is>
          <t>INSERT INTO</t>
        </is>
      </c>
      <c r="V8" s="15" t="inlineStr">
        <is>
          <t>MNG_LIST_REF_TBL</t>
        </is>
      </c>
      <c r="W8" s="15" t="inlineStr">
        <is>
          <t>VALUES(</t>
        </is>
      </c>
      <c r="X8" s="15" t="inlineStr">
        <is>
          <t>16,5, '補足5','4',1000,'2','',''</t>
        </is>
      </c>
      <c r="Y8" s="15" t="inlineStr">
        <is>
          <t>);</t>
        </is>
      </c>
      <c r="AA8" s="18">
        <f>EXACT(TRIM(C8),L8&amp;"")</f>
        <v/>
      </c>
      <c r="AB8" s="18">
        <f>EXACT(TRIM(D8),M8&amp;"")</f>
        <v/>
      </c>
      <c r="AC8" s="18">
        <f>EXACT(TRIM(E8),"'"&amp;N8&amp;"'")</f>
        <v/>
      </c>
      <c r="AD8" s="18">
        <f>EXACT(TRIM(F8),"'"&amp;O8&amp;"'")</f>
        <v/>
      </c>
      <c r="AE8" s="18">
        <f>EXACT(TRIM(G8),P8&amp;"")</f>
        <v/>
      </c>
      <c r="AF8" s="18">
        <f>EXACT(TRIM(H8),"'"&amp;Q8&amp;"'")</f>
        <v/>
      </c>
      <c r="AG8" s="18">
        <f>EXACT(TRIM(I8),"'"&amp;R8&amp;"'")</f>
        <v/>
      </c>
      <c r="AH8" s="18">
        <f>EXACT(TRIM(J8),"'"&amp;S8&amp;"'")</f>
        <v/>
      </c>
      <c r="AI8" s="18">
        <f>AND(AA8:AH8)</f>
        <v/>
      </c>
      <c r="AJ8" s="19">
        <f>TRIM(IF(AA8,"",$AA$3&amp;" ")&amp;IF(AB8,"",$AB$3&amp;" ")&amp;IF(AC8,"",$AC$3&amp;" ")&amp;IF(AD8,"",$AD$3&amp;" ")&amp;IF(AE8,"",$AE$3&amp;" ")&amp;IF(AF8,"",$AF$3&amp;" ")&amp;IF(AG8,"",$AG$3&amp;" ")&amp;IF(AH8,"",$AH$3&amp;" "))</f>
        <v/>
      </c>
      <c r="AK8" s="18">
        <f>EXACT(SUBSTITUTE(A8," ",""),SUBSTITUTE(U8&amp;V8&amp;W8&amp;X8&amp;Y8," ",""))</f>
        <v/>
      </c>
    </row>
    <row r="9">
      <c r="A9" s="15" t="inlineStr">
        <is>
          <t>INSERT INTO MNG_LIST_REF_TBL VALUES(16 , 6 , '補足6', '4', 1000 , '2', '' , '');</t>
        </is>
      </c>
      <c r="B9" s="16" t="n"/>
      <c r="C9" s="15" t="inlineStr">
        <is>
          <t xml:space="preserve">16 </t>
        </is>
      </c>
      <c r="D9" s="15" t="inlineStr">
        <is>
          <t xml:space="preserve"> 6 </t>
        </is>
      </c>
      <c r="E9" s="15" t="inlineStr">
        <is>
          <t xml:space="preserve"> '補足6'</t>
        </is>
      </c>
      <c r="F9" s="15" t="inlineStr">
        <is>
          <t xml:space="preserve"> '4'</t>
        </is>
      </c>
      <c r="G9" s="15" t="inlineStr">
        <is>
          <t xml:space="preserve"> 1000 </t>
        </is>
      </c>
      <c r="H9" s="15" t="inlineStr">
        <is>
          <t xml:space="preserve"> '2'</t>
        </is>
      </c>
      <c r="I9" s="15" t="inlineStr">
        <is>
          <t xml:space="preserve"> '' </t>
        </is>
      </c>
      <c r="J9" s="15" t="inlineStr">
        <is>
          <t xml:space="preserve"> ''</t>
        </is>
      </c>
      <c r="L9" s="17" t="inlineStr">
        <is>
          <t>16</t>
        </is>
      </c>
      <c r="M9" s="17" t="inlineStr">
        <is>
          <t>6</t>
        </is>
      </c>
      <c r="N9" s="17" t="inlineStr">
        <is>
          <t>補足6</t>
        </is>
      </c>
      <c r="O9" s="17" t="inlineStr">
        <is>
          <t>4</t>
        </is>
      </c>
      <c r="P9" s="17" t="inlineStr">
        <is>
          <t>1000</t>
        </is>
      </c>
      <c r="Q9" s="17" t="inlineStr">
        <is>
          <t>2</t>
        </is>
      </c>
      <c r="R9" s="17" t="inlineStr"/>
      <c r="S9" s="17" t="inlineStr"/>
      <c r="U9" s="15" t="inlineStr">
        <is>
          <t>INSERT INTO</t>
        </is>
      </c>
      <c r="V9" s="15" t="inlineStr">
        <is>
          <t>MNG_LIST_REF_TBL</t>
        </is>
      </c>
      <c r="W9" s="15" t="inlineStr">
        <is>
          <t>VALUES(</t>
        </is>
      </c>
      <c r="X9" s="15" t="inlineStr">
        <is>
          <t>16,6, '補足6','4',1000,'2','',''</t>
        </is>
      </c>
      <c r="Y9" s="15" t="inlineStr">
        <is>
          <t>);</t>
        </is>
      </c>
      <c r="AA9" s="18">
        <f>EXACT(TRIM(C9),L9&amp;"")</f>
        <v/>
      </c>
      <c r="AB9" s="18">
        <f>EXACT(TRIM(D9),M9&amp;"")</f>
        <v/>
      </c>
      <c r="AC9" s="18">
        <f>EXACT(TRIM(E9),"'"&amp;N9&amp;"'")</f>
        <v/>
      </c>
      <c r="AD9" s="18">
        <f>EXACT(TRIM(F9),"'"&amp;O9&amp;"'")</f>
        <v/>
      </c>
      <c r="AE9" s="18">
        <f>EXACT(TRIM(G9),P9&amp;"")</f>
        <v/>
      </c>
      <c r="AF9" s="18">
        <f>EXACT(TRIM(H9),"'"&amp;Q9&amp;"'")</f>
        <v/>
      </c>
      <c r="AG9" s="18">
        <f>EXACT(TRIM(I9),"'"&amp;R9&amp;"'")</f>
        <v/>
      </c>
      <c r="AH9" s="18">
        <f>EXACT(TRIM(J9),"'"&amp;S9&amp;"'")</f>
        <v/>
      </c>
      <c r="AI9" s="18">
        <f>AND(AA9:AH9)</f>
        <v/>
      </c>
      <c r="AJ9" s="19">
        <f>TRIM(IF(AA9,"",$AA$3&amp;" ")&amp;IF(AB9,"",$AB$3&amp;" ")&amp;IF(AC9,"",$AC$3&amp;" ")&amp;IF(AD9,"",$AD$3&amp;" ")&amp;IF(AE9,"",$AE$3&amp;" ")&amp;IF(AF9,"",$AF$3&amp;" ")&amp;IF(AG9,"",$AG$3&amp;" ")&amp;IF(AH9,"",$AH$3&amp;" "))</f>
        <v/>
      </c>
      <c r="AK9" s="18">
        <f>EXACT(SUBSTITUTE(A9," ",""),SUBSTITUTE(U9&amp;V9&amp;W9&amp;X9&amp;Y9," ",""))</f>
        <v/>
      </c>
    </row>
    <row r="10">
      <c r="A10" s="15" t="inlineStr">
        <is>
          <t>INSERT INTO MNG_LIST_REF_TBL VALUES(16 , 7 , '補足7', '4', 1000 , '2', '' , '');</t>
        </is>
      </c>
      <c r="B10" s="16" t="n"/>
      <c r="C10" s="15" t="inlineStr">
        <is>
          <t xml:space="preserve">16 </t>
        </is>
      </c>
      <c r="D10" s="15" t="inlineStr">
        <is>
          <t xml:space="preserve"> 7 </t>
        </is>
      </c>
      <c r="E10" s="15" t="inlineStr">
        <is>
          <t xml:space="preserve"> '補足7'</t>
        </is>
      </c>
      <c r="F10" s="15" t="inlineStr">
        <is>
          <t xml:space="preserve"> '4'</t>
        </is>
      </c>
      <c r="G10" s="15" t="inlineStr">
        <is>
          <t xml:space="preserve"> 1000 </t>
        </is>
      </c>
      <c r="H10" s="15" t="inlineStr">
        <is>
          <t xml:space="preserve"> '2'</t>
        </is>
      </c>
      <c r="I10" s="15" t="inlineStr">
        <is>
          <t xml:space="preserve"> '' </t>
        </is>
      </c>
      <c r="J10" s="15" t="inlineStr">
        <is>
          <t xml:space="preserve"> ''</t>
        </is>
      </c>
      <c r="L10" s="17" t="inlineStr">
        <is>
          <t>16</t>
        </is>
      </c>
      <c r="M10" s="17" t="inlineStr">
        <is>
          <t>7</t>
        </is>
      </c>
      <c r="N10" s="17" t="inlineStr">
        <is>
          <t>補足7</t>
        </is>
      </c>
      <c r="O10" s="17" t="inlineStr">
        <is>
          <t>4</t>
        </is>
      </c>
      <c r="P10" s="17" t="inlineStr">
        <is>
          <t>1000</t>
        </is>
      </c>
      <c r="Q10" s="17" t="inlineStr">
        <is>
          <t>2</t>
        </is>
      </c>
      <c r="R10" s="17" t="inlineStr"/>
      <c r="S10" s="17" t="inlineStr"/>
      <c r="U10" s="15" t="inlineStr">
        <is>
          <t>INSERT INTO</t>
        </is>
      </c>
      <c r="V10" s="15" t="inlineStr">
        <is>
          <t>MNG_LIST_REF_TBL</t>
        </is>
      </c>
      <c r="W10" s="15" t="inlineStr">
        <is>
          <t>VALUES(</t>
        </is>
      </c>
      <c r="X10" s="15" t="inlineStr">
        <is>
          <t>16,7, '補足7','4',1000,'2','',''</t>
        </is>
      </c>
      <c r="Y10" s="15" t="inlineStr">
        <is>
          <t>);</t>
        </is>
      </c>
      <c r="AA10" s="18">
        <f>EXACT(TRIM(C10),L10&amp;"")</f>
        <v/>
      </c>
      <c r="AB10" s="18">
        <f>EXACT(TRIM(D10),M10&amp;"")</f>
        <v/>
      </c>
      <c r="AC10" s="18">
        <f>EXACT(TRIM(E10),"'"&amp;N10&amp;"'")</f>
        <v/>
      </c>
      <c r="AD10" s="18">
        <f>EXACT(TRIM(F10),"'"&amp;O10&amp;"'")</f>
        <v/>
      </c>
      <c r="AE10" s="18">
        <f>EXACT(TRIM(G10),P10&amp;"")</f>
        <v/>
      </c>
      <c r="AF10" s="18">
        <f>EXACT(TRIM(H10),"'"&amp;Q10&amp;"'")</f>
        <v/>
      </c>
      <c r="AG10" s="18">
        <f>EXACT(TRIM(I10),"'"&amp;R10&amp;"'")</f>
        <v/>
      </c>
      <c r="AH10" s="18">
        <f>EXACT(TRIM(J10),"'"&amp;S10&amp;"'")</f>
        <v/>
      </c>
      <c r="AI10" s="18">
        <f>AND(AA10:AH10)</f>
        <v/>
      </c>
      <c r="AJ10" s="19">
        <f>TRIM(IF(AA10,"",$AA$3&amp;" ")&amp;IF(AB10,"",$AB$3&amp;" ")&amp;IF(AC10,"",$AC$3&amp;" ")&amp;IF(AD10,"",$AD$3&amp;" ")&amp;IF(AE10,"",$AE$3&amp;" ")&amp;IF(AF10,"",$AF$3&amp;" ")&amp;IF(AG10,"",$AG$3&amp;" ")&amp;IF(AH10,"",$AH$3&amp;" "))</f>
        <v/>
      </c>
      <c r="AK10" s="18">
        <f>EXACT(SUBSTITUTE(A10," ",""),SUBSTITUTE(U10&amp;V10&amp;W10&amp;X10&amp;Y10," ",""))</f>
        <v/>
      </c>
    </row>
    <row r="11">
      <c r="A11" s="15" t="inlineStr">
        <is>
          <t>INSERT INTO MNG_LIST_REF_TBL VALUES(16 , 8 , '補足8', '4', 1000 , '2', '' , '');</t>
        </is>
      </c>
      <c r="B11" s="16" t="n"/>
      <c r="C11" s="15" t="inlineStr">
        <is>
          <t xml:space="preserve">16 </t>
        </is>
      </c>
      <c r="D11" s="15" t="inlineStr">
        <is>
          <t xml:space="preserve"> 8 </t>
        </is>
      </c>
      <c r="E11" s="15" t="inlineStr">
        <is>
          <t xml:space="preserve"> '補足8'</t>
        </is>
      </c>
      <c r="F11" s="15" t="inlineStr">
        <is>
          <t xml:space="preserve"> '4'</t>
        </is>
      </c>
      <c r="G11" s="15" t="inlineStr">
        <is>
          <t xml:space="preserve"> 1000 </t>
        </is>
      </c>
      <c r="H11" s="15" t="inlineStr">
        <is>
          <t xml:space="preserve"> '2'</t>
        </is>
      </c>
      <c r="I11" s="15" t="inlineStr">
        <is>
          <t xml:space="preserve"> '' </t>
        </is>
      </c>
      <c r="J11" s="15" t="inlineStr">
        <is>
          <t xml:space="preserve"> ''</t>
        </is>
      </c>
      <c r="L11" s="17" t="inlineStr">
        <is>
          <t>16</t>
        </is>
      </c>
      <c r="M11" s="17" t="inlineStr">
        <is>
          <t>8</t>
        </is>
      </c>
      <c r="N11" s="17" t="inlineStr">
        <is>
          <t>補足8</t>
        </is>
      </c>
      <c r="O11" s="17" t="inlineStr">
        <is>
          <t>4</t>
        </is>
      </c>
      <c r="P11" s="17" t="inlineStr">
        <is>
          <t>1000</t>
        </is>
      </c>
      <c r="Q11" s="17" t="inlineStr">
        <is>
          <t>2</t>
        </is>
      </c>
      <c r="R11" s="17" t="inlineStr"/>
      <c r="S11" s="17" t="inlineStr"/>
      <c r="U11" s="15" t="inlineStr">
        <is>
          <t>INSERT INTO</t>
        </is>
      </c>
      <c r="V11" s="15" t="inlineStr">
        <is>
          <t>MNG_LIST_REF_TBL</t>
        </is>
      </c>
      <c r="W11" s="15" t="inlineStr">
        <is>
          <t>VALUES(</t>
        </is>
      </c>
      <c r="X11" s="15" t="inlineStr">
        <is>
          <t>16,8, '補足8','4',1000,'2','',''</t>
        </is>
      </c>
      <c r="Y11" s="15" t="inlineStr">
        <is>
          <t>);</t>
        </is>
      </c>
      <c r="AA11" s="18">
        <f>EXACT(TRIM(C11),L11&amp;"")</f>
        <v/>
      </c>
      <c r="AB11" s="18">
        <f>EXACT(TRIM(D11),M11&amp;"")</f>
        <v/>
      </c>
      <c r="AC11" s="18">
        <f>EXACT(TRIM(E11),"'"&amp;N11&amp;"'")</f>
        <v/>
      </c>
      <c r="AD11" s="18">
        <f>EXACT(TRIM(F11),"'"&amp;O11&amp;"'")</f>
        <v/>
      </c>
      <c r="AE11" s="18">
        <f>EXACT(TRIM(G11),P11&amp;"")</f>
        <v/>
      </c>
      <c r="AF11" s="18">
        <f>EXACT(TRIM(H11),"'"&amp;Q11&amp;"'")</f>
        <v/>
      </c>
      <c r="AG11" s="18">
        <f>EXACT(TRIM(I11),"'"&amp;R11&amp;"'")</f>
        <v/>
      </c>
      <c r="AH11" s="18">
        <f>EXACT(TRIM(J11),"'"&amp;S11&amp;"'")</f>
        <v/>
      </c>
      <c r="AI11" s="18">
        <f>AND(AA11:AH11)</f>
        <v/>
      </c>
      <c r="AJ11" s="19">
        <f>TRIM(IF(AA11,"",$AA$3&amp;" ")&amp;IF(AB11,"",$AB$3&amp;" ")&amp;IF(AC11,"",$AC$3&amp;" ")&amp;IF(AD11,"",$AD$3&amp;" ")&amp;IF(AE11,"",$AE$3&amp;" ")&amp;IF(AF11,"",$AF$3&amp;" ")&amp;IF(AG11,"",$AG$3&amp;" ")&amp;IF(AH11,"",$AH$3&amp;" "))</f>
        <v/>
      </c>
      <c r="AK11" s="18">
        <f>EXACT(SUBSTITUTE(A11," ",""),SUBSTITUTE(U11&amp;V11&amp;W11&amp;X11&amp;Y11," ",""))</f>
        <v/>
      </c>
    </row>
    <row r="12">
      <c r="A12" s="15" t="inlineStr">
        <is>
          <t>INSERT INTO MNG_LIST_REF_TBL VALUES(16 , 9 , '補足9', '4', 1000 , '2', '' , '');</t>
        </is>
      </c>
      <c r="B12" s="16" t="n"/>
      <c r="C12" s="15" t="inlineStr">
        <is>
          <t xml:space="preserve">16 </t>
        </is>
      </c>
      <c r="D12" s="15" t="inlineStr">
        <is>
          <t xml:space="preserve"> 9 </t>
        </is>
      </c>
      <c r="E12" s="15" t="inlineStr">
        <is>
          <t xml:space="preserve"> '補足9'</t>
        </is>
      </c>
      <c r="F12" s="15" t="inlineStr">
        <is>
          <t xml:space="preserve"> '4'</t>
        </is>
      </c>
      <c r="G12" s="15" t="inlineStr">
        <is>
          <t xml:space="preserve"> 1000 </t>
        </is>
      </c>
      <c r="H12" s="15" t="inlineStr">
        <is>
          <t xml:space="preserve"> '2'</t>
        </is>
      </c>
      <c r="I12" s="15" t="inlineStr">
        <is>
          <t xml:space="preserve"> '' </t>
        </is>
      </c>
      <c r="J12" s="15" t="inlineStr">
        <is>
          <t xml:space="preserve"> ''</t>
        </is>
      </c>
      <c r="L12" s="17" t="inlineStr">
        <is>
          <t>16</t>
        </is>
      </c>
      <c r="M12" s="17" t="inlineStr">
        <is>
          <t>9</t>
        </is>
      </c>
      <c r="N12" s="17" t="inlineStr">
        <is>
          <t>補足9</t>
        </is>
      </c>
      <c r="O12" s="17" t="inlineStr">
        <is>
          <t>4</t>
        </is>
      </c>
      <c r="P12" s="17" t="inlineStr">
        <is>
          <t>1000</t>
        </is>
      </c>
      <c r="Q12" s="17" t="inlineStr">
        <is>
          <t>2</t>
        </is>
      </c>
      <c r="R12" s="17" t="inlineStr"/>
      <c r="S12" s="17" t="inlineStr"/>
      <c r="U12" s="15" t="inlineStr">
        <is>
          <t>INSERT INTO</t>
        </is>
      </c>
      <c r="V12" s="15" t="inlineStr">
        <is>
          <t>MNG_LIST_REF_TBL</t>
        </is>
      </c>
      <c r="W12" s="15" t="inlineStr">
        <is>
          <t>VALUES(</t>
        </is>
      </c>
      <c r="X12" s="15" t="inlineStr">
        <is>
          <t>16,9, '補足9','4',1000,'2','',''</t>
        </is>
      </c>
      <c r="Y12" s="15" t="inlineStr">
        <is>
          <t>);</t>
        </is>
      </c>
      <c r="AA12" s="18">
        <f>EXACT(TRIM(C12),L12&amp;"")</f>
        <v/>
      </c>
      <c r="AB12" s="18">
        <f>EXACT(TRIM(D12),M12&amp;"")</f>
        <v/>
      </c>
      <c r="AC12" s="18">
        <f>EXACT(TRIM(E12),"'"&amp;N12&amp;"'")</f>
        <v/>
      </c>
      <c r="AD12" s="18">
        <f>EXACT(TRIM(F12),"'"&amp;O12&amp;"'")</f>
        <v/>
      </c>
      <c r="AE12" s="18">
        <f>EXACT(TRIM(G12),P12&amp;"")</f>
        <v/>
      </c>
      <c r="AF12" s="18">
        <f>EXACT(TRIM(H12),"'"&amp;Q12&amp;"'")</f>
        <v/>
      </c>
      <c r="AG12" s="18">
        <f>EXACT(TRIM(I12),"'"&amp;R12&amp;"'")</f>
        <v/>
      </c>
      <c r="AH12" s="18">
        <f>EXACT(TRIM(J12),"'"&amp;S12&amp;"'")</f>
        <v/>
      </c>
      <c r="AI12" s="18">
        <f>AND(AA12:AH12)</f>
        <v/>
      </c>
      <c r="AJ12" s="19">
        <f>TRIM(IF(AA12,"",$AA$3&amp;" ")&amp;IF(AB12,"",$AB$3&amp;" ")&amp;IF(AC12,"",$AC$3&amp;" ")&amp;IF(AD12,"",$AD$3&amp;" ")&amp;IF(AE12,"",$AE$3&amp;" ")&amp;IF(AF12,"",$AF$3&amp;" ")&amp;IF(AG12,"",$AG$3&amp;" ")&amp;IF(AH12,"",$AH$3&amp;" "))</f>
        <v/>
      </c>
      <c r="AK12" s="18">
        <f>EXACT(SUBSTITUTE(A12," ",""),SUBSTITUTE(U12&amp;V12&amp;W12&amp;X12&amp;Y12," ",""))</f>
        <v/>
      </c>
    </row>
    <row r="13">
      <c r="A13" s="15" t="inlineStr">
        <is>
          <t>INSERT INTO MNG_LIST_REF_TBL VALUES(16 , 10 , '補足10', '4', 1000 , '2', '' , '');</t>
        </is>
      </c>
      <c r="B13" s="16" t="n"/>
      <c r="C13" s="15" t="inlineStr">
        <is>
          <t xml:space="preserve">16 </t>
        </is>
      </c>
      <c r="D13" s="15" t="inlineStr">
        <is>
          <t xml:space="preserve"> 10 </t>
        </is>
      </c>
      <c r="E13" s="15" t="inlineStr">
        <is>
          <t xml:space="preserve"> '補足10'</t>
        </is>
      </c>
      <c r="F13" s="15" t="inlineStr">
        <is>
          <t xml:space="preserve"> '4'</t>
        </is>
      </c>
      <c r="G13" s="15" t="inlineStr">
        <is>
          <t xml:space="preserve"> 1000 </t>
        </is>
      </c>
      <c r="H13" s="15" t="inlineStr">
        <is>
          <t xml:space="preserve"> '2'</t>
        </is>
      </c>
      <c r="I13" s="15" t="inlineStr">
        <is>
          <t xml:space="preserve"> '' </t>
        </is>
      </c>
      <c r="J13" s="15" t="inlineStr">
        <is>
          <t xml:space="preserve"> ''</t>
        </is>
      </c>
      <c r="L13" s="17" t="inlineStr">
        <is>
          <t>16</t>
        </is>
      </c>
      <c r="M13" s="17" t="inlineStr">
        <is>
          <t>10</t>
        </is>
      </c>
      <c r="N13" s="17" t="inlineStr">
        <is>
          <t>補足10</t>
        </is>
      </c>
      <c r="O13" s="17" t="inlineStr">
        <is>
          <t>4</t>
        </is>
      </c>
      <c r="P13" s="17" t="inlineStr">
        <is>
          <t>1000</t>
        </is>
      </c>
      <c r="Q13" s="17" t="inlineStr">
        <is>
          <t>2</t>
        </is>
      </c>
      <c r="R13" s="17" t="inlineStr"/>
      <c r="S13" s="17" t="inlineStr"/>
      <c r="U13" s="15" t="inlineStr">
        <is>
          <t>INSERT INTO</t>
        </is>
      </c>
      <c r="V13" s="15" t="inlineStr">
        <is>
          <t>MNG_LIST_REF_TBL</t>
        </is>
      </c>
      <c r="W13" s="15" t="inlineStr">
        <is>
          <t>VALUES(</t>
        </is>
      </c>
      <c r="X13" s="15" t="inlineStr">
        <is>
          <t>16,10, '補足10','4',1000,'2','',''</t>
        </is>
      </c>
      <c r="Y13" s="15" t="inlineStr">
        <is>
          <t>);</t>
        </is>
      </c>
      <c r="AA13" s="18">
        <f>EXACT(TRIM(C13),L13&amp;"")</f>
        <v/>
      </c>
      <c r="AB13" s="18">
        <f>EXACT(TRIM(D13),M13&amp;"")</f>
        <v/>
      </c>
      <c r="AC13" s="18">
        <f>EXACT(TRIM(E13),"'"&amp;N13&amp;"'")</f>
        <v/>
      </c>
      <c r="AD13" s="18">
        <f>EXACT(TRIM(F13),"'"&amp;O13&amp;"'")</f>
        <v/>
      </c>
      <c r="AE13" s="18">
        <f>EXACT(TRIM(G13),P13&amp;"")</f>
        <v/>
      </c>
      <c r="AF13" s="18">
        <f>EXACT(TRIM(H13),"'"&amp;Q13&amp;"'")</f>
        <v/>
      </c>
      <c r="AG13" s="18">
        <f>EXACT(TRIM(I13),"'"&amp;R13&amp;"'")</f>
        <v/>
      </c>
      <c r="AH13" s="18">
        <f>EXACT(TRIM(J13),"'"&amp;S13&amp;"'")</f>
        <v/>
      </c>
      <c r="AI13" s="18">
        <f>AND(AA13:AH13)</f>
        <v/>
      </c>
      <c r="AJ13" s="19">
        <f>TRIM(IF(AA13,"",$AA$3&amp;" ")&amp;IF(AB13,"",$AB$3&amp;" ")&amp;IF(AC13,"",$AC$3&amp;" ")&amp;IF(AD13,"",$AD$3&amp;" ")&amp;IF(AE13,"",$AE$3&amp;" ")&amp;IF(AF13,"",$AF$3&amp;" ")&amp;IF(AG13,"",$AG$3&amp;" ")&amp;IF(AH13,"",$AH$3&amp;" "))</f>
        <v/>
      </c>
      <c r="AK13" s="18">
        <f>EXACT(SUBSTITUTE(A13," ",""),SUBSTITUTE(U13&amp;V13&amp;W13&amp;X13&amp;Y13," ",""))</f>
        <v/>
      </c>
    </row>
    <row r="14">
      <c r="A14" s="15" t="inlineStr">
        <is>
          <t>INSERT INTO MNG_LIST_REF_TBL VALUES(16 , 11 , '補足11', '4', 1000 , '2', '' , '');</t>
        </is>
      </c>
      <c r="B14" s="16" t="n"/>
      <c r="C14" s="15" t="inlineStr">
        <is>
          <t xml:space="preserve">16 </t>
        </is>
      </c>
      <c r="D14" s="15" t="inlineStr">
        <is>
          <t xml:space="preserve"> 11 </t>
        </is>
      </c>
      <c r="E14" s="15" t="inlineStr">
        <is>
          <t xml:space="preserve"> '補足11'</t>
        </is>
      </c>
      <c r="F14" s="15" t="inlineStr">
        <is>
          <t xml:space="preserve"> '4'</t>
        </is>
      </c>
      <c r="G14" s="15" t="inlineStr">
        <is>
          <t xml:space="preserve"> 1000 </t>
        </is>
      </c>
      <c r="H14" s="15" t="inlineStr">
        <is>
          <t xml:space="preserve"> '2'</t>
        </is>
      </c>
      <c r="I14" s="15" t="inlineStr">
        <is>
          <t xml:space="preserve"> '' </t>
        </is>
      </c>
      <c r="J14" s="15" t="inlineStr">
        <is>
          <t xml:space="preserve"> ''</t>
        </is>
      </c>
      <c r="L14" s="17" t="inlineStr">
        <is>
          <t>16</t>
        </is>
      </c>
      <c r="M14" s="17" t="inlineStr">
        <is>
          <t>11</t>
        </is>
      </c>
      <c r="N14" s="17" t="inlineStr">
        <is>
          <t>補足11</t>
        </is>
      </c>
      <c r="O14" s="17" t="inlineStr">
        <is>
          <t>4</t>
        </is>
      </c>
      <c r="P14" s="17" t="inlineStr">
        <is>
          <t>1000</t>
        </is>
      </c>
      <c r="Q14" s="17" t="inlineStr">
        <is>
          <t>2</t>
        </is>
      </c>
      <c r="R14" s="17" t="inlineStr"/>
      <c r="S14" s="17" t="inlineStr"/>
      <c r="U14" s="15" t="inlineStr">
        <is>
          <t>INSERT INTO</t>
        </is>
      </c>
      <c r="V14" s="15" t="inlineStr">
        <is>
          <t>MNG_LIST_REF_TBL</t>
        </is>
      </c>
      <c r="W14" s="15" t="inlineStr">
        <is>
          <t>VALUES(</t>
        </is>
      </c>
      <c r="X14" s="15" t="inlineStr">
        <is>
          <t>16,11, '補足11','4',1000,'2','',''</t>
        </is>
      </c>
      <c r="Y14" s="15" t="inlineStr">
        <is>
          <t>);</t>
        </is>
      </c>
      <c r="AA14" s="18">
        <f>EXACT(TRIM(C14),L14&amp;"")</f>
        <v/>
      </c>
      <c r="AB14" s="18">
        <f>EXACT(TRIM(D14),M14&amp;"")</f>
        <v/>
      </c>
      <c r="AC14" s="18">
        <f>EXACT(TRIM(E14),"'"&amp;N14&amp;"'")</f>
        <v/>
      </c>
      <c r="AD14" s="18">
        <f>EXACT(TRIM(F14),"'"&amp;O14&amp;"'")</f>
        <v/>
      </c>
      <c r="AE14" s="18">
        <f>EXACT(TRIM(G14),P14&amp;"")</f>
        <v/>
      </c>
      <c r="AF14" s="18">
        <f>EXACT(TRIM(H14),"'"&amp;Q14&amp;"'")</f>
        <v/>
      </c>
      <c r="AG14" s="18">
        <f>EXACT(TRIM(I14),"'"&amp;R14&amp;"'")</f>
        <v/>
      </c>
      <c r="AH14" s="18">
        <f>EXACT(TRIM(J14),"'"&amp;S14&amp;"'")</f>
        <v/>
      </c>
      <c r="AI14" s="18">
        <f>AND(AA14:AH14)</f>
        <v/>
      </c>
      <c r="AJ14" s="19">
        <f>TRIM(IF(AA14,"",$AA$3&amp;" ")&amp;IF(AB14,"",$AB$3&amp;" ")&amp;IF(AC14,"",$AC$3&amp;" ")&amp;IF(AD14,"",$AD$3&amp;" ")&amp;IF(AE14,"",$AE$3&amp;" ")&amp;IF(AF14,"",$AF$3&amp;" ")&amp;IF(AG14,"",$AG$3&amp;" ")&amp;IF(AH14,"",$AH$3&amp;" "))</f>
        <v/>
      </c>
      <c r="AK14" s="18">
        <f>EXACT(SUBSTITUTE(A14," ",""),SUBSTITUTE(U14&amp;V14&amp;W14&amp;X14&amp;Y14," ",""))</f>
        <v/>
      </c>
    </row>
    <row r="15">
      <c r="A15" s="15" t="inlineStr">
        <is>
          <t>INSERT INTO MNG_LIST_REF_TBL VALUES(16 , 12 , '補足12', '4', 1000 , '2', '' , '');</t>
        </is>
      </c>
      <c r="B15" s="16" t="n"/>
      <c r="C15" s="15" t="inlineStr">
        <is>
          <t xml:space="preserve">16 </t>
        </is>
      </c>
      <c r="D15" s="15" t="inlineStr">
        <is>
          <t xml:space="preserve"> 12 </t>
        </is>
      </c>
      <c r="E15" s="15" t="inlineStr">
        <is>
          <t xml:space="preserve"> '補足12'</t>
        </is>
      </c>
      <c r="F15" s="15" t="inlineStr">
        <is>
          <t xml:space="preserve"> '4'</t>
        </is>
      </c>
      <c r="G15" s="15" t="inlineStr">
        <is>
          <t xml:space="preserve"> 1000 </t>
        </is>
      </c>
      <c r="H15" s="15" t="inlineStr">
        <is>
          <t xml:space="preserve"> '2'</t>
        </is>
      </c>
      <c r="I15" s="15" t="inlineStr">
        <is>
          <t xml:space="preserve"> '' </t>
        </is>
      </c>
      <c r="J15" s="15" t="inlineStr">
        <is>
          <t xml:space="preserve"> ''</t>
        </is>
      </c>
      <c r="L15" s="17" t="inlineStr">
        <is>
          <t>16</t>
        </is>
      </c>
      <c r="M15" s="17" t="inlineStr">
        <is>
          <t>12</t>
        </is>
      </c>
      <c r="N15" s="17" t="inlineStr">
        <is>
          <t>補足12</t>
        </is>
      </c>
      <c r="O15" s="17" t="inlineStr">
        <is>
          <t>4</t>
        </is>
      </c>
      <c r="P15" s="17" t="inlineStr">
        <is>
          <t>1000</t>
        </is>
      </c>
      <c r="Q15" s="17" t="inlineStr">
        <is>
          <t>2</t>
        </is>
      </c>
      <c r="R15" s="17" t="inlineStr"/>
      <c r="S15" s="17" t="inlineStr"/>
      <c r="U15" s="15" t="inlineStr">
        <is>
          <t>INSERT INTO</t>
        </is>
      </c>
      <c r="V15" s="15" t="inlineStr">
        <is>
          <t>MNG_LIST_REF_TBL</t>
        </is>
      </c>
      <c r="W15" s="15" t="inlineStr">
        <is>
          <t>VALUES(</t>
        </is>
      </c>
      <c r="X15" s="15" t="inlineStr">
        <is>
          <t>16,12, '補足12','4',1000,'2','',''</t>
        </is>
      </c>
      <c r="Y15" s="15" t="inlineStr">
        <is>
          <t>);</t>
        </is>
      </c>
      <c r="AA15" s="18">
        <f>EXACT(TRIM(C15),L15&amp;"")</f>
        <v/>
      </c>
      <c r="AB15" s="18">
        <f>EXACT(TRIM(D15),M15&amp;"")</f>
        <v/>
      </c>
      <c r="AC15" s="18">
        <f>EXACT(TRIM(E15),"'"&amp;N15&amp;"'")</f>
        <v/>
      </c>
      <c r="AD15" s="18">
        <f>EXACT(TRIM(F15),"'"&amp;O15&amp;"'")</f>
        <v/>
      </c>
      <c r="AE15" s="18">
        <f>EXACT(TRIM(G15),P15&amp;"")</f>
        <v/>
      </c>
      <c r="AF15" s="18">
        <f>EXACT(TRIM(H15),"'"&amp;Q15&amp;"'")</f>
        <v/>
      </c>
      <c r="AG15" s="18">
        <f>EXACT(TRIM(I15),"'"&amp;R15&amp;"'")</f>
        <v/>
      </c>
      <c r="AH15" s="18">
        <f>EXACT(TRIM(J15),"'"&amp;S15&amp;"'")</f>
        <v/>
      </c>
      <c r="AI15" s="18">
        <f>AND(AA15:AH15)</f>
        <v/>
      </c>
      <c r="AJ15" s="19">
        <f>TRIM(IF(AA15,"",$AA$3&amp;" ")&amp;IF(AB15,"",$AB$3&amp;" ")&amp;IF(AC15,"",$AC$3&amp;" ")&amp;IF(AD15,"",$AD$3&amp;" ")&amp;IF(AE15,"",$AE$3&amp;" ")&amp;IF(AF15,"",$AF$3&amp;" ")&amp;IF(AG15,"",$AG$3&amp;" ")&amp;IF(AH15,"",$AH$3&amp;" "))</f>
        <v/>
      </c>
      <c r="AK15" s="18">
        <f>EXACT(SUBSTITUTE(A15," ",""),SUBSTITUTE(U15&amp;V15&amp;W15&amp;X15&amp;Y15," ",""))</f>
        <v/>
      </c>
    </row>
    <row r="16">
      <c r="A16" s="15" t="inlineStr">
        <is>
          <t>INSERT INTO MNG_LIST_REF_TBL VALUES(16 , 13 , '補足13', '4', 1000 , '2', '' , '');</t>
        </is>
      </c>
      <c r="B16" s="16" t="n"/>
      <c r="C16" s="15" t="inlineStr">
        <is>
          <t xml:space="preserve">16 </t>
        </is>
      </c>
      <c r="D16" s="15" t="inlineStr">
        <is>
          <t xml:space="preserve"> 13 </t>
        </is>
      </c>
      <c r="E16" s="15" t="inlineStr">
        <is>
          <t xml:space="preserve"> '補足13'</t>
        </is>
      </c>
      <c r="F16" s="15" t="inlineStr">
        <is>
          <t xml:space="preserve"> '4'</t>
        </is>
      </c>
      <c r="G16" s="15" t="inlineStr">
        <is>
          <t xml:space="preserve"> 1000 </t>
        </is>
      </c>
      <c r="H16" s="15" t="inlineStr">
        <is>
          <t xml:space="preserve"> '2'</t>
        </is>
      </c>
      <c r="I16" s="15" t="inlineStr">
        <is>
          <t xml:space="preserve"> '' </t>
        </is>
      </c>
      <c r="J16" s="15" t="inlineStr">
        <is>
          <t xml:space="preserve"> ''</t>
        </is>
      </c>
      <c r="L16" s="17" t="inlineStr">
        <is>
          <t>16</t>
        </is>
      </c>
      <c r="M16" s="17" t="inlineStr">
        <is>
          <t>13</t>
        </is>
      </c>
      <c r="N16" s="17" t="inlineStr">
        <is>
          <t>補足13</t>
        </is>
      </c>
      <c r="O16" s="17" t="inlineStr">
        <is>
          <t>4</t>
        </is>
      </c>
      <c r="P16" s="17" t="inlineStr">
        <is>
          <t>1000</t>
        </is>
      </c>
      <c r="Q16" s="17" t="inlineStr">
        <is>
          <t>2</t>
        </is>
      </c>
      <c r="R16" s="17" t="inlineStr"/>
      <c r="S16" s="17" t="inlineStr"/>
      <c r="U16" s="15" t="inlineStr">
        <is>
          <t>INSERT INTO</t>
        </is>
      </c>
      <c r="V16" s="15" t="inlineStr">
        <is>
          <t>MNG_LIST_REF_TBL</t>
        </is>
      </c>
      <c r="W16" s="15" t="inlineStr">
        <is>
          <t>VALUES(</t>
        </is>
      </c>
      <c r="X16" s="15" t="inlineStr">
        <is>
          <t>16,13, '補足13','4',1000,'2','',''</t>
        </is>
      </c>
      <c r="Y16" s="15" t="inlineStr">
        <is>
          <t>);</t>
        </is>
      </c>
      <c r="AA16" s="18">
        <f>EXACT(TRIM(C16),L16&amp;"")</f>
        <v/>
      </c>
      <c r="AB16" s="18">
        <f>EXACT(TRIM(D16),M16&amp;"")</f>
        <v/>
      </c>
      <c r="AC16" s="18">
        <f>EXACT(TRIM(E16),"'"&amp;N16&amp;"'")</f>
        <v/>
      </c>
      <c r="AD16" s="18">
        <f>EXACT(TRIM(F16),"'"&amp;O16&amp;"'")</f>
        <v/>
      </c>
      <c r="AE16" s="18">
        <f>EXACT(TRIM(G16),P16&amp;"")</f>
        <v/>
      </c>
      <c r="AF16" s="18">
        <f>EXACT(TRIM(H16),"'"&amp;Q16&amp;"'")</f>
        <v/>
      </c>
      <c r="AG16" s="18">
        <f>EXACT(TRIM(I16),"'"&amp;R16&amp;"'")</f>
        <v/>
      </c>
      <c r="AH16" s="18">
        <f>EXACT(TRIM(J16),"'"&amp;S16&amp;"'")</f>
        <v/>
      </c>
      <c r="AI16" s="18">
        <f>AND(AA16:AH16)</f>
        <v/>
      </c>
      <c r="AJ16" s="19">
        <f>TRIM(IF(AA16,"",$AA$3&amp;" ")&amp;IF(AB16,"",$AB$3&amp;" ")&amp;IF(AC16,"",$AC$3&amp;" ")&amp;IF(AD16,"",$AD$3&amp;" ")&amp;IF(AE16,"",$AE$3&amp;" ")&amp;IF(AF16,"",$AF$3&amp;" ")&amp;IF(AG16,"",$AG$3&amp;" ")&amp;IF(AH16,"",$AH$3&amp;" "))</f>
        <v/>
      </c>
      <c r="AK16" s="18">
        <f>EXACT(SUBSTITUTE(A16," ",""),SUBSTITUTE(U16&amp;V16&amp;W16&amp;X16&amp;Y16," ",""))</f>
        <v/>
      </c>
    </row>
    <row r="17">
      <c r="A17" s="15" t="inlineStr">
        <is>
          <t>INSERT INTO MNG_LIST_REF_TBL VALUES(16 , 14 , '補足14', '4', 1000 , '2', '' , '');</t>
        </is>
      </c>
      <c r="B17" s="16" t="n"/>
      <c r="C17" s="15" t="inlineStr">
        <is>
          <t xml:space="preserve">16 </t>
        </is>
      </c>
      <c r="D17" s="15" t="inlineStr">
        <is>
          <t xml:space="preserve"> 14 </t>
        </is>
      </c>
      <c r="E17" s="15" t="inlineStr">
        <is>
          <t xml:space="preserve"> '補足14'</t>
        </is>
      </c>
      <c r="F17" s="15" t="inlineStr">
        <is>
          <t xml:space="preserve"> '4'</t>
        </is>
      </c>
      <c r="G17" s="15" t="inlineStr">
        <is>
          <t xml:space="preserve"> 1000 </t>
        </is>
      </c>
      <c r="H17" s="15" t="inlineStr">
        <is>
          <t xml:space="preserve"> '2'</t>
        </is>
      </c>
      <c r="I17" s="15" t="inlineStr">
        <is>
          <t xml:space="preserve"> '' </t>
        </is>
      </c>
      <c r="J17" s="15" t="inlineStr">
        <is>
          <t xml:space="preserve"> ''</t>
        </is>
      </c>
      <c r="L17" s="17" t="inlineStr">
        <is>
          <t>16</t>
        </is>
      </c>
      <c r="M17" s="17" t="inlineStr">
        <is>
          <t>14</t>
        </is>
      </c>
      <c r="N17" s="17" t="inlineStr">
        <is>
          <t>補足14</t>
        </is>
      </c>
      <c r="O17" s="17" t="inlineStr">
        <is>
          <t>4</t>
        </is>
      </c>
      <c r="P17" s="17" t="inlineStr">
        <is>
          <t>1000</t>
        </is>
      </c>
      <c r="Q17" s="17" t="inlineStr">
        <is>
          <t>2</t>
        </is>
      </c>
      <c r="R17" s="17" t="inlineStr"/>
      <c r="S17" s="17" t="inlineStr"/>
      <c r="U17" s="15" t="inlineStr">
        <is>
          <t>INSERT INTO</t>
        </is>
      </c>
      <c r="V17" s="15" t="inlineStr">
        <is>
          <t>MNG_LIST_REF_TBL</t>
        </is>
      </c>
      <c r="W17" s="15" t="inlineStr">
        <is>
          <t>VALUES(</t>
        </is>
      </c>
      <c r="X17" s="15" t="inlineStr">
        <is>
          <t>16,14, '補足14','4',1000,'2','',''</t>
        </is>
      </c>
      <c r="Y17" s="15" t="inlineStr">
        <is>
          <t>);</t>
        </is>
      </c>
      <c r="AA17" s="18">
        <f>EXACT(TRIM(C17),L17&amp;"")</f>
        <v/>
      </c>
      <c r="AB17" s="18">
        <f>EXACT(TRIM(D17),M17&amp;"")</f>
        <v/>
      </c>
      <c r="AC17" s="18">
        <f>EXACT(TRIM(E17),"'"&amp;N17&amp;"'")</f>
        <v/>
      </c>
      <c r="AD17" s="18">
        <f>EXACT(TRIM(F17),"'"&amp;O17&amp;"'")</f>
        <v/>
      </c>
      <c r="AE17" s="18">
        <f>EXACT(TRIM(G17),P17&amp;"")</f>
        <v/>
      </c>
      <c r="AF17" s="18">
        <f>EXACT(TRIM(H17),"'"&amp;Q17&amp;"'")</f>
        <v/>
      </c>
      <c r="AG17" s="18">
        <f>EXACT(TRIM(I17),"'"&amp;R17&amp;"'")</f>
        <v/>
      </c>
      <c r="AH17" s="18">
        <f>EXACT(TRIM(J17),"'"&amp;S17&amp;"'")</f>
        <v/>
      </c>
      <c r="AI17" s="18">
        <f>AND(AA17:AH17)</f>
        <v/>
      </c>
      <c r="AJ17" s="19">
        <f>TRIM(IF(AA17,"",$AA$3&amp;" ")&amp;IF(AB17,"",$AB$3&amp;" ")&amp;IF(AC17,"",$AC$3&amp;" ")&amp;IF(AD17,"",$AD$3&amp;" ")&amp;IF(AE17,"",$AE$3&amp;" ")&amp;IF(AF17,"",$AF$3&amp;" ")&amp;IF(AG17,"",$AG$3&amp;" ")&amp;IF(AH17,"",$AH$3&amp;" "))</f>
        <v/>
      </c>
      <c r="AK17" s="18">
        <f>EXACT(SUBSTITUTE(A17," ",""),SUBSTITUTE(U17&amp;V17&amp;W17&amp;X17&amp;Y17," ",""))</f>
        <v/>
      </c>
    </row>
    <row r="18">
      <c r="A18" s="15" t="inlineStr">
        <is>
          <t>INSERT INTO MNG_LIST_REF_TBL VALUES(16 , 15 , '補足15', '4', 1000 , '2', '' , '');</t>
        </is>
      </c>
      <c r="B18" s="16" t="n"/>
      <c r="C18" s="15" t="inlineStr">
        <is>
          <t xml:space="preserve">16 </t>
        </is>
      </c>
      <c r="D18" s="15" t="inlineStr">
        <is>
          <t xml:space="preserve"> 15 </t>
        </is>
      </c>
      <c r="E18" s="15" t="inlineStr">
        <is>
          <t xml:space="preserve"> '補足15'</t>
        </is>
      </c>
      <c r="F18" s="15" t="inlineStr">
        <is>
          <t xml:space="preserve"> '4'</t>
        </is>
      </c>
      <c r="G18" s="15" t="inlineStr">
        <is>
          <t xml:space="preserve"> 1000 </t>
        </is>
      </c>
      <c r="H18" s="15" t="inlineStr">
        <is>
          <t xml:space="preserve"> '2'</t>
        </is>
      </c>
      <c r="I18" s="15" t="inlineStr">
        <is>
          <t xml:space="preserve"> '' </t>
        </is>
      </c>
      <c r="J18" s="15" t="inlineStr">
        <is>
          <t xml:space="preserve"> ''</t>
        </is>
      </c>
      <c r="L18" s="17" t="inlineStr">
        <is>
          <t>16</t>
        </is>
      </c>
      <c r="M18" s="17" t="inlineStr">
        <is>
          <t>15</t>
        </is>
      </c>
      <c r="N18" s="17" t="inlineStr">
        <is>
          <t>補足15</t>
        </is>
      </c>
      <c r="O18" s="17" t="inlineStr">
        <is>
          <t>4</t>
        </is>
      </c>
      <c r="P18" s="17" t="inlineStr">
        <is>
          <t>1000</t>
        </is>
      </c>
      <c r="Q18" s="17" t="inlineStr">
        <is>
          <t>2</t>
        </is>
      </c>
      <c r="R18" s="17" t="inlineStr"/>
      <c r="S18" s="17" t="inlineStr"/>
      <c r="U18" s="15" t="inlineStr">
        <is>
          <t>INSERT INTO</t>
        </is>
      </c>
      <c r="V18" s="15" t="inlineStr">
        <is>
          <t>MNG_LIST_REF_TBL</t>
        </is>
      </c>
      <c r="W18" s="15" t="inlineStr">
        <is>
          <t>VALUES(</t>
        </is>
      </c>
      <c r="X18" s="15" t="inlineStr">
        <is>
          <t>16,15, '補足15','4',1000,'2','',''</t>
        </is>
      </c>
      <c r="Y18" s="15" t="inlineStr">
        <is>
          <t>);</t>
        </is>
      </c>
      <c r="AA18" s="18">
        <f>EXACT(TRIM(C18),L18&amp;"")</f>
        <v/>
      </c>
      <c r="AB18" s="18">
        <f>EXACT(TRIM(D18),M18&amp;"")</f>
        <v/>
      </c>
      <c r="AC18" s="18">
        <f>EXACT(TRIM(E18),"'"&amp;N18&amp;"'")</f>
        <v/>
      </c>
      <c r="AD18" s="18">
        <f>EXACT(TRIM(F18),"'"&amp;O18&amp;"'")</f>
        <v/>
      </c>
      <c r="AE18" s="18">
        <f>EXACT(TRIM(G18),P18&amp;"")</f>
        <v/>
      </c>
      <c r="AF18" s="18">
        <f>EXACT(TRIM(H18),"'"&amp;Q18&amp;"'")</f>
        <v/>
      </c>
      <c r="AG18" s="18">
        <f>EXACT(TRIM(I18),"'"&amp;R18&amp;"'")</f>
        <v/>
      </c>
      <c r="AH18" s="18">
        <f>EXACT(TRIM(J18),"'"&amp;S18&amp;"'")</f>
        <v/>
      </c>
      <c r="AI18" s="18">
        <f>AND(AA18:AH18)</f>
        <v/>
      </c>
      <c r="AJ18" s="19">
        <f>TRIM(IF(AA18,"",$AA$3&amp;" ")&amp;IF(AB18,"",$AB$3&amp;" ")&amp;IF(AC18,"",$AC$3&amp;" ")&amp;IF(AD18,"",$AD$3&amp;" ")&amp;IF(AE18,"",$AE$3&amp;" ")&amp;IF(AF18,"",$AF$3&amp;" ")&amp;IF(AG18,"",$AG$3&amp;" ")&amp;IF(AH18,"",$AH$3&amp;" "))</f>
        <v/>
      </c>
      <c r="AK18" s="18">
        <f>EXACT(SUBSTITUTE(A18," ",""),SUBSTITUTE(U18&amp;V18&amp;W18&amp;X18&amp;Y18," ",""))</f>
        <v/>
      </c>
    </row>
    <row r="19">
      <c r="A19" s="15" t="inlineStr">
        <is>
          <t>INSERT INTO MNG_LIST_REF_TBL VALUES(16 , 16 , '補足16', '4', 1000 , '2', '' , '');</t>
        </is>
      </c>
      <c r="B19" s="16" t="n"/>
      <c r="C19" s="15" t="inlineStr">
        <is>
          <t xml:space="preserve">16 </t>
        </is>
      </c>
      <c r="D19" s="15" t="inlineStr">
        <is>
          <t xml:space="preserve"> 16 </t>
        </is>
      </c>
      <c r="E19" s="15" t="inlineStr">
        <is>
          <t xml:space="preserve"> '補足16'</t>
        </is>
      </c>
      <c r="F19" s="15" t="inlineStr">
        <is>
          <t xml:space="preserve"> '4'</t>
        </is>
      </c>
      <c r="G19" s="15" t="inlineStr">
        <is>
          <t xml:space="preserve"> 1000 </t>
        </is>
      </c>
      <c r="H19" s="15" t="inlineStr">
        <is>
          <t xml:space="preserve"> '2'</t>
        </is>
      </c>
      <c r="I19" s="15" t="inlineStr">
        <is>
          <t xml:space="preserve"> '' </t>
        </is>
      </c>
      <c r="J19" s="15" t="inlineStr">
        <is>
          <t xml:space="preserve"> ''</t>
        </is>
      </c>
      <c r="L19" s="17" t="inlineStr">
        <is>
          <t>16</t>
        </is>
      </c>
      <c r="M19" s="17" t="inlineStr">
        <is>
          <t>16</t>
        </is>
      </c>
      <c r="N19" s="17" t="inlineStr">
        <is>
          <t>補足16</t>
        </is>
      </c>
      <c r="O19" s="17" t="inlineStr">
        <is>
          <t>4</t>
        </is>
      </c>
      <c r="P19" s="17" t="inlineStr">
        <is>
          <t>1000</t>
        </is>
      </c>
      <c r="Q19" s="17" t="inlineStr">
        <is>
          <t>2</t>
        </is>
      </c>
      <c r="R19" s="17" t="inlineStr"/>
      <c r="S19" s="17" t="inlineStr"/>
      <c r="U19" s="15" t="inlineStr">
        <is>
          <t>INSERT INTO</t>
        </is>
      </c>
      <c r="V19" s="15" t="inlineStr">
        <is>
          <t>MNG_LIST_REF_TBL</t>
        </is>
      </c>
      <c r="W19" s="15" t="inlineStr">
        <is>
          <t>VALUES(</t>
        </is>
      </c>
      <c r="X19" s="15" t="inlineStr">
        <is>
          <t>16,16, '補足16','4',1000,'2','',''</t>
        </is>
      </c>
      <c r="Y19" s="15" t="inlineStr">
        <is>
          <t>);</t>
        </is>
      </c>
      <c r="AA19" s="18">
        <f>EXACT(TRIM(C19),L19&amp;"")</f>
        <v/>
      </c>
      <c r="AB19" s="18">
        <f>EXACT(TRIM(D19),M19&amp;"")</f>
        <v/>
      </c>
      <c r="AC19" s="18">
        <f>EXACT(TRIM(E19),"'"&amp;N19&amp;"'")</f>
        <v/>
      </c>
      <c r="AD19" s="18">
        <f>EXACT(TRIM(F19),"'"&amp;O19&amp;"'")</f>
        <v/>
      </c>
      <c r="AE19" s="18">
        <f>EXACT(TRIM(G19),P19&amp;"")</f>
        <v/>
      </c>
      <c r="AF19" s="18">
        <f>EXACT(TRIM(H19),"'"&amp;Q19&amp;"'")</f>
        <v/>
      </c>
      <c r="AG19" s="18">
        <f>EXACT(TRIM(I19),"'"&amp;R19&amp;"'")</f>
        <v/>
      </c>
      <c r="AH19" s="18">
        <f>EXACT(TRIM(J19),"'"&amp;S19&amp;"'")</f>
        <v/>
      </c>
      <c r="AI19" s="18">
        <f>AND(AA19:AH19)</f>
        <v/>
      </c>
      <c r="AJ19" s="19">
        <f>TRIM(IF(AA19,"",$AA$3&amp;" ")&amp;IF(AB19,"",$AB$3&amp;" ")&amp;IF(AC19,"",$AC$3&amp;" ")&amp;IF(AD19,"",$AD$3&amp;" ")&amp;IF(AE19,"",$AE$3&amp;" ")&amp;IF(AF19,"",$AF$3&amp;" ")&amp;IF(AG19,"",$AG$3&amp;" ")&amp;IF(AH19,"",$AH$3&amp;" "))</f>
        <v/>
      </c>
      <c r="AK19" s="18">
        <f>EXACT(SUBSTITUTE(A19," ",""),SUBSTITUTE(U19&amp;V19&amp;W19&amp;X19&amp;Y19," ",""))</f>
        <v/>
      </c>
    </row>
    <row r="20">
      <c r="A20" s="15" t="inlineStr">
        <is>
          <t>INSERT INTO MNG_LIST_REF_TBL VALUES(16 , 17 , '補足17', '4', 1000 , '2', '' , '');</t>
        </is>
      </c>
      <c r="B20" s="16" t="n"/>
      <c r="C20" s="15" t="inlineStr">
        <is>
          <t xml:space="preserve">16 </t>
        </is>
      </c>
      <c r="D20" s="15" t="inlineStr">
        <is>
          <t xml:space="preserve"> 17 </t>
        </is>
      </c>
      <c r="E20" s="15" t="inlineStr">
        <is>
          <t xml:space="preserve"> '補足17'</t>
        </is>
      </c>
      <c r="F20" s="15" t="inlineStr">
        <is>
          <t xml:space="preserve"> '4'</t>
        </is>
      </c>
      <c r="G20" s="15" t="inlineStr">
        <is>
          <t xml:space="preserve"> 1000 </t>
        </is>
      </c>
      <c r="H20" s="15" t="inlineStr">
        <is>
          <t xml:space="preserve"> '2'</t>
        </is>
      </c>
      <c r="I20" s="15" t="inlineStr">
        <is>
          <t xml:space="preserve"> '' </t>
        </is>
      </c>
      <c r="J20" s="15" t="inlineStr">
        <is>
          <t xml:space="preserve"> ''</t>
        </is>
      </c>
      <c r="L20" s="17" t="inlineStr">
        <is>
          <t>16</t>
        </is>
      </c>
      <c r="M20" s="17" t="inlineStr">
        <is>
          <t>17</t>
        </is>
      </c>
      <c r="N20" s="17" t="inlineStr">
        <is>
          <t>補足17</t>
        </is>
      </c>
      <c r="O20" s="17" t="inlineStr">
        <is>
          <t>4</t>
        </is>
      </c>
      <c r="P20" s="17" t="inlineStr">
        <is>
          <t>1000</t>
        </is>
      </c>
      <c r="Q20" s="17" t="inlineStr">
        <is>
          <t>2</t>
        </is>
      </c>
      <c r="R20" s="17" t="inlineStr"/>
      <c r="S20" s="17" t="inlineStr"/>
      <c r="U20" s="15" t="inlineStr">
        <is>
          <t>INSERT INTO</t>
        </is>
      </c>
      <c r="V20" s="15" t="inlineStr">
        <is>
          <t>MNG_LIST_REF_TBL</t>
        </is>
      </c>
      <c r="W20" s="15" t="inlineStr">
        <is>
          <t>VALUES(</t>
        </is>
      </c>
      <c r="X20" s="15" t="inlineStr">
        <is>
          <t>16,17, '補足17','4',1000,'2','',''</t>
        </is>
      </c>
      <c r="Y20" s="15" t="inlineStr">
        <is>
          <t>);</t>
        </is>
      </c>
      <c r="AA20" s="18">
        <f>EXACT(TRIM(C20),L20&amp;"")</f>
        <v/>
      </c>
      <c r="AB20" s="18">
        <f>EXACT(TRIM(D20),M20&amp;"")</f>
        <v/>
      </c>
      <c r="AC20" s="18">
        <f>EXACT(TRIM(E20),"'"&amp;N20&amp;"'")</f>
        <v/>
      </c>
      <c r="AD20" s="18">
        <f>EXACT(TRIM(F20),"'"&amp;O20&amp;"'")</f>
        <v/>
      </c>
      <c r="AE20" s="18">
        <f>EXACT(TRIM(G20),P20&amp;"")</f>
        <v/>
      </c>
      <c r="AF20" s="18">
        <f>EXACT(TRIM(H20),"'"&amp;Q20&amp;"'")</f>
        <v/>
      </c>
      <c r="AG20" s="18">
        <f>EXACT(TRIM(I20),"'"&amp;R20&amp;"'")</f>
        <v/>
      </c>
      <c r="AH20" s="18">
        <f>EXACT(TRIM(J20),"'"&amp;S20&amp;"'")</f>
        <v/>
      </c>
      <c r="AI20" s="18">
        <f>AND(AA20:AH20)</f>
        <v/>
      </c>
      <c r="AJ20" s="19">
        <f>TRIM(IF(AA20,"",$AA$3&amp;" ")&amp;IF(AB20,"",$AB$3&amp;" ")&amp;IF(AC20,"",$AC$3&amp;" ")&amp;IF(AD20,"",$AD$3&amp;" ")&amp;IF(AE20,"",$AE$3&amp;" ")&amp;IF(AF20,"",$AF$3&amp;" ")&amp;IF(AG20,"",$AG$3&amp;" ")&amp;IF(AH20,"",$AH$3&amp;" "))</f>
        <v/>
      </c>
      <c r="AK20" s="18">
        <f>EXACT(SUBSTITUTE(A20," ",""),SUBSTITUTE(U20&amp;V20&amp;W20&amp;X20&amp;Y20," ",""))</f>
        <v/>
      </c>
    </row>
    <row r="21">
      <c r="A21" s="15" t="inlineStr">
        <is>
          <t>INSERT INTO MNG_LIST_REF_TBL VALUES(16 , 18 , '補足18', '4', 1000 , '2', '' , '');</t>
        </is>
      </c>
      <c r="B21" s="16" t="n"/>
      <c r="C21" s="15" t="inlineStr">
        <is>
          <t xml:space="preserve">16 </t>
        </is>
      </c>
      <c r="D21" s="15" t="inlineStr">
        <is>
          <t xml:space="preserve"> 18 </t>
        </is>
      </c>
      <c r="E21" s="15" t="inlineStr">
        <is>
          <t xml:space="preserve"> '補足18'</t>
        </is>
      </c>
      <c r="F21" s="15" t="inlineStr">
        <is>
          <t xml:space="preserve"> '4'</t>
        </is>
      </c>
      <c r="G21" s="15" t="inlineStr">
        <is>
          <t xml:space="preserve"> 1000 </t>
        </is>
      </c>
      <c r="H21" s="15" t="inlineStr">
        <is>
          <t xml:space="preserve"> '2'</t>
        </is>
      </c>
      <c r="I21" s="15" t="inlineStr">
        <is>
          <t xml:space="preserve"> '' </t>
        </is>
      </c>
      <c r="J21" s="15" t="inlineStr">
        <is>
          <t xml:space="preserve"> ''</t>
        </is>
      </c>
      <c r="L21" s="17" t="inlineStr">
        <is>
          <t>16</t>
        </is>
      </c>
      <c r="M21" s="17" t="inlineStr">
        <is>
          <t>18</t>
        </is>
      </c>
      <c r="N21" s="17" t="inlineStr">
        <is>
          <t>補足18</t>
        </is>
      </c>
      <c r="O21" s="17" t="inlineStr">
        <is>
          <t>4</t>
        </is>
      </c>
      <c r="P21" s="17" t="inlineStr">
        <is>
          <t>1000</t>
        </is>
      </c>
      <c r="Q21" s="17" t="inlineStr">
        <is>
          <t>2</t>
        </is>
      </c>
      <c r="R21" s="17" t="inlineStr"/>
      <c r="S21" s="17" t="inlineStr"/>
      <c r="U21" s="15" t="inlineStr">
        <is>
          <t>INSERT INTO</t>
        </is>
      </c>
      <c r="V21" s="15" t="inlineStr">
        <is>
          <t>MNG_LIST_REF_TBL</t>
        </is>
      </c>
      <c r="W21" s="15" t="inlineStr">
        <is>
          <t>VALUES(</t>
        </is>
      </c>
      <c r="X21" s="15" t="inlineStr">
        <is>
          <t>16,18, '補足18','4',1000,'2','',''</t>
        </is>
      </c>
      <c r="Y21" s="15" t="inlineStr">
        <is>
          <t>);</t>
        </is>
      </c>
      <c r="AA21" s="18">
        <f>EXACT(TRIM(C21),L21&amp;"")</f>
        <v/>
      </c>
      <c r="AB21" s="18">
        <f>EXACT(TRIM(D21),M21&amp;"")</f>
        <v/>
      </c>
      <c r="AC21" s="18">
        <f>EXACT(TRIM(E21),"'"&amp;N21&amp;"'")</f>
        <v/>
      </c>
      <c r="AD21" s="18">
        <f>EXACT(TRIM(F21),"'"&amp;O21&amp;"'")</f>
        <v/>
      </c>
      <c r="AE21" s="18">
        <f>EXACT(TRIM(G21),P21&amp;"")</f>
        <v/>
      </c>
      <c r="AF21" s="18">
        <f>EXACT(TRIM(H21),"'"&amp;Q21&amp;"'")</f>
        <v/>
      </c>
      <c r="AG21" s="18">
        <f>EXACT(TRIM(I21),"'"&amp;R21&amp;"'")</f>
        <v/>
      </c>
      <c r="AH21" s="18">
        <f>EXACT(TRIM(J21),"'"&amp;S21&amp;"'")</f>
        <v/>
      </c>
      <c r="AI21" s="18">
        <f>AND(AA21:AH21)</f>
        <v/>
      </c>
      <c r="AJ21" s="19">
        <f>TRIM(IF(AA21,"",$AA$3&amp;" ")&amp;IF(AB21,"",$AB$3&amp;" ")&amp;IF(AC21,"",$AC$3&amp;" ")&amp;IF(AD21,"",$AD$3&amp;" ")&amp;IF(AE21,"",$AE$3&amp;" ")&amp;IF(AF21,"",$AF$3&amp;" ")&amp;IF(AG21,"",$AG$3&amp;" ")&amp;IF(AH21,"",$AH$3&amp;" "))</f>
        <v/>
      </c>
      <c r="AK21" s="18">
        <f>EXACT(SUBSTITUTE(A21," ",""),SUBSTITUTE(U21&amp;V21&amp;W21&amp;X21&amp;Y21," ",""))</f>
        <v/>
      </c>
    </row>
    <row r="22">
      <c r="A22" s="15" t="inlineStr">
        <is>
          <t>INSERT INTO MNG_LIST_REF_TBL VALUES(16 , 19 , '補足19', '4', 1000 , '2', '' , '');</t>
        </is>
      </c>
      <c r="B22" s="16" t="n"/>
      <c r="C22" s="15" t="inlineStr">
        <is>
          <t xml:space="preserve">16 </t>
        </is>
      </c>
      <c r="D22" s="15" t="inlineStr">
        <is>
          <t xml:space="preserve"> 19 </t>
        </is>
      </c>
      <c r="E22" s="15" t="inlineStr">
        <is>
          <t xml:space="preserve"> '補足19'</t>
        </is>
      </c>
      <c r="F22" s="15" t="inlineStr">
        <is>
          <t xml:space="preserve"> '4'</t>
        </is>
      </c>
      <c r="G22" s="15" t="inlineStr">
        <is>
          <t xml:space="preserve"> 1000 </t>
        </is>
      </c>
      <c r="H22" s="15" t="inlineStr">
        <is>
          <t xml:space="preserve"> '2'</t>
        </is>
      </c>
      <c r="I22" s="15" t="inlineStr">
        <is>
          <t xml:space="preserve"> '' </t>
        </is>
      </c>
      <c r="J22" s="15" t="inlineStr">
        <is>
          <t xml:space="preserve"> ''</t>
        </is>
      </c>
      <c r="L22" s="17" t="inlineStr">
        <is>
          <t>16</t>
        </is>
      </c>
      <c r="M22" s="17" t="inlineStr">
        <is>
          <t>19</t>
        </is>
      </c>
      <c r="N22" s="17" t="inlineStr">
        <is>
          <t>補足19</t>
        </is>
      </c>
      <c r="O22" s="17" t="inlineStr">
        <is>
          <t>4</t>
        </is>
      </c>
      <c r="P22" s="17" t="inlineStr">
        <is>
          <t>1000</t>
        </is>
      </c>
      <c r="Q22" s="17" t="inlineStr">
        <is>
          <t>2</t>
        </is>
      </c>
      <c r="R22" s="17" t="inlineStr"/>
      <c r="S22" s="17" t="inlineStr"/>
      <c r="U22" s="15" t="inlineStr">
        <is>
          <t>INSERT INTO</t>
        </is>
      </c>
      <c r="V22" s="15" t="inlineStr">
        <is>
          <t>MNG_LIST_REF_TBL</t>
        </is>
      </c>
      <c r="W22" s="15" t="inlineStr">
        <is>
          <t>VALUES(</t>
        </is>
      </c>
      <c r="X22" s="15" t="inlineStr">
        <is>
          <t>16,19, '補足19','4',1000,'2','',''</t>
        </is>
      </c>
      <c r="Y22" s="15" t="inlineStr">
        <is>
          <t>);</t>
        </is>
      </c>
      <c r="AA22" s="18">
        <f>EXACT(TRIM(C22),L22&amp;"")</f>
        <v/>
      </c>
      <c r="AB22" s="18">
        <f>EXACT(TRIM(D22),M22&amp;"")</f>
        <v/>
      </c>
      <c r="AC22" s="18">
        <f>EXACT(TRIM(E22),"'"&amp;N22&amp;"'")</f>
        <v/>
      </c>
      <c r="AD22" s="18">
        <f>EXACT(TRIM(F22),"'"&amp;O22&amp;"'")</f>
        <v/>
      </c>
      <c r="AE22" s="18">
        <f>EXACT(TRIM(G22),P22&amp;"")</f>
        <v/>
      </c>
      <c r="AF22" s="18">
        <f>EXACT(TRIM(H22),"'"&amp;Q22&amp;"'")</f>
        <v/>
      </c>
      <c r="AG22" s="18">
        <f>EXACT(TRIM(I22),"'"&amp;R22&amp;"'")</f>
        <v/>
      </c>
      <c r="AH22" s="18">
        <f>EXACT(TRIM(J22),"'"&amp;S22&amp;"'")</f>
        <v/>
      </c>
      <c r="AI22" s="18">
        <f>AND(AA22:AH22)</f>
        <v/>
      </c>
      <c r="AJ22" s="19">
        <f>TRIM(IF(AA22,"",$AA$3&amp;" ")&amp;IF(AB22,"",$AB$3&amp;" ")&amp;IF(AC22,"",$AC$3&amp;" ")&amp;IF(AD22,"",$AD$3&amp;" ")&amp;IF(AE22,"",$AE$3&amp;" ")&amp;IF(AF22,"",$AF$3&amp;" ")&amp;IF(AG22,"",$AG$3&amp;" ")&amp;IF(AH22,"",$AH$3&amp;" "))</f>
        <v/>
      </c>
      <c r="AK22" s="18">
        <f>EXACT(SUBSTITUTE(A22," ",""),SUBSTITUTE(U22&amp;V22&amp;W22&amp;X22&amp;Y22," ",""))</f>
        <v/>
      </c>
    </row>
    <row r="23">
      <c r="A23" s="15" t="inlineStr">
        <is>
          <t>INSERT INTO MNG_LIST_REF_TBL VALUES(16 , 20 , '補足20', '4', 1000 , '2', '' , '');</t>
        </is>
      </c>
      <c r="B23" s="16" t="n"/>
      <c r="C23" s="15" t="inlineStr">
        <is>
          <t xml:space="preserve">16 </t>
        </is>
      </c>
      <c r="D23" s="15" t="inlineStr">
        <is>
          <t xml:space="preserve"> 20 </t>
        </is>
      </c>
      <c r="E23" s="15" t="inlineStr">
        <is>
          <t xml:space="preserve"> '補足20'</t>
        </is>
      </c>
      <c r="F23" s="15" t="inlineStr">
        <is>
          <t xml:space="preserve"> '4'</t>
        </is>
      </c>
      <c r="G23" s="15" t="inlineStr">
        <is>
          <t xml:space="preserve"> 1000 </t>
        </is>
      </c>
      <c r="H23" s="15" t="inlineStr">
        <is>
          <t xml:space="preserve"> '2'</t>
        </is>
      </c>
      <c r="I23" s="15" t="inlineStr">
        <is>
          <t xml:space="preserve"> '' </t>
        </is>
      </c>
      <c r="J23" s="15" t="inlineStr">
        <is>
          <t xml:space="preserve"> ''</t>
        </is>
      </c>
      <c r="L23" s="17" t="inlineStr">
        <is>
          <t>16</t>
        </is>
      </c>
      <c r="M23" s="17" t="inlineStr">
        <is>
          <t>20</t>
        </is>
      </c>
      <c r="N23" s="17" t="inlineStr">
        <is>
          <t>補足20</t>
        </is>
      </c>
      <c r="O23" s="17" t="inlineStr">
        <is>
          <t>4</t>
        </is>
      </c>
      <c r="P23" s="17" t="inlineStr">
        <is>
          <t>1000</t>
        </is>
      </c>
      <c r="Q23" s="17" t="inlineStr">
        <is>
          <t>2</t>
        </is>
      </c>
      <c r="R23" s="17" t="inlineStr"/>
      <c r="S23" s="17" t="inlineStr"/>
      <c r="U23" s="15" t="inlineStr">
        <is>
          <t>INSERT INTO</t>
        </is>
      </c>
      <c r="V23" s="15" t="inlineStr">
        <is>
          <t>MNG_LIST_REF_TBL</t>
        </is>
      </c>
      <c r="W23" s="15" t="inlineStr">
        <is>
          <t>VALUES(</t>
        </is>
      </c>
      <c r="X23" s="15" t="inlineStr">
        <is>
          <t>16,20, '補足20','4',1000,'2','',''</t>
        </is>
      </c>
      <c r="Y23" s="15" t="inlineStr">
        <is>
          <t>);</t>
        </is>
      </c>
      <c r="AA23" s="18">
        <f>EXACT(TRIM(C23),L23&amp;"")</f>
        <v/>
      </c>
      <c r="AB23" s="18">
        <f>EXACT(TRIM(D23),M23&amp;"")</f>
        <v/>
      </c>
      <c r="AC23" s="18">
        <f>EXACT(TRIM(E23),"'"&amp;N23&amp;"'")</f>
        <v/>
      </c>
      <c r="AD23" s="18">
        <f>EXACT(TRIM(F23),"'"&amp;O23&amp;"'")</f>
        <v/>
      </c>
      <c r="AE23" s="18">
        <f>EXACT(TRIM(G23),P23&amp;"")</f>
        <v/>
      </c>
      <c r="AF23" s="18">
        <f>EXACT(TRIM(H23),"'"&amp;Q23&amp;"'")</f>
        <v/>
      </c>
      <c r="AG23" s="18">
        <f>EXACT(TRIM(I23),"'"&amp;R23&amp;"'")</f>
        <v/>
      </c>
      <c r="AH23" s="18">
        <f>EXACT(TRIM(J23),"'"&amp;S23&amp;"'")</f>
        <v/>
      </c>
      <c r="AI23" s="18">
        <f>AND(AA23:AH23)</f>
        <v/>
      </c>
      <c r="AJ23" s="19">
        <f>TRIM(IF(AA23,"",$AA$3&amp;" ")&amp;IF(AB23,"",$AB$3&amp;" ")&amp;IF(AC23,"",$AC$3&amp;" ")&amp;IF(AD23,"",$AD$3&amp;" ")&amp;IF(AE23,"",$AE$3&amp;" ")&amp;IF(AF23,"",$AF$3&amp;" ")&amp;IF(AG23,"",$AG$3&amp;" ")&amp;IF(AH23,"",$AH$3&amp;" "))</f>
        <v/>
      </c>
      <c r="AK23" s="18">
        <f>EXACT(SUBSTITUTE(A23," ",""),SUBSTITUTE(U23&amp;V23&amp;W23&amp;X23&amp;Y23," ",""))</f>
        <v/>
      </c>
    </row>
    <row r="24">
      <c r="A24" s="15" t="inlineStr">
        <is>
          <t>INSERT INTO MNG_LIST_REF_TBL VALUES(16 , 21 , '補足21', '4', 1000 , '2', '' , '');</t>
        </is>
      </c>
      <c r="B24" s="16" t="n"/>
      <c r="C24" s="15" t="inlineStr">
        <is>
          <t xml:space="preserve">16 </t>
        </is>
      </c>
      <c r="D24" s="15" t="inlineStr">
        <is>
          <t xml:space="preserve"> 21 </t>
        </is>
      </c>
      <c r="E24" s="15" t="inlineStr">
        <is>
          <t xml:space="preserve"> '補足21'</t>
        </is>
      </c>
      <c r="F24" s="15" t="inlineStr">
        <is>
          <t xml:space="preserve"> '4'</t>
        </is>
      </c>
      <c r="G24" s="15" t="inlineStr">
        <is>
          <t xml:space="preserve"> 1000 </t>
        </is>
      </c>
      <c r="H24" s="15" t="inlineStr">
        <is>
          <t xml:space="preserve"> '2'</t>
        </is>
      </c>
      <c r="I24" s="15" t="inlineStr">
        <is>
          <t xml:space="preserve"> '' </t>
        </is>
      </c>
      <c r="J24" s="15" t="inlineStr">
        <is>
          <t xml:space="preserve"> ''</t>
        </is>
      </c>
      <c r="L24" s="17" t="inlineStr">
        <is>
          <t>16</t>
        </is>
      </c>
      <c r="M24" s="17" t="inlineStr">
        <is>
          <t>21</t>
        </is>
      </c>
      <c r="N24" s="17" t="inlineStr">
        <is>
          <t>補足21</t>
        </is>
      </c>
      <c r="O24" s="17" t="inlineStr">
        <is>
          <t>4</t>
        </is>
      </c>
      <c r="P24" s="17" t="inlineStr">
        <is>
          <t>1000</t>
        </is>
      </c>
      <c r="Q24" s="17" t="inlineStr">
        <is>
          <t>2</t>
        </is>
      </c>
      <c r="R24" s="17" t="inlineStr"/>
      <c r="S24" s="17" t="inlineStr"/>
      <c r="U24" s="15" t="inlineStr">
        <is>
          <t>INSERT INTO</t>
        </is>
      </c>
      <c r="V24" s="15" t="inlineStr">
        <is>
          <t>MNG_LIST_REF_TBL</t>
        </is>
      </c>
      <c r="W24" s="15" t="inlineStr">
        <is>
          <t>VALUES(</t>
        </is>
      </c>
      <c r="X24" s="15" t="inlineStr">
        <is>
          <t>16,21, '補足21','4',1000,'2','',''</t>
        </is>
      </c>
      <c r="Y24" s="15" t="inlineStr">
        <is>
          <t>);</t>
        </is>
      </c>
      <c r="AA24" s="18">
        <f>EXACT(TRIM(C24),L24&amp;"")</f>
        <v/>
      </c>
      <c r="AB24" s="18">
        <f>EXACT(TRIM(D24),M24&amp;"")</f>
        <v/>
      </c>
      <c r="AC24" s="18">
        <f>EXACT(TRIM(E24),"'"&amp;N24&amp;"'")</f>
        <v/>
      </c>
      <c r="AD24" s="18">
        <f>EXACT(TRIM(F24),"'"&amp;O24&amp;"'")</f>
        <v/>
      </c>
      <c r="AE24" s="18">
        <f>EXACT(TRIM(G24),P24&amp;"")</f>
        <v/>
      </c>
      <c r="AF24" s="18">
        <f>EXACT(TRIM(H24),"'"&amp;Q24&amp;"'")</f>
        <v/>
      </c>
      <c r="AG24" s="18">
        <f>EXACT(TRIM(I24),"'"&amp;R24&amp;"'")</f>
        <v/>
      </c>
      <c r="AH24" s="18">
        <f>EXACT(TRIM(J24),"'"&amp;S24&amp;"'")</f>
        <v/>
      </c>
      <c r="AI24" s="18">
        <f>AND(AA24:AH24)</f>
        <v/>
      </c>
      <c r="AJ24" s="19">
        <f>TRIM(IF(AA24,"",$AA$3&amp;" ")&amp;IF(AB24,"",$AB$3&amp;" ")&amp;IF(AC24,"",$AC$3&amp;" ")&amp;IF(AD24,"",$AD$3&amp;" ")&amp;IF(AE24,"",$AE$3&amp;" ")&amp;IF(AF24,"",$AF$3&amp;" ")&amp;IF(AG24,"",$AG$3&amp;" ")&amp;IF(AH24,"",$AH$3&amp;" "))</f>
        <v/>
      </c>
      <c r="AK24" s="18">
        <f>EXACT(SUBSTITUTE(A24," ",""),SUBSTITUTE(U24&amp;V24&amp;W24&amp;X24&amp;Y24," ",""))</f>
        <v/>
      </c>
    </row>
    <row r="25">
      <c r="A25" s="15" t="inlineStr">
        <is>
          <t>INSERT INTO MNG_LIST_REF_TBL VALUES(16 , 22 , '補足22', '4', 1000 , '2', '' , '');</t>
        </is>
      </c>
      <c r="B25" s="16" t="n"/>
      <c r="C25" s="15" t="inlineStr">
        <is>
          <t xml:space="preserve">16 </t>
        </is>
      </c>
      <c r="D25" s="15" t="inlineStr">
        <is>
          <t xml:space="preserve"> 22 </t>
        </is>
      </c>
      <c r="E25" s="15" t="inlineStr">
        <is>
          <t xml:space="preserve"> '補足22'</t>
        </is>
      </c>
      <c r="F25" s="15" t="inlineStr">
        <is>
          <t xml:space="preserve"> '4'</t>
        </is>
      </c>
      <c r="G25" s="15" t="inlineStr">
        <is>
          <t xml:space="preserve"> 1000 </t>
        </is>
      </c>
      <c r="H25" s="15" t="inlineStr">
        <is>
          <t xml:space="preserve"> '2'</t>
        </is>
      </c>
      <c r="I25" s="15" t="inlineStr">
        <is>
          <t xml:space="preserve"> '' </t>
        </is>
      </c>
      <c r="J25" s="15" t="inlineStr">
        <is>
          <t xml:space="preserve"> ''</t>
        </is>
      </c>
      <c r="L25" s="17" t="inlineStr">
        <is>
          <t>16</t>
        </is>
      </c>
      <c r="M25" s="17" t="inlineStr">
        <is>
          <t>22</t>
        </is>
      </c>
      <c r="N25" s="17" t="inlineStr">
        <is>
          <t>補足22</t>
        </is>
      </c>
      <c r="O25" s="17" t="inlineStr">
        <is>
          <t>4</t>
        </is>
      </c>
      <c r="P25" s="17" t="inlineStr">
        <is>
          <t>1000</t>
        </is>
      </c>
      <c r="Q25" s="17" t="inlineStr">
        <is>
          <t>2</t>
        </is>
      </c>
      <c r="R25" s="17" t="inlineStr"/>
      <c r="S25" s="17" t="inlineStr"/>
      <c r="U25" s="15" t="inlineStr">
        <is>
          <t>INSERT INTO</t>
        </is>
      </c>
      <c r="V25" s="15" t="inlineStr">
        <is>
          <t>MNG_LIST_REF_TBL</t>
        </is>
      </c>
      <c r="W25" s="15" t="inlineStr">
        <is>
          <t>VALUES(</t>
        </is>
      </c>
      <c r="X25" s="15" t="inlineStr">
        <is>
          <t>16,22, '補足22','4',1000,'2','',''</t>
        </is>
      </c>
      <c r="Y25" s="15" t="inlineStr">
        <is>
          <t>);</t>
        </is>
      </c>
      <c r="AA25" s="18">
        <f>EXACT(TRIM(C25),L25&amp;"")</f>
        <v/>
      </c>
      <c r="AB25" s="18">
        <f>EXACT(TRIM(D25),M25&amp;"")</f>
        <v/>
      </c>
      <c r="AC25" s="18">
        <f>EXACT(TRIM(E25),"'"&amp;N25&amp;"'")</f>
        <v/>
      </c>
      <c r="AD25" s="18">
        <f>EXACT(TRIM(F25),"'"&amp;O25&amp;"'")</f>
        <v/>
      </c>
      <c r="AE25" s="18">
        <f>EXACT(TRIM(G25),P25&amp;"")</f>
        <v/>
      </c>
      <c r="AF25" s="18">
        <f>EXACT(TRIM(H25),"'"&amp;Q25&amp;"'")</f>
        <v/>
      </c>
      <c r="AG25" s="18">
        <f>EXACT(TRIM(I25),"'"&amp;R25&amp;"'")</f>
        <v/>
      </c>
      <c r="AH25" s="18">
        <f>EXACT(TRIM(J25),"'"&amp;S25&amp;"'")</f>
        <v/>
      </c>
      <c r="AI25" s="18">
        <f>AND(AA25:AH25)</f>
        <v/>
      </c>
      <c r="AJ25" s="19">
        <f>TRIM(IF(AA25,"",$AA$3&amp;" ")&amp;IF(AB25,"",$AB$3&amp;" ")&amp;IF(AC25,"",$AC$3&amp;" ")&amp;IF(AD25,"",$AD$3&amp;" ")&amp;IF(AE25,"",$AE$3&amp;" ")&amp;IF(AF25,"",$AF$3&amp;" ")&amp;IF(AG25,"",$AG$3&amp;" ")&amp;IF(AH25,"",$AH$3&amp;" "))</f>
        <v/>
      </c>
      <c r="AK25" s="18">
        <f>EXACT(SUBSTITUTE(A25," ",""),SUBSTITUTE(U25&amp;V25&amp;W25&amp;X25&amp;Y25," ",""))</f>
        <v/>
      </c>
    </row>
    <row r="26">
      <c r="A26" s="15" t="inlineStr">
        <is>
          <t>INSERT INTO MNG_LIST_REF_TBL VALUES(16 , 23 , '補足23', '4', 1000 , '2', '' , '');</t>
        </is>
      </c>
      <c r="B26" s="16" t="n"/>
      <c r="C26" s="15" t="inlineStr">
        <is>
          <t xml:space="preserve">16 </t>
        </is>
      </c>
      <c r="D26" s="15" t="inlineStr">
        <is>
          <t xml:space="preserve"> 23 </t>
        </is>
      </c>
      <c r="E26" s="15" t="inlineStr">
        <is>
          <t xml:space="preserve"> '補足23'</t>
        </is>
      </c>
      <c r="F26" s="15" t="inlineStr">
        <is>
          <t xml:space="preserve"> '4'</t>
        </is>
      </c>
      <c r="G26" s="15" t="inlineStr">
        <is>
          <t xml:space="preserve"> 1000 </t>
        </is>
      </c>
      <c r="H26" s="15" t="inlineStr">
        <is>
          <t xml:space="preserve"> '2'</t>
        </is>
      </c>
      <c r="I26" s="15" t="inlineStr">
        <is>
          <t xml:space="preserve"> '' </t>
        </is>
      </c>
      <c r="J26" s="15" t="inlineStr">
        <is>
          <t xml:space="preserve"> ''</t>
        </is>
      </c>
      <c r="L26" s="17" t="inlineStr">
        <is>
          <t>16</t>
        </is>
      </c>
      <c r="M26" s="17" t="inlineStr">
        <is>
          <t>23</t>
        </is>
      </c>
      <c r="N26" s="17" t="inlineStr">
        <is>
          <t>補足23</t>
        </is>
      </c>
      <c r="O26" s="17" t="inlineStr">
        <is>
          <t>4</t>
        </is>
      </c>
      <c r="P26" s="17" t="inlineStr">
        <is>
          <t>1000</t>
        </is>
      </c>
      <c r="Q26" s="17" t="inlineStr">
        <is>
          <t>2</t>
        </is>
      </c>
      <c r="R26" s="17" t="inlineStr"/>
      <c r="S26" s="17" t="inlineStr"/>
      <c r="U26" s="15" t="inlineStr">
        <is>
          <t>INSERT INTO</t>
        </is>
      </c>
      <c r="V26" s="15" t="inlineStr">
        <is>
          <t>MNG_LIST_REF_TBL</t>
        </is>
      </c>
      <c r="W26" s="15" t="inlineStr">
        <is>
          <t>VALUES(</t>
        </is>
      </c>
      <c r="X26" s="15" t="inlineStr">
        <is>
          <t>16,23, '補足23','4',1000,'2','',''</t>
        </is>
      </c>
      <c r="Y26" s="15" t="inlineStr">
        <is>
          <t>);</t>
        </is>
      </c>
      <c r="AA26" s="18">
        <f>EXACT(TRIM(C26),L26&amp;"")</f>
        <v/>
      </c>
      <c r="AB26" s="18">
        <f>EXACT(TRIM(D26),M26&amp;"")</f>
        <v/>
      </c>
      <c r="AC26" s="18">
        <f>EXACT(TRIM(E26),"'"&amp;N26&amp;"'")</f>
        <v/>
      </c>
      <c r="AD26" s="18">
        <f>EXACT(TRIM(F26),"'"&amp;O26&amp;"'")</f>
        <v/>
      </c>
      <c r="AE26" s="18">
        <f>EXACT(TRIM(G26),P26&amp;"")</f>
        <v/>
      </c>
      <c r="AF26" s="18">
        <f>EXACT(TRIM(H26),"'"&amp;Q26&amp;"'")</f>
        <v/>
      </c>
      <c r="AG26" s="18">
        <f>EXACT(TRIM(I26),"'"&amp;R26&amp;"'")</f>
        <v/>
      </c>
      <c r="AH26" s="18">
        <f>EXACT(TRIM(J26),"'"&amp;S26&amp;"'")</f>
        <v/>
      </c>
      <c r="AI26" s="18">
        <f>AND(AA26:AH26)</f>
        <v/>
      </c>
      <c r="AJ26" s="19">
        <f>TRIM(IF(AA26,"",$AA$3&amp;" ")&amp;IF(AB26,"",$AB$3&amp;" ")&amp;IF(AC26,"",$AC$3&amp;" ")&amp;IF(AD26,"",$AD$3&amp;" ")&amp;IF(AE26,"",$AE$3&amp;" ")&amp;IF(AF26,"",$AF$3&amp;" ")&amp;IF(AG26,"",$AG$3&amp;" ")&amp;IF(AH26,"",$AH$3&amp;" "))</f>
        <v/>
      </c>
      <c r="AK26" s="18">
        <f>EXACT(SUBSTITUTE(A26," ",""),SUBSTITUTE(U26&amp;V26&amp;W26&amp;X26&amp;Y26," ",""))</f>
        <v/>
      </c>
    </row>
    <row r="27">
      <c r="A27" s="15" t="inlineStr">
        <is>
          <t>INSERT INTO MNG_LIST_REF_TBL VALUES(16 , 24 , '補足24', '4', 1000 , '2', '' , '');</t>
        </is>
      </c>
      <c r="B27" s="16" t="n"/>
      <c r="C27" s="15" t="inlineStr">
        <is>
          <t xml:space="preserve">16 </t>
        </is>
      </c>
      <c r="D27" s="15" t="inlineStr">
        <is>
          <t xml:space="preserve"> 24 </t>
        </is>
      </c>
      <c r="E27" s="15" t="inlineStr">
        <is>
          <t xml:space="preserve"> '補足24'</t>
        </is>
      </c>
      <c r="F27" s="15" t="inlineStr">
        <is>
          <t xml:space="preserve"> '4'</t>
        </is>
      </c>
      <c r="G27" s="15" t="inlineStr">
        <is>
          <t xml:space="preserve"> 1000 </t>
        </is>
      </c>
      <c r="H27" s="15" t="inlineStr">
        <is>
          <t xml:space="preserve"> '2'</t>
        </is>
      </c>
      <c r="I27" s="15" t="inlineStr">
        <is>
          <t xml:space="preserve"> '' </t>
        </is>
      </c>
      <c r="J27" s="15" t="inlineStr">
        <is>
          <t xml:space="preserve"> ''</t>
        </is>
      </c>
      <c r="L27" s="17" t="inlineStr">
        <is>
          <t>16</t>
        </is>
      </c>
      <c r="M27" s="17" t="inlineStr">
        <is>
          <t>24</t>
        </is>
      </c>
      <c r="N27" s="17" t="inlineStr">
        <is>
          <t>補足24</t>
        </is>
      </c>
      <c r="O27" s="17" t="inlineStr">
        <is>
          <t>4</t>
        </is>
      </c>
      <c r="P27" s="17" t="inlineStr">
        <is>
          <t>1000</t>
        </is>
      </c>
      <c r="Q27" s="17" t="inlineStr">
        <is>
          <t>2</t>
        </is>
      </c>
      <c r="R27" s="17" t="inlineStr"/>
      <c r="S27" s="17" t="inlineStr"/>
      <c r="U27" s="15" t="inlineStr">
        <is>
          <t>INSERT INTO</t>
        </is>
      </c>
      <c r="V27" s="15" t="inlineStr">
        <is>
          <t>MNG_LIST_REF_TBL</t>
        </is>
      </c>
      <c r="W27" s="15" t="inlineStr">
        <is>
          <t>VALUES(</t>
        </is>
      </c>
      <c r="X27" s="15" t="inlineStr">
        <is>
          <t>16,24, '補足24','4',1000,'2','',''</t>
        </is>
      </c>
      <c r="Y27" s="15" t="inlineStr">
        <is>
          <t>);</t>
        </is>
      </c>
      <c r="AA27" s="18">
        <f>EXACT(TRIM(C27),L27&amp;"")</f>
        <v/>
      </c>
      <c r="AB27" s="18">
        <f>EXACT(TRIM(D27),M27&amp;"")</f>
        <v/>
      </c>
      <c r="AC27" s="18">
        <f>EXACT(TRIM(E27),"'"&amp;N27&amp;"'")</f>
        <v/>
      </c>
      <c r="AD27" s="18">
        <f>EXACT(TRIM(F27),"'"&amp;O27&amp;"'")</f>
        <v/>
      </c>
      <c r="AE27" s="18">
        <f>EXACT(TRIM(G27),P27&amp;"")</f>
        <v/>
      </c>
      <c r="AF27" s="18">
        <f>EXACT(TRIM(H27),"'"&amp;Q27&amp;"'")</f>
        <v/>
      </c>
      <c r="AG27" s="18">
        <f>EXACT(TRIM(I27),"'"&amp;R27&amp;"'")</f>
        <v/>
      </c>
      <c r="AH27" s="18">
        <f>EXACT(TRIM(J27),"'"&amp;S27&amp;"'")</f>
        <v/>
      </c>
      <c r="AI27" s="18">
        <f>AND(AA27:AH27)</f>
        <v/>
      </c>
      <c r="AJ27" s="19">
        <f>TRIM(IF(AA27,"",$AA$3&amp;" ")&amp;IF(AB27,"",$AB$3&amp;" ")&amp;IF(AC27,"",$AC$3&amp;" ")&amp;IF(AD27,"",$AD$3&amp;" ")&amp;IF(AE27,"",$AE$3&amp;" ")&amp;IF(AF27,"",$AF$3&amp;" ")&amp;IF(AG27,"",$AG$3&amp;" ")&amp;IF(AH27,"",$AH$3&amp;" "))</f>
        <v/>
      </c>
      <c r="AK27" s="18">
        <f>EXACT(SUBSTITUTE(A27," ",""),SUBSTITUTE(U27&amp;V27&amp;W27&amp;X27&amp;Y27," ",""))</f>
        <v/>
      </c>
    </row>
    <row r="28">
      <c r="A28" s="15" t="inlineStr">
        <is>
          <t>INSERT INTO MNG_LIST_REF_TBL VALUES(16 , 25 , '補足25', '4', 1000 , '2', '' , '');</t>
        </is>
      </c>
      <c r="B28" s="16" t="n"/>
      <c r="C28" s="15" t="inlineStr">
        <is>
          <t xml:space="preserve">16 </t>
        </is>
      </c>
      <c r="D28" s="15" t="inlineStr">
        <is>
          <t xml:space="preserve"> 25 </t>
        </is>
      </c>
      <c r="E28" s="15" t="inlineStr">
        <is>
          <t xml:space="preserve"> '補足25'</t>
        </is>
      </c>
      <c r="F28" s="15" t="inlineStr">
        <is>
          <t xml:space="preserve"> '4'</t>
        </is>
      </c>
      <c r="G28" s="15" t="inlineStr">
        <is>
          <t xml:space="preserve"> 1000 </t>
        </is>
      </c>
      <c r="H28" s="15" t="inlineStr">
        <is>
          <t xml:space="preserve"> '2'</t>
        </is>
      </c>
      <c r="I28" s="15" t="inlineStr">
        <is>
          <t xml:space="preserve"> '' </t>
        </is>
      </c>
      <c r="J28" s="15" t="inlineStr">
        <is>
          <t xml:space="preserve"> ''</t>
        </is>
      </c>
      <c r="L28" s="17" t="inlineStr">
        <is>
          <t>16</t>
        </is>
      </c>
      <c r="M28" s="17" t="inlineStr">
        <is>
          <t>25</t>
        </is>
      </c>
      <c r="N28" s="17" t="inlineStr">
        <is>
          <t>補足25</t>
        </is>
      </c>
      <c r="O28" s="17" t="inlineStr">
        <is>
          <t>4</t>
        </is>
      </c>
      <c r="P28" s="17" t="inlineStr">
        <is>
          <t>1000</t>
        </is>
      </c>
      <c r="Q28" s="17" t="inlineStr">
        <is>
          <t>2</t>
        </is>
      </c>
      <c r="R28" s="17" t="inlineStr"/>
      <c r="S28" s="17" t="inlineStr"/>
      <c r="U28" s="15" t="inlineStr">
        <is>
          <t>INSERT INTO</t>
        </is>
      </c>
      <c r="V28" s="15" t="inlineStr">
        <is>
          <t>MNG_LIST_REF_TBL</t>
        </is>
      </c>
      <c r="W28" s="15" t="inlineStr">
        <is>
          <t>VALUES(</t>
        </is>
      </c>
      <c r="X28" s="15" t="inlineStr">
        <is>
          <t>16,25, '補足25','4',1000,'2','',''</t>
        </is>
      </c>
      <c r="Y28" s="15" t="inlineStr">
        <is>
          <t>);</t>
        </is>
      </c>
      <c r="AA28" s="18">
        <f>EXACT(TRIM(C28),L28&amp;"")</f>
        <v/>
      </c>
      <c r="AB28" s="18">
        <f>EXACT(TRIM(D28),M28&amp;"")</f>
        <v/>
      </c>
      <c r="AC28" s="18">
        <f>EXACT(TRIM(E28),"'"&amp;N28&amp;"'")</f>
        <v/>
      </c>
      <c r="AD28" s="18">
        <f>EXACT(TRIM(F28),"'"&amp;O28&amp;"'")</f>
        <v/>
      </c>
      <c r="AE28" s="18">
        <f>EXACT(TRIM(G28),P28&amp;"")</f>
        <v/>
      </c>
      <c r="AF28" s="18">
        <f>EXACT(TRIM(H28),"'"&amp;Q28&amp;"'")</f>
        <v/>
      </c>
      <c r="AG28" s="18">
        <f>EXACT(TRIM(I28),"'"&amp;R28&amp;"'")</f>
        <v/>
      </c>
      <c r="AH28" s="18">
        <f>EXACT(TRIM(J28),"'"&amp;S28&amp;"'")</f>
        <v/>
      </c>
      <c r="AI28" s="18">
        <f>AND(AA28:AH28)</f>
        <v/>
      </c>
      <c r="AJ28" s="19">
        <f>TRIM(IF(AA28,"",$AA$3&amp;" ")&amp;IF(AB28,"",$AB$3&amp;" ")&amp;IF(AC28,"",$AC$3&amp;" ")&amp;IF(AD28,"",$AD$3&amp;" ")&amp;IF(AE28,"",$AE$3&amp;" ")&amp;IF(AF28,"",$AF$3&amp;" ")&amp;IF(AG28,"",$AG$3&amp;" ")&amp;IF(AH28,"",$AH$3&amp;" "))</f>
        <v/>
      </c>
      <c r="AK28" s="18">
        <f>EXACT(SUBSTITUTE(A28," ",""),SUBSTITUTE(U28&amp;V28&amp;W28&amp;X28&amp;Y28," ",""))</f>
        <v/>
      </c>
    </row>
    <row r="29">
      <c r="A29" s="15" t="inlineStr">
        <is>
          <t>INSERT INTO MNG_LIST_REF_TBL VALUES(16 , 26 , '補足26', '4', 1000 , '2', '' , '');</t>
        </is>
      </c>
      <c r="B29" s="16" t="n"/>
      <c r="C29" s="15" t="inlineStr">
        <is>
          <t xml:space="preserve">16 </t>
        </is>
      </c>
      <c r="D29" s="15" t="inlineStr">
        <is>
          <t xml:space="preserve"> 26 </t>
        </is>
      </c>
      <c r="E29" s="15" t="inlineStr">
        <is>
          <t xml:space="preserve"> '補足26'</t>
        </is>
      </c>
      <c r="F29" s="15" t="inlineStr">
        <is>
          <t xml:space="preserve"> '4'</t>
        </is>
      </c>
      <c r="G29" s="15" t="inlineStr">
        <is>
          <t xml:space="preserve"> 1000 </t>
        </is>
      </c>
      <c r="H29" s="15" t="inlineStr">
        <is>
          <t xml:space="preserve"> '2'</t>
        </is>
      </c>
      <c r="I29" s="15" t="inlineStr">
        <is>
          <t xml:space="preserve"> '' </t>
        </is>
      </c>
      <c r="J29" s="15" t="inlineStr">
        <is>
          <t xml:space="preserve"> ''</t>
        </is>
      </c>
      <c r="L29" s="17" t="inlineStr">
        <is>
          <t>16</t>
        </is>
      </c>
      <c r="M29" s="17" t="inlineStr">
        <is>
          <t>26</t>
        </is>
      </c>
      <c r="N29" s="17" t="inlineStr">
        <is>
          <t>補足26</t>
        </is>
      </c>
      <c r="O29" s="17" t="inlineStr">
        <is>
          <t>4</t>
        </is>
      </c>
      <c r="P29" s="17" t="inlineStr">
        <is>
          <t>1000</t>
        </is>
      </c>
      <c r="Q29" s="17" t="inlineStr">
        <is>
          <t>2</t>
        </is>
      </c>
      <c r="R29" s="17" t="inlineStr"/>
      <c r="S29" s="17" t="inlineStr"/>
      <c r="U29" s="15" t="inlineStr">
        <is>
          <t>INSERT INTO</t>
        </is>
      </c>
      <c r="V29" s="15" t="inlineStr">
        <is>
          <t>MNG_LIST_REF_TBL</t>
        </is>
      </c>
      <c r="W29" s="15" t="inlineStr">
        <is>
          <t>VALUES(</t>
        </is>
      </c>
      <c r="X29" s="15" t="inlineStr">
        <is>
          <t>16,26, '補足26','4',1000,'2','',''</t>
        </is>
      </c>
      <c r="Y29" s="15" t="inlineStr">
        <is>
          <t>);</t>
        </is>
      </c>
      <c r="AA29" s="18">
        <f>EXACT(TRIM(C29),L29&amp;"")</f>
        <v/>
      </c>
      <c r="AB29" s="18">
        <f>EXACT(TRIM(D29),M29&amp;"")</f>
        <v/>
      </c>
      <c r="AC29" s="18">
        <f>EXACT(TRIM(E29),"'"&amp;N29&amp;"'")</f>
        <v/>
      </c>
      <c r="AD29" s="18">
        <f>EXACT(TRIM(F29),"'"&amp;O29&amp;"'")</f>
        <v/>
      </c>
      <c r="AE29" s="18">
        <f>EXACT(TRIM(G29),P29&amp;"")</f>
        <v/>
      </c>
      <c r="AF29" s="18">
        <f>EXACT(TRIM(H29),"'"&amp;Q29&amp;"'")</f>
        <v/>
      </c>
      <c r="AG29" s="18">
        <f>EXACT(TRIM(I29),"'"&amp;R29&amp;"'")</f>
        <v/>
      </c>
      <c r="AH29" s="18">
        <f>EXACT(TRIM(J29),"'"&amp;S29&amp;"'")</f>
        <v/>
      </c>
      <c r="AI29" s="18">
        <f>AND(AA29:AH29)</f>
        <v/>
      </c>
      <c r="AJ29" s="19">
        <f>TRIM(IF(AA29,"",$AA$3&amp;" ")&amp;IF(AB29,"",$AB$3&amp;" ")&amp;IF(AC29,"",$AC$3&amp;" ")&amp;IF(AD29,"",$AD$3&amp;" ")&amp;IF(AE29,"",$AE$3&amp;" ")&amp;IF(AF29,"",$AF$3&amp;" ")&amp;IF(AG29,"",$AG$3&amp;" ")&amp;IF(AH29,"",$AH$3&amp;" "))</f>
        <v/>
      </c>
      <c r="AK29" s="18">
        <f>EXACT(SUBSTITUTE(A29," ",""),SUBSTITUTE(U29&amp;V29&amp;W29&amp;X29&amp;Y29," ",""))</f>
        <v/>
      </c>
    </row>
    <row r="30">
      <c r="A30" s="15" t="inlineStr">
        <is>
          <t>INSERT INTO MNG_LIST_REF_TBL VALUES(16 , 27 , '補足27', '4', 1000 , '2', '' , '');</t>
        </is>
      </c>
      <c r="B30" s="16" t="n"/>
      <c r="C30" s="15" t="inlineStr">
        <is>
          <t xml:space="preserve">16 </t>
        </is>
      </c>
      <c r="D30" s="15" t="inlineStr">
        <is>
          <t xml:space="preserve"> 27 </t>
        </is>
      </c>
      <c r="E30" s="15" t="inlineStr">
        <is>
          <t xml:space="preserve"> '補足27'</t>
        </is>
      </c>
      <c r="F30" s="15" t="inlineStr">
        <is>
          <t xml:space="preserve"> '4'</t>
        </is>
      </c>
      <c r="G30" s="15" t="inlineStr">
        <is>
          <t xml:space="preserve"> 1000 </t>
        </is>
      </c>
      <c r="H30" s="15" t="inlineStr">
        <is>
          <t xml:space="preserve"> '2'</t>
        </is>
      </c>
      <c r="I30" s="15" t="inlineStr">
        <is>
          <t xml:space="preserve"> '' </t>
        </is>
      </c>
      <c r="J30" s="15" t="inlineStr">
        <is>
          <t xml:space="preserve"> ''</t>
        </is>
      </c>
      <c r="L30" s="17" t="inlineStr">
        <is>
          <t>16</t>
        </is>
      </c>
      <c r="M30" s="17" t="inlineStr">
        <is>
          <t>27</t>
        </is>
      </c>
      <c r="N30" s="17" t="inlineStr">
        <is>
          <t>補足27</t>
        </is>
      </c>
      <c r="O30" s="17" t="inlineStr">
        <is>
          <t>4</t>
        </is>
      </c>
      <c r="P30" s="17" t="inlineStr">
        <is>
          <t>1000</t>
        </is>
      </c>
      <c r="Q30" s="17" t="inlineStr">
        <is>
          <t>2</t>
        </is>
      </c>
      <c r="R30" s="17" t="inlineStr"/>
      <c r="S30" s="17" t="inlineStr"/>
      <c r="U30" s="15" t="inlineStr">
        <is>
          <t>INSERT INTO</t>
        </is>
      </c>
      <c r="V30" s="15" t="inlineStr">
        <is>
          <t>MNG_LIST_REF_TBL</t>
        </is>
      </c>
      <c r="W30" s="15" t="inlineStr">
        <is>
          <t>VALUES(</t>
        </is>
      </c>
      <c r="X30" s="15" t="inlineStr">
        <is>
          <t>16,27, '補足27','4',1000,'2','',''</t>
        </is>
      </c>
      <c r="Y30" s="15" t="inlineStr">
        <is>
          <t>);</t>
        </is>
      </c>
      <c r="AA30" s="18">
        <f>EXACT(TRIM(C30),L30&amp;"")</f>
        <v/>
      </c>
      <c r="AB30" s="18">
        <f>EXACT(TRIM(D30),M30&amp;"")</f>
        <v/>
      </c>
      <c r="AC30" s="18">
        <f>EXACT(TRIM(E30),"'"&amp;N30&amp;"'")</f>
        <v/>
      </c>
      <c r="AD30" s="18">
        <f>EXACT(TRIM(F30),"'"&amp;O30&amp;"'")</f>
        <v/>
      </c>
      <c r="AE30" s="18">
        <f>EXACT(TRIM(G30),P30&amp;"")</f>
        <v/>
      </c>
      <c r="AF30" s="18">
        <f>EXACT(TRIM(H30),"'"&amp;Q30&amp;"'")</f>
        <v/>
      </c>
      <c r="AG30" s="18">
        <f>EXACT(TRIM(I30),"'"&amp;R30&amp;"'")</f>
        <v/>
      </c>
      <c r="AH30" s="18">
        <f>EXACT(TRIM(J30),"'"&amp;S30&amp;"'")</f>
        <v/>
      </c>
      <c r="AI30" s="18">
        <f>AND(AA30:AH30)</f>
        <v/>
      </c>
      <c r="AJ30" s="19">
        <f>TRIM(IF(AA30,"",$AA$3&amp;" ")&amp;IF(AB30,"",$AB$3&amp;" ")&amp;IF(AC30,"",$AC$3&amp;" ")&amp;IF(AD30,"",$AD$3&amp;" ")&amp;IF(AE30,"",$AE$3&amp;" ")&amp;IF(AF30,"",$AF$3&amp;" ")&amp;IF(AG30,"",$AG$3&amp;" ")&amp;IF(AH30,"",$AH$3&amp;" "))</f>
        <v/>
      </c>
      <c r="AK30" s="18">
        <f>EXACT(SUBSTITUTE(A30," ",""),SUBSTITUTE(U30&amp;V30&amp;W30&amp;X30&amp;Y30," ",""))</f>
        <v/>
      </c>
    </row>
    <row r="31">
      <c r="A31" s="15" t="inlineStr">
        <is>
          <t>INSERT INTO MNG_LIST_REF_TBL VALUES(16 , 28 , '補足28', '4', 1000 , '2', '' , '');</t>
        </is>
      </c>
      <c r="B31" s="16" t="n"/>
      <c r="C31" s="15" t="inlineStr">
        <is>
          <t xml:space="preserve">16 </t>
        </is>
      </c>
      <c r="D31" s="15" t="inlineStr">
        <is>
          <t xml:space="preserve"> 28 </t>
        </is>
      </c>
      <c r="E31" s="15" t="inlineStr">
        <is>
          <t xml:space="preserve"> '補足28'</t>
        </is>
      </c>
      <c r="F31" s="15" t="inlineStr">
        <is>
          <t xml:space="preserve"> '4'</t>
        </is>
      </c>
      <c r="G31" s="15" t="inlineStr">
        <is>
          <t xml:space="preserve"> 1000 </t>
        </is>
      </c>
      <c r="H31" s="15" t="inlineStr">
        <is>
          <t xml:space="preserve"> '2'</t>
        </is>
      </c>
      <c r="I31" s="15" t="inlineStr">
        <is>
          <t xml:space="preserve"> '' </t>
        </is>
      </c>
      <c r="J31" s="15" t="inlineStr">
        <is>
          <t xml:space="preserve"> ''</t>
        </is>
      </c>
      <c r="L31" s="17" t="inlineStr">
        <is>
          <t>16</t>
        </is>
      </c>
      <c r="M31" s="17" t="inlineStr">
        <is>
          <t>28</t>
        </is>
      </c>
      <c r="N31" s="17" t="inlineStr">
        <is>
          <t>補足28</t>
        </is>
      </c>
      <c r="O31" s="17" t="inlineStr">
        <is>
          <t>4</t>
        </is>
      </c>
      <c r="P31" s="17" t="inlineStr">
        <is>
          <t>1000</t>
        </is>
      </c>
      <c r="Q31" s="17" t="inlineStr">
        <is>
          <t>2</t>
        </is>
      </c>
      <c r="R31" s="17" t="inlineStr"/>
      <c r="S31" s="17" t="inlineStr"/>
      <c r="U31" s="15" t="inlineStr">
        <is>
          <t>INSERT INTO</t>
        </is>
      </c>
      <c r="V31" s="15" t="inlineStr">
        <is>
          <t>MNG_LIST_REF_TBL</t>
        </is>
      </c>
      <c r="W31" s="15" t="inlineStr">
        <is>
          <t>VALUES(</t>
        </is>
      </c>
      <c r="X31" s="15" t="inlineStr">
        <is>
          <t>16,28, '補足28','4',1000,'2','',''</t>
        </is>
      </c>
      <c r="Y31" s="15" t="inlineStr">
        <is>
          <t>);</t>
        </is>
      </c>
      <c r="AA31" s="18">
        <f>EXACT(TRIM(C31),L31&amp;"")</f>
        <v/>
      </c>
      <c r="AB31" s="18">
        <f>EXACT(TRIM(D31),M31&amp;"")</f>
        <v/>
      </c>
      <c r="AC31" s="18">
        <f>EXACT(TRIM(E31),"'"&amp;N31&amp;"'")</f>
        <v/>
      </c>
      <c r="AD31" s="18">
        <f>EXACT(TRIM(F31),"'"&amp;O31&amp;"'")</f>
        <v/>
      </c>
      <c r="AE31" s="18">
        <f>EXACT(TRIM(G31),P31&amp;"")</f>
        <v/>
      </c>
      <c r="AF31" s="18">
        <f>EXACT(TRIM(H31),"'"&amp;Q31&amp;"'")</f>
        <v/>
      </c>
      <c r="AG31" s="18">
        <f>EXACT(TRIM(I31),"'"&amp;R31&amp;"'")</f>
        <v/>
      </c>
      <c r="AH31" s="18">
        <f>EXACT(TRIM(J31),"'"&amp;S31&amp;"'")</f>
        <v/>
      </c>
      <c r="AI31" s="18">
        <f>AND(AA31:AH31)</f>
        <v/>
      </c>
      <c r="AJ31" s="19">
        <f>TRIM(IF(AA31,"",$AA$3&amp;" ")&amp;IF(AB31,"",$AB$3&amp;" ")&amp;IF(AC31,"",$AC$3&amp;" ")&amp;IF(AD31,"",$AD$3&amp;" ")&amp;IF(AE31,"",$AE$3&amp;" ")&amp;IF(AF31,"",$AF$3&amp;" ")&amp;IF(AG31,"",$AG$3&amp;" ")&amp;IF(AH31,"",$AH$3&amp;" "))</f>
        <v/>
      </c>
      <c r="AK31" s="18">
        <f>EXACT(SUBSTITUTE(A31," ",""),SUBSTITUTE(U31&amp;V31&amp;W31&amp;X31&amp;Y31," ",""))</f>
        <v/>
      </c>
    </row>
    <row r="32">
      <c r="A32" s="15" t="inlineStr">
        <is>
          <t>INSERT INTO MNG_LIST_REF_TBL VALUES(16 , 29 , '補足29', '4', 1000 , '2', '' , '');</t>
        </is>
      </c>
      <c r="B32" s="16" t="n"/>
      <c r="C32" s="15" t="inlineStr">
        <is>
          <t xml:space="preserve">16 </t>
        </is>
      </c>
      <c r="D32" s="15" t="inlineStr">
        <is>
          <t xml:space="preserve"> 29 </t>
        </is>
      </c>
      <c r="E32" s="15" t="inlineStr">
        <is>
          <t xml:space="preserve"> '補足29'</t>
        </is>
      </c>
      <c r="F32" s="15" t="inlineStr">
        <is>
          <t xml:space="preserve"> '4'</t>
        </is>
      </c>
      <c r="G32" s="15" t="inlineStr">
        <is>
          <t xml:space="preserve"> 1000 </t>
        </is>
      </c>
      <c r="H32" s="15" t="inlineStr">
        <is>
          <t xml:space="preserve"> '2'</t>
        </is>
      </c>
      <c r="I32" s="15" t="inlineStr">
        <is>
          <t xml:space="preserve"> '' </t>
        </is>
      </c>
      <c r="J32" s="15" t="inlineStr">
        <is>
          <t xml:space="preserve"> ''</t>
        </is>
      </c>
      <c r="L32" s="17" t="inlineStr">
        <is>
          <t>16</t>
        </is>
      </c>
      <c r="M32" s="17" t="inlineStr">
        <is>
          <t>29</t>
        </is>
      </c>
      <c r="N32" s="17" t="inlineStr">
        <is>
          <t>補足29</t>
        </is>
      </c>
      <c r="O32" s="17" t="inlineStr">
        <is>
          <t>4</t>
        </is>
      </c>
      <c r="P32" s="17" t="inlineStr">
        <is>
          <t>1000</t>
        </is>
      </c>
      <c r="Q32" s="17" t="inlineStr">
        <is>
          <t>2</t>
        </is>
      </c>
      <c r="R32" s="17" t="inlineStr"/>
      <c r="S32" s="17" t="inlineStr"/>
      <c r="U32" s="15" t="inlineStr">
        <is>
          <t>INSERT INTO</t>
        </is>
      </c>
      <c r="V32" s="15" t="inlineStr">
        <is>
          <t>MNG_LIST_REF_TBL</t>
        </is>
      </c>
      <c r="W32" s="15" t="inlineStr">
        <is>
          <t>VALUES(</t>
        </is>
      </c>
      <c r="X32" s="15" t="inlineStr">
        <is>
          <t>16,29, '補足29','4',1000,'2','',''</t>
        </is>
      </c>
      <c r="Y32" s="15" t="inlineStr">
        <is>
          <t>);</t>
        </is>
      </c>
      <c r="AA32" s="18">
        <f>EXACT(TRIM(C32),L32&amp;"")</f>
        <v/>
      </c>
      <c r="AB32" s="18">
        <f>EXACT(TRIM(D32),M32&amp;"")</f>
        <v/>
      </c>
      <c r="AC32" s="18">
        <f>EXACT(TRIM(E32),"'"&amp;N32&amp;"'")</f>
        <v/>
      </c>
      <c r="AD32" s="18">
        <f>EXACT(TRIM(F32),"'"&amp;O32&amp;"'")</f>
        <v/>
      </c>
      <c r="AE32" s="18">
        <f>EXACT(TRIM(G32),P32&amp;"")</f>
        <v/>
      </c>
      <c r="AF32" s="18">
        <f>EXACT(TRIM(H32),"'"&amp;Q32&amp;"'")</f>
        <v/>
      </c>
      <c r="AG32" s="18">
        <f>EXACT(TRIM(I32),"'"&amp;R32&amp;"'")</f>
        <v/>
      </c>
      <c r="AH32" s="18">
        <f>EXACT(TRIM(J32),"'"&amp;S32&amp;"'")</f>
        <v/>
      </c>
      <c r="AI32" s="18">
        <f>AND(AA32:AH32)</f>
        <v/>
      </c>
      <c r="AJ32" s="19">
        <f>TRIM(IF(AA32,"",$AA$3&amp;" ")&amp;IF(AB32,"",$AB$3&amp;" ")&amp;IF(AC32,"",$AC$3&amp;" ")&amp;IF(AD32,"",$AD$3&amp;" ")&amp;IF(AE32,"",$AE$3&amp;" ")&amp;IF(AF32,"",$AF$3&amp;" ")&amp;IF(AG32,"",$AG$3&amp;" ")&amp;IF(AH32,"",$AH$3&amp;" "))</f>
        <v/>
      </c>
      <c r="AK32" s="18">
        <f>EXACT(SUBSTITUTE(A32," ",""),SUBSTITUTE(U32&amp;V32&amp;W32&amp;X32&amp;Y32," ",""))</f>
        <v/>
      </c>
    </row>
    <row r="33">
      <c r="A33" s="15" t="inlineStr">
        <is>
          <t>INSERT INTO MNG_LIST_REF_TBL VALUES(16 , 30 , '補足30', '4', 1000 , '2', '' , '');</t>
        </is>
      </c>
      <c r="B33" s="16" t="n"/>
      <c r="C33" s="15" t="inlineStr">
        <is>
          <t xml:space="preserve">16 </t>
        </is>
      </c>
      <c r="D33" s="15" t="inlineStr">
        <is>
          <t xml:space="preserve"> 30 </t>
        </is>
      </c>
      <c r="E33" s="15" t="inlineStr">
        <is>
          <t xml:space="preserve"> '補足30'</t>
        </is>
      </c>
      <c r="F33" s="15" t="inlineStr">
        <is>
          <t xml:space="preserve"> '4'</t>
        </is>
      </c>
      <c r="G33" s="15" t="inlineStr">
        <is>
          <t xml:space="preserve"> 1000 </t>
        </is>
      </c>
      <c r="H33" s="15" t="inlineStr">
        <is>
          <t xml:space="preserve"> '2'</t>
        </is>
      </c>
      <c r="I33" s="15" t="inlineStr">
        <is>
          <t xml:space="preserve"> '' </t>
        </is>
      </c>
      <c r="J33" s="15" t="inlineStr">
        <is>
          <t xml:space="preserve"> ''</t>
        </is>
      </c>
      <c r="L33" s="17" t="inlineStr">
        <is>
          <t>16</t>
        </is>
      </c>
      <c r="M33" s="17" t="inlineStr">
        <is>
          <t>30</t>
        </is>
      </c>
      <c r="N33" s="17" t="inlineStr">
        <is>
          <t>補足30</t>
        </is>
      </c>
      <c r="O33" s="17" t="inlineStr">
        <is>
          <t>4</t>
        </is>
      </c>
      <c r="P33" s="17" t="inlineStr">
        <is>
          <t>1000</t>
        </is>
      </c>
      <c r="Q33" s="17" t="inlineStr">
        <is>
          <t>2</t>
        </is>
      </c>
      <c r="R33" s="17" t="inlineStr"/>
      <c r="S33" s="17" t="inlineStr"/>
      <c r="U33" s="15" t="inlineStr">
        <is>
          <t>INSERT INTO</t>
        </is>
      </c>
      <c r="V33" s="15" t="inlineStr">
        <is>
          <t>MNG_LIST_REF_TBL</t>
        </is>
      </c>
      <c r="W33" s="15" t="inlineStr">
        <is>
          <t>VALUES(</t>
        </is>
      </c>
      <c r="X33" s="15" t="inlineStr">
        <is>
          <t>16,30, '補足30','4',1000,'2','',''</t>
        </is>
      </c>
      <c r="Y33" s="15" t="inlineStr">
        <is>
          <t>);</t>
        </is>
      </c>
      <c r="AA33" s="18">
        <f>EXACT(TRIM(C33),L33&amp;"")</f>
        <v/>
      </c>
      <c r="AB33" s="18">
        <f>EXACT(TRIM(D33),M33&amp;"")</f>
        <v/>
      </c>
      <c r="AC33" s="18">
        <f>EXACT(TRIM(E33),"'"&amp;N33&amp;"'")</f>
        <v/>
      </c>
      <c r="AD33" s="18">
        <f>EXACT(TRIM(F33),"'"&amp;O33&amp;"'")</f>
        <v/>
      </c>
      <c r="AE33" s="18">
        <f>EXACT(TRIM(G33),P33&amp;"")</f>
        <v/>
      </c>
      <c r="AF33" s="18">
        <f>EXACT(TRIM(H33),"'"&amp;Q33&amp;"'")</f>
        <v/>
      </c>
      <c r="AG33" s="18">
        <f>EXACT(TRIM(I33),"'"&amp;R33&amp;"'")</f>
        <v/>
      </c>
      <c r="AH33" s="18">
        <f>EXACT(TRIM(J33),"'"&amp;S33&amp;"'")</f>
        <v/>
      </c>
      <c r="AI33" s="18">
        <f>AND(AA33:AH33)</f>
        <v/>
      </c>
      <c r="AJ33" s="19">
        <f>TRIM(IF(AA33,"",$AA$3&amp;" ")&amp;IF(AB33,"",$AB$3&amp;" ")&amp;IF(AC33,"",$AC$3&amp;" ")&amp;IF(AD33,"",$AD$3&amp;" ")&amp;IF(AE33,"",$AE$3&amp;" ")&amp;IF(AF33,"",$AF$3&amp;" ")&amp;IF(AG33,"",$AG$3&amp;" ")&amp;IF(AH33,"",$AH$3&amp;" "))</f>
        <v/>
      </c>
      <c r="AK33" s="18">
        <f>EXACT(SUBSTITUTE(A33," ",""),SUBSTITUTE(U33&amp;V33&amp;W33&amp;X33&amp;Y33," ",""))</f>
        <v/>
      </c>
    </row>
  </sheetData>
  <autoFilter ref="A3:AN33"/>
  <mergeCells count="9">
    <mergeCell ref="A1:J1"/>
    <mergeCell ref="AM2:AN2"/>
    <mergeCell ref="L2:S2"/>
    <mergeCell ref="U2:Y2"/>
    <mergeCell ref="C2:J2"/>
    <mergeCell ref="AA1:AK1"/>
    <mergeCell ref="L1:Y1"/>
    <mergeCell ref="AA2:AJ2"/>
    <mergeCell ref="AM1:A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N27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" customWidth="1" min="20" max="20"/>
    <col width="11" customWidth="1" min="21" max="21"/>
    <col width="11" customWidth="1" min="22" max="22"/>
    <col width="11" customWidth="1" min="23" max="23"/>
    <col width="62" customWidth="1" min="24" max="24"/>
    <col width="11" customWidth="1" min="25" max="25"/>
    <col width="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24" customWidth="1" min="36" max="36"/>
    <col width="11" customWidth="1" min="37" max="37"/>
    <col width="2" customWidth="1" min="38" max="38"/>
    <col width="8" customWidth="1" min="39" max="39"/>
    <col width="30" customWidth="1" min="40" max="40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4" t="inlineStr">
        <is>
          <t>②③ マスタ定義書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5" t="inlineStr">
        <is>
          <t>突合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6" t="inlineStr">
        <is>
          <t>確認結果（記入欄）</t>
        </is>
      </c>
      <c r="AN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2" t="n"/>
      <c r="I2" s="2" t="n"/>
      <c r="J2" s="3" t="n"/>
      <c r="L2" s="4" t="inlineStr">
        <is>
          <t>横浜銀行様用出荷設定</t>
        </is>
      </c>
      <c r="M2" s="2" t="n"/>
      <c r="N2" s="2" t="n"/>
      <c r="O2" s="2" t="n"/>
      <c r="P2" s="2" t="n"/>
      <c r="Q2" s="2" t="n"/>
      <c r="R2" s="2" t="n"/>
      <c r="S2" s="3" t="n"/>
      <c r="U2" s="8" t="inlineStr">
        <is>
          <t>SQL</t>
        </is>
      </c>
      <c r="V2" s="2" t="n"/>
      <c r="W2" s="2" t="n"/>
      <c r="X2" s="2" t="n"/>
      <c r="Y2" s="3" t="n"/>
      <c r="AA2" s="5" t="inlineStr">
        <is>
          <t>①②の突合（項目ごと）</t>
        </is>
      </c>
      <c r="AB2" s="2" t="n"/>
      <c r="AC2" s="2" t="n"/>
      <c r="AD2" s="2" t="n"/>
      <c r="AE2" s="2" t="n"/>
      <c r="AF2" s="2" t="n"/>
      <c r="AG2" s="2" t="n"/>
      <c r="AH2" s="2" t="n"/>
      <c r="AI2" s="2" t="n"/>
      <c r="AJ2" s="3" t="n"/>
      <c r="AK2" s="5" t="inlineStr">
        <is>
          <t>①③の突合</t>
        </is>
      </c>
      <c r="AM2" s="6" t="inlineStr">
        <is>
          <t>確認結果</t>
        </is>
      </c>
      <c r="AN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I3" s="10" t="inlineStr">
        <is>
          <t>区切7</t>
        </is>
      </c>
      <c r="J3" s="10" t="inlineStr">
        <is>
          <t>区切8</t>
        </is>
      </c>
      <c r="L3" s="11" t="inlineStr">
        <is>
          <t>LST_ID</t>
        </is>
      </c>
      <c r="M3" s="11" t="inlineStr">
        <is>
          <t>SUB_NO</t>
        </is>
      </c>
      <c r="N3" s="11" t="inlineStr">
        <is>
          <t>LOGICAL_NAME</t>
        </is>
      </c>
      <c r="O3" s="11" t="inlineStr">
        <is>
          <t>PHYSICAL_NAME</t>
        </is>
      </c>
      <c r="P3" s="11" t="inlineStr">
        <is>
          <t>CHECK_FLG</t>
        </is>
      </c>
      <c r="Q3" s="11" t="inlineStr">
        <is>
          <t>DIGITS</t>
        </is>
      </c>
      <c r="R3" s="11" t="inlineStr">
        <is>
          <t>TYPE_OF_TEXT</t>
        </is>
      </c>
      <c r="S3" s="11" t="inlineStr">
        <is>
          <t>DSP_ORDER</t>
        </is>
      </c>
      <c r="U3" s="12" t="inlineStr">
        <is>
          <t>固定</t>
        </is>
      </c>
      <c r="V3" s="12" t="inlineStr">
        <is>
          <t>固定</t>
        </is>
      </c>
      <c r="W3" s="12" t="inlineStr">
        <is>
          <t>固定</t>
        </is>
      </c>
      <c r="X3" s="12" t="inlineStr">
        <is>
          <t>数式</t>
        </is>
      </c>
      <c r="Y3" s="12" t="inlineStr">
        <is>
          <t>固定</t>
        </is>
      </c>
      <c r="AA3" s="13" t="inlineStr">
        <is>
          <t>LST_ID</t>
        </is>
      </c>
      <c r="AB3" s="13" t="inlineStr">
        <is>
          <t>SUB_NO</t>
        </is>
      </c>
      <c r="AC3" s="13" t="inlineStr">
        <is>
          <t>LOGICAL_NAME</t>
        </is>
      </c>
      <c r="AD3" s="13" t="inlineStr">
        <is>
          <t>PHYSICAL_NAME</t>
        </is>
      </c>
      <c r="AE3" s="13" t="inlineStr">
        <is>
          <t>CHECK_FLG</t>
        </is>
      </c>
      <c r="AF3" s="13" t="inlineStr">
        <is>
          <t>DIGITS</t>
        </is>
      </c>
      <c r="AG3" s="13" t="inlineStr">
        <is>
          <t>TYPE_OF_TEXT</t>
        </is>
      </c>
      <c r="AH3" s="13" t="inlineStr">
        <is>
          <t>DSP_ORDER</t>
        </is>
      </c>
      <c r="AI3" s="13" t="inlineStr">
        <is>
          <t>全項目一致</t>
        </is>
      </c>
      <c r="AJ3" s="13" t="inlineStr">
        <is>
          <t>相違した項目</t>
        </is>
      </c>
      <c r="AK3" s="13" t="inlineStr">
        <is>
          <t>SQL文一致</t>
        </is>
      </c>
      <c r="AM3" s="14" t="inlineStr">
        <is>
          <t>判定</t>
        </is>
      </c>
      <c r="AN3" s="14" t="inlineStr">
        <is>
          <t>備考</t>
        </is>
      </c>
    </row>
    <row r="4">
      <c r="A4" s="15" t="inlineStr">
        <is>
          <t>INSERT INTO MNG_LIST_SEARCH_ITEM_TBL VALUES(16,1, 'レコード番号','RECORDID','',NULL,'',1);</t>
        </is>
      </c>
      <c r="B4" s="16" t="n"/>
      <c r="C4" s="15" t="inlineStr">
        <is>
          <t>16</t>
        </is>
      </c>
      <c r="D4" s="15" t="inlineStr">
        <is>
          <t>1</t>
        </is>
      </c>
      <c r="E4" s="15" t="inlineStr">
        <is>
          <t xml:space="preserve"> 'レコード番号'</t>
        </is>
      </c>
      <c r="F4" s="15" t="inlineStr">
        <is>
          <t>'RECORDID'</t>
        </is>
      </c>
      <c r="G4" s="15" t="inlineStr">
        <is>
          <t>''</t>
        </is>
      </c>
      <c r="H4" s="15" t="inlineStr">
        <is>
          <t>NULL</t>
        </is>
      </c>
      <c r="I4" s="15" t="inlineStr">
        <is>
          <t>''</t>
        </is>
      </c>
      <c r="J4" s="15" t="inlineStr">
        <is>
          <t>1</t>
        </is>
      </c>
      <c r="L4" s="17" t="inlineStr">
        <is>
          <t>16</t>
        </is>
      </c>
      <c r="M4" s="17" t="inlineStr">
        <is>
          <t>1</t>
        </is>
      </c>
      <c r="N4" s="17" t="inlineStr">
        <is>
          <t>レコード番号</t>
        </is>
      </c>
      <c r="O4" s="17" t="inlineStr">
        <is>
          <t>RECORDID</t>
        </is>
      </c>
      <c r="P4" s="17" t="inlineStr"/>
      <c r="Q4" s="17" t="inlineStr">
        <is>
          <t>NULL</t>
        </is>
      </c>
      <c r="R4" s="17" t="inlineStr"/>
      <c r="S4" s="17" t="inlineStr">
        <is>
          <t>1</t>
        </is>
      </c>
      <c r="U4" s="15" t="inlineStr">
        <is>
          <t>INSERT INTO</t>
        </is>
      </c>
      <c r="V4" s="15" t="inlineStr">
        <is>
          <t>MNG_LIST_SEARCH_ITEM_TBL</t>
        </is>
      </c>
      <c r="W4" s="15" t="inlineStr">
        <is>
          <t>VALUES(</t>
        </is>
      </c>
      <c r="X4" s="15" t="inlineStr">
        <is>
          <t>16,1, 'レコード番号','RECORDID','',NULL,'',1</t>
        </is>
      </c>
      <c r="Y4" s="15" t="inlineStr">
        <is>
          <t>);</t>
        </is>
      </c>
      <c r="AA4" s="18">
        <f>EXACT(TRIM(C4),L4&amp;"")</f>
        <v/>
      </c>
      <c r="AB4" s="18">
        <f>EXACT(TRIM(D4),M4&amp;"")</f>
        <v/>
      </c>
      <c r="AC4" s="18">
        <f>EXACT(TRIM(E4),"'"&amp;N4&amp;"'")</f>
        <v/>
      </c>
      <c r="AD4" s="18">
        <f>EXACT(TRIM(F4),"'"&amp;O4&amp;"'")</f>
        <v/>
      </c>
      <c r="AE4" s="18">
        <f>EXACT(TRIM(G4),"'"&amp;P4&amp;"'")</f>
        <v/>
      </c>
      <c r="AF4" s="18">
        <f>EXACT(TRIM(H4),Q4&amp;"")</f>
        <v/>
      </c>
      <c r="AG4" s="18">
        <f>EXACT(TRIM(I4),"'"&amp;R4&amp;"'")</f>
        <v/>
      </c>
      <c r="AH4" s="18">
        <f>EXACT(TRIM(J4),S4&amp;"")</f>
        <v/>
      </c>
      <c r="AI4" s="18">
        <f>AND(AA4:AH4)</f>
        <v/>
      </c>
      <c r="AJ4" s="19">
        <f>TRIM(IF(AA4,"",$AA$3&amp;" ")&amp;IF(AB4,"",$AB$3&amp;" ")&amp;IF(AC4,"",$AC$3&amp;" ")&amp;IF(AD4,"",$AD$3&amp;" ")&amp;IF(AE4,"",$AE$3&amp;" ")&amp;IF(AF4,"",$AF$3&amp;" ")&amp;IF(AG4,"",$AG$3&amp;" ")&amp;IF(AH4,"",$AH$3&amp;" "))</f>
        <v/>
      </c>
      <c r="AK4" s="18">
        <f>EXACT(SUBSTITUTE(A4," ",""),SUBSTITUTE(U4&amp;V4&amp;W4&amp;X4&amp;Y4," ",""))</f>
        <v/>
      </c>
    </row>
    <row r="5">
      <c r="A5" s="15" t="inlineStr">
        <is>
          <t>INSERT INTO MNG_LIST_SEARCH_ITEM_TBL VALUES(16,2, 'タイプ','TYPE','',NULL,'',2);</t>
        </is>
      </c>
      <c r="B5" s="16" t="n"/>
      <c r="C5" s="15" t="inlineStr">
        <is>
          <t>16</t>
        </is>
      </c>
      <c r="D5" s="15" t="inlineStr">
        <is>
          <t>2</t>
        </is>
      </c>
      <c r="E5" s="15" t="inlineStr">
        <is>
          <t xml:space="preserve"> 'タイプ'</t>
        </is>
      </c>
      <c r="F5" s="15" t="inlineStr">
        <is>
          <t>'TYPE'</t>
        </is>
      </c>
      <c r="G5" s="15" t="inlineStr">
        <is>
          <t>''</t>
        </is>
      </c>
      <c r="H5" s="15" t="inlineStr">
        <is>
          <t>NULL</t>
        </is>
      </c>
      <c r="I5" s="15" t="inlineStr">
        <is>
          <t>''</t>
        </is>
      </c>
      <c r="J5" s="15" t="inlineStr">
        <is>
          <t>2</t>
        </is>
      </c>
      <c r="L5" s="17" t="inlineStr">
        <is>
          <t>16</t>
        </is>
      </c>
      <c r="M5" s="17" t="inlineStr">
        <is>
          <t>2</t>
        </is>
      </c>
      <c r="N5" s="17" t="inlineStr">
        <is>
          <t>タイプ</t>
        </is>
      </c>
      <c r="O5" s="17" t="inlineStr">
        <is>
          <t>TYPE</t>
        </is>
      </c>
      <c r="P5" s="17" t="inlineStr"/>
      <c r="Q5" s="17" t="inlineStr">
        <is>
          <t>NULL</t>
        </is>
      </c>
      <c r="R5" s="17" t="inlineStr"/>
      <c r="S5" s="17" t="inlineStr">
        <is>
          <t>2</t>
        </is>
      </c>
      <c r="U5" s="15" t="inlineStr">
        <is>
          <t>INSERT INTO</t>
        </is>
      </c>
      <c r="V5" s="15" t="inlineStr">
        <is>
          <t>MNG_LIST_SEARCH_ITEM_TBL</t>
        </is>
      </c>
      <c r="W5" s="15" t="inlineStr">
        <is>
          <t>VALUES(</t>
        </is>
      </c>
      <c r="X5" s="15" t="inlineStr">
        <is>
          <t>16,2, 'タイプ','TYPE','',NULL,'',2</t>
        </is>
      </c>
      <c r="Y5" s="15" t="inlineStr">
        <is>
          <t>);</t>
        </is>
      </c>
      <c r="AA5" s="18">
        <f>EXACT(TRIM(C5),L5&amp;"")</f>
        <v/>
      </c>
      <c r="AB5" s="18">
        <f>EXACT(TRIM(D5),M5&amp;"")</f>
        <v/>
      </c>
      <c r="AC5" s="18">
        <f>EXACT(TRIM(E5),"'"&amp;N5&amp;"'")</f>
        <v/>
      </c>
      <c r="AD5" s="18">
        <f>EXACT(TRIM(F5),"'"&amp;O5&amp;"'")</f>
        <v/>
      </c>
      <c r="AE5" s="18">
        <f>EXACT(TRIM(G5),"'"&amp;P5&amp;"'")</f>
        <v/>
      </c>
      <c r="AF5" s="18">
        <f>EXACT(TRIM(H5),Q5&amp;"")</f>
        <v/>
      </c>
      <c r="AG5" s="18">
        <f>EXACT(TRIM(I5),"'"&amp;R5&amp;"'")</f>
        <v/>
      </c>
      <c r="AH5" s="18">
        <f>EXACT(TRIM(J5),S5&amp;"")</f>
        <v/>
      </c>
      <c r="AI5" s="18">
        <f>AND(AA5:AH5)</f>
        <v/>
      </c>
      <c r="AJ5" s="19">
        <f>TRIM(IF(AA5,"",$AA$3&amp;" ")&amp;IF(AB5,"",$AB$3&amp;" ")&amp;IF(AC5,"",$AC$3&amp;" ")&amp;IF(AD5,"",$AD$3&amp;" ")&amp;IF(AE5,"",$AE$3&amp;" ")&amp;IF(AF5,"",$AF$3&amp;" ")&amp;IF(AG5,"",$AG$3&amp;" ")&amp;IF(AH5,"",$AH$3&amp;" "))</f>
        <v/>
      </c>
      <c r="AK5" s="18">
        <f>EXACT(SUBSTITUTE(A5," ",""),SUBSTITUTE(U5&amp;V5&amp;W5&amp;X5&amp;Y5," ",""))</f>
        <v/>
      </c>
    </row>
    <row r="6">
      <c r="A6" s="15" t="inlineStr">
        <is>
          <t>INSERT INTO MNG_LIST_SEARCH_ITEM_TBL VALUES(16,3, '名称','NAME','',NULL,'',3);</t>
        </is>
      </c>
      <c r="B6" s="16" t="n"/>
      <c r="C6" s="15" t="inlineStr">
        <is>
          <t>16</t>
        </is>
      </c>
      <c r="D6" s="15" t="inlineStr">
        <is>
          <t>3</t>
        </is>
      </c>
      <c r="E6" s="15" t="inlineStr">
        <is>
          <t xml:space="preserve"> '名称'</t>
        </is>
      </c>
      <c r="F6" s="15" t="inlineStr">
        <is>
          <t>'NAME'</t>
        </is>
      </c>
      <c r="G6" s="15" t="inlineStr">
        <is>
          <t>''</t>
        </is>
      </c>
      <c r="H6" s="15" t="inlineStr">
        <is>
          <t>NULL</t>
        </is>
      </c>
      <c r="I6" s="15" t="inlineStr">
        <is>
          <t>''</t>
        </is>
      </c>
      <c r="J6" s="15" t="inlineStr">
        <is>
          <t>3</t>
        </is>
      </c>
      <c r="L6" s="17" t="inlineStr">
        <is>
          <t>16</t>
        </is>
      </c>
      <c r="M6" s="17" t="inlineStr">
        <is>
          <t>3</t>
        </is>
      </c>
      <c r="N6" s="17" t="inlineStr">
        <is>
          <t>名称</t>
        </is>
      </c>
      <c r="O6" s="17" t="inlineStr">
        <is>
          <t>NAME</t>
        </is>
      </c>
      <c r="P6" s="17" t="inlineStr"/>
      <c r="Q6" s="17" t="inlineStr">
        <is>
          <t>NULL</t>
        </is>
      </c>
      <c r="R6" s="17" t="inlineStr"/>
      <c r="S6" s="17" t="inlineStr">
        <is>
          <t>3</t>
        </is>
      </c>
      <c r="U6" s="15" t="inlineStr">
        <is>
          <t>INSERT INTO</t>
        </is>
      </c>
      <c r="V6" s="15" t="inlineStr">
        <is>
          <t>MNG_LIST_SEARCH_ITEM_TBL</t>
        </is>
      </c>
      <c r="W6" s="15" t="inlineStr">
        <is>
          <t>VALUES(</t>
        </is>
      </c>
      <c r="X6" s="15" t="inlineStr">
        <is>
          <t>16,3, '名称','NAME','',NULL,'',3</t>
        </is>
      </c>
      <c r="Y6" s="15" t="inlineStr">
        <is>
          <t>);</t>
        </is>
      </c>
      <c r="AA6" s="18">
        <f>EXACT(TRIM(C6),L6&amp;"")</f>
        <v/>
      </c>
      <c r="AB6" s="18">
        <f>EXACT(TRIM(D6),M6&amp;"")</f>
        <v/>
      </c>
      <c r="AC6" s="18">
        <f>EXACT(TRIM(E6),"'"&amp;N6&amp;"'")</f>
        <v/>
      </c>
      <c r="AD6" s="18">
        <f>EXACT(TRIM(F6),"'"&amp;O6&amp;"'")</f>
        <v/>
      </c>
      <c r="AE6" s="18">
        <f>EXACT(TRIM(G6),"'"&amp;P6&amp;"'")</f>
        <v/>
      </c>
      <c r="AF6" s="18">
        <f>EXACT(TRIM(H6),Q6&amp;"")</f>
        <v/>
      </c>
      <c r="AG6" s="18">
        <f>EXACT(TRIM(I6),"'"&amp;R6&amp;"'")</f>
        <v/>
      </c>
      <c r="AH6" s="18">
        <f>EXACT(TRIM(J6),S6&amp;"")</f>
        <v/>
      </c>
      <c r="AI6" s="18">
        <f>AND(AA6:AH6)</f>
        <v/>
      </c>
      <c r="AJ6" s="19">
        <f>TRIM(IF(AA6,"",$AA$3&amp;" ")&amp;IF(AB6,"",$AB$3&amp;" ")&amp;IF(AC6,"",$AC$3&amp;" ")&amp;IF(AD6,"",$AD$3&amp;" ")&amp;IF(AE6,"",$AE$3&amp;" ")&amp;IF(AF6,"",$AF$3&amp;" ")&amp;IF(AG6,"",$AG$3&amp;" ")&amp;IF(AH6,"",$AH$3&amp;" "))</f>
        <v/>
      </c>
      <c r="AK6" s="18">
        <f>EXACT(SUBSTITUTE(A6," ",""),SUBSTITUTE(U6&amp;V6&amp;W6&amp;X6&amp;Y6," ",""))</f>
        <v/>
      </c>
    </row>
    <row r="7">
      <c r="A7" s="15" t="inlineStr">
        <is>
          <t>INSERT INTO MNG_LIST_SEARCH_ITEM_TBL VALUES(16,4, '別称','NAME_SYNONYM','',NULL,'',4);</t>
        </is>
      </c>
      <c r="B7" s="16" t="n"/>
      <c r="C7" s="15" t="inlineStr">
        <is>
          <t>16</t>
        </is>
      </c>
      <c r="D7" s="15" t="inlineStr">
        <is>
          <t>4</t>
        </is>
      </c>
      <c r="E7" s="15" t="inlineStr">
        <is>
          <t xml:space="preserve"> '別称'</t>
        </is>
      </c>
      <c r="F7" s="15" t="inlineStr">
        <is>
          <t>'NAME_SYNONYM'</t>
        </is>
      </c>
      <c r="G7" s="15" t="inlineStr">
        <is>
          <t>''</t>
        </is>
      </c>
      <c r="H7" s="15" t="inlineStr">
        <is>
          <t>NULL</t>
        </is>
      </c>
      <c r="I7" s="15" t="inlineStr">
        <is>
          <t>''</t>
        </is>
      </c>
      <c r="J7" s="15" t="inlineStr">
        <is>
          <t>4</t>
        </is>
      </c>
      <c r="L7" s="17" t="inlineStr">
        <is>
          <t>16</t>
        </is>
      </c>
      <c r="M7" s="17" t="inlineStr">
        <is>
          <t>4</t>
        </is>
      </c>
      <c r="N7" s="17" t="inlineStr">
        <is>
          <t>別称</t>
        </is>
      </c>
      <c r="O7" s="17" t="inlineStr">
        <is>
          <t>NAME_SYNONYM</t>
        </is>
      </c>
      <c r="P7" s="17" t="inlineStr"/>
      <c r="Q7" s="17" t="inlineStr">
        <is>
          <t>NULL</t>
        </is>
      </c>
      <c r="R7" s="17" t="inlineStr"/>
      <c r="S7" s="17" t="inlineStr">
        <is>
          <t>4</t>
        </is>
      </c>
      <c r="U7" s="15" t="inlineStr">
        <is>
          <t>INSERT INTO</t>
        </is>
      </c>
      <c r="V7" s="15" t="inlineStr">
        <is>
          <t>MNG_LIST_SEARCH_ITEM_TBL</t>
        </is>
      </c>
      <c r="W7" s="15" t="inlineStr">
        <is>
          <t>VALUES(</t>
        </is>
      </c>
      <c r="X7" s="15" t="inlineStr">
        <is>
          <t>16,4, '別称','NAME_SYNONYM','',NULL,'',4</t>
        </is>
      </c>
      <c r="Y7" s="15" t="inlineStr">
        <is>
          <t>);</t>
        </is>
      </c>
      <c r="AA7" s="18">
        <f>EXACT(TRIM(C7),L7&amp;"")</f>
        <v/>
      </c>
      <c r="AB7" s="18">
        <f>EXACT(TRIM(D7),M7&amp;"")</f>
        <v/>
      </c>
      <c r="AC7" s="18">
        <f>EXACT(TRIM(E7),"'"&amp;N7&amp;"'")</f>
        <v/>
      </c>
      <c r="AD7" s="18">
        <f>EXACT(TRIM(F7),"'"&amp;O7&amp;"'")</f>
        <v/>
      </c>
      <c r="AE7" s="18">
        <f>EXACT(TRIM(G7),"'"&amp;P7&amp;"'")</f>
        <v/>
      </c>
      <c r="AF7" s="18">
        <f>EXACT(TRIM(H7),Q7&amp;"")</f>
        <v/>
      </c>
      <c r="AG7" s="18">
        <f>EXACT(TRIM(I7),"'"&amp;R7&amp;"'")</f>
        <v/>
      </c>
      <c r="AH7" s="18">
        <f>EXACT(TRIM(J7),S7&amp;"")</f>
        <v/>
      </c>
      <c r="AI7" s="18">
        <f>AND(AA7:AH7)</f>
        <v/>
      </c>
      <c r="AJ7" s="19">
        <f>TRIM(IF(AA7,"",$AA$3&amp;" ")&amp;IF(AB7,"",$AB$3&amp;" ")&amp;IF(AC7,"",$AC$3&amp;" ")&amp;IF(AD7,"",$AD$3&amp;" ")&amp;IF(AE7,"",$AE$3&amp;" ")&amp;IF(AF7,"",$AF$3&amp;" ")&amp;IF(AG7,"",$AG$3&amp;" ")&amp;IF(AH7,"",$AH$3&amp;" "))</f>
        <v/>
      </c>
      <c r="AK7" s="18">
        <f>EXACT(SUBSTITUTE(A7," ",""),SUBSTITUTE(U7&amp;V7&amp;W7&amp;X7&amp;Y7," ",""))</f>
        <v/>
      </c>
    </row>
    <row r="8">
      <c r="A8" s="15" t="inlineStr">
        <is>
          <t>INSERT INTO MNG_LIST_SEARCH_ITEM_TBL VALUES(16,5, '住所2','ADDRESS2','',NULL,'',5);</t>
        </is>
      </c>
      <c r="B8" s="16" t="n"/>
      <c r="C8" s="15" t="inlineStr">
        <is>
          <t>16</t>
        </is>
      </c>
      <c r="D8" s="15" t="inlineStr">
        <is>
          <t>5</t>
        </is>
      </c>
      <c r="E8" s="15" t="inlineStr">
        <is>
          <t xml:space="preserve"> '住所2'</t>
        </is>
      </c>
      <c r="F8" s="15" t="inlineStr">
        <is>
          <t>'ADDRESS2'</t>
        </is>
      </c>
      <c r="G8" s="15" t="inlineStr">
        <is>
          <t>''</t>
        </is>
      </c>
      <c r="H8" s="15" t="inlineStr">
        <is>
          <t>NULL</t>
        </is>
      </c>
      <c r="I8" s="15" t="inlineStr">
        <is>
          <t>''</t>
        </is>
      </c>
      <c r="J8" s="15" t="inlineStr">
        <is>
          <t>5</t>
        </is>
      </c>
      <c r="L8" s="17" t="inlineStr">
        <is>
          <t>16</t>
        </is>
      </c>
      <c r="M8" s="17" t="inlineStr">
        <is>
          <t>5</t>
        </is>
      </c>
      <c r="N8" s="17" t="inlineStr">
        <is>
          <t>住所2</t>
        </is>
      </c>
      <c r="O8" s="17" t="inlineStr">
        <is>
          <t>ADDRESS2</t>
        </is>
      </c>
      <c r="P8" s="17" t="inlineStr"/>
      <c r="Q8" s="17" t="inlineStr">
        <is>
          <t>NULL</t>
        </is>
      </c>
      <c r="R8" s="17" t="inlineStr"/>
      <c r="S8" s="17" t="inlineStr">
        <is>
          <t>5</t>
        </is>
      </c>
      <c r="U8" s="15" t="inlineStr">
        <is>
          <t>INSERT INTO</t>
        </is>
      </c>
      <c r="V8" s="15" t="inlineStr">
        <is>
          <t>MNG_LIST_SEARCH_ITEM_TBL</t>
        </is>
      </c>
      <c r="W8" s="15" t="inlineStr">
        <is>
          <t>VALUES(</t>
        </is>
      </c>
      <c r="X8" s="15" t="inlineStr">
        <is>
          <t>16,5, '住所2','ADDRESS2','',NULL,'',5</t>
        </is>
      </c>
      <c r="Y8" s="15" t="inlineStr">
        <is>
          <t>);</t>
        </is>
      </c>
      <c r="AA8" s="18">
        <f>EXACT(TRIM(C8),L8&amp;"")</f>
        <v/>
      </c>
      <c r="AB8" s="18">
        <f>EXACT(TRIM(D8),M8&amp;"")</f>
        <v/>
      </c>
      <c r="AC8" s="18">
        <f>EXACT(TRIM(E8),"'"&amp;N8&amp;"'")</f>
        <v/>
      </c>
      <c r="AD8" s="18">
        <f>EXACT(TRIM(F8),"'"&amp;O8&amp;"'")</f>
        <v/>
      </c>
      <c r="AE8" s="18">
        <f>EXACT(TRIM(G8),"'"&amp;P8&amp;"'")</f>
        <v/>
      </c>
      <c r="AF8" s="18">
        <f>EXACT(TRIM(H8),Q8&amp;"")</f>
        <v/>
      </c>
      <c r="AG8" s="18">
        <f>EXACT(TRIM(I8),"'"&amp;R8&amp;"'")</f>
        <v/>
      </c>
      <c r="AH8" s="18">
        <f>EXACT(TRIM(J8),S8&amp;"")</f>
        <v/>
      </c>
      <c r="AI8" s="18">
        <f>AND(AA8:AH8)</f>
        <v/>
      </c>
      <c r="AJ8" s="19">
        <f>TRIM(IF(AA8,"",$AA$3&amp;" ")&amp;IF(AB8,"",$AB$3&amp;" ")&amp;IF(AC8,"",$AC$3&amp;" ")&amp;IF(AD8,"",$AD$3&amp;" ")&amp;IF(AE8,"",$AE$3&amp;" ")&amp;IF(AF8,"",$AF$3&amp;" ")&amp;IF(AG8,"",$AG$3&amp;" ")&amp;IF(AH8,"",$AH$3&amp;" "))</f>
        <v/>
      </c>
      <c r="AK8" s="18">
        <f>EXACT(SUBSTITUTE(A8," ",""),SUBSTITUTE(U8&amp;V8&amp;W8&amp;X8&amp;Y8," ",""))</f>
        <v/>
      </c>
    </row>
    <row r="9">
      <c r="A9" s="15" t="inlineStr">
        <is>
          <t>INSERT INTO MNG_LIST_SEARCH_ITEM_TBL VALUES(16,6, '都市','CITY','',NULL,'',6);</t>
        </is>
      </c>
      <c r="B9" s="16" t="n"/>
      <c r="C9" s="15" t="inlineStr">
        <is>
          <t>16</t>
        </is>
      </c>
      <c r="D9" s="15" t="inlineStr">
        <is>
          <t>6</t>
        </is>
      </c>
      <c r="E9" s="15" t="inlineStr">
        <is>
          <t xml:space="preserve"> '都市'</t>
        </is>
      </c>
      <c r="F9" s="15" t="inlineStr">
        <is>
          <t>'CITY'</t>
        </is>
      </c>
      <c r="G9" s="15" t="inlineStr">
        <is>
          <t>''</t>
        </is>
      </c>
      <c r="H9" s="15" t="inlineStr">
        <is>
          <t>NULL</t>
        </is>
      </c>
      <c r="I9" s="15" t="inlineStr">
        <is>
          <t>''</t>
        </is>
      </c>
      <c r="J9" s="15" t="inlineStr">
        <is>
          <t>6</t>
        </is>
      </c>
      <c r="L9" s="17" t="inlineStr">
        <is>
          <t>16</t>
        </is>
      </c>
      <c r="M9" s="17" t="inlineStr">
        <is>
          <t>6</t>
        </is>
      </c>
      <c r="N9" s="17" t="inlineStr">
        <is>
          <t>都市</t>
        </is>
      </c>
      <c r="O9" s="17" t="inlineStr">
        <is>
          <t>CITY</t>
        </is>
      </c>
      <c r="P9" s="17" t="inlineStr"/>
      <c r="Q9" s="17" t="inlineStr">
        <is>
          <t>NULL</t>
        </is>
      </c>
      <c r="R9" s="17" t="inlineStr"/>
      <c r="S9" s="17" t="inlineStr">
        <is>
          <t>6</t>
        </is>
      </c>
      <c r="U9" s="15" t="inlineStr">
        <is>
          <t>INSERT INTO</t>
        </is>
      </c>
      <c r="V9" s="15" t="inlineStr">
        <is>
          <t>MNG_LIST_SEARCH_ITEM_TBL</t>
        </is>
      </c>
      <c r="W9" s="15" t="inlineStr">
        <is>
          <t>VALUES(</t>
        </is>
      </c>
      <c r="X9" s="15" t="inlineStr">
        <is>
          <t>16,6, '都市','CITY','',NULL,'',6</t>
        </is>
      </c>
      <c r="Y9" s="15" t="inlineStr">
        <is>
          <t>);</t>
        </is>
      </c>
      <c r="AA9" s="18">
        <f>EXACT(TRIM(C9),L9&amp;"")</f>
        <v/>
      </c>
      <c r="AB9" s="18">
        <f>EXACT(TRIM(D9),M9&amp;"")</f>
        <v/>
      </c>
      <c r="AC9" s="18">
        <f>EXACT(TRIM(E9),"'"&amp;N9&amp;"'")</f>
        <v/>
      </c>
      <c r="AD9" s="18">
        <f>EXACT(TRIM(F9),"'"&amp;O9&amp;"'")</f>
        <v/>
      </c>
      <c r="AE9" s="18">
        <f>EXACT(TRIM(G9),"'"&amp;P9&amp;"'")</f>
        <v/>
      </c>
      <c r="AF9" s="18">
        <f>EXACT(TRIM(H9),Q9&amp;"")</f>
        <v/>
      </c>
      <c r="AG9" s="18">
        <f>EXACT(TRIM(I9),"'"&amp;R9&amp;"'")</f>
        <v/>
      </c>
      <c r="AH9" s="18">
        <f>EXACT(TRIM(J9),S9&amp;"")</f>
        <v/>
      </c>
      <c r="AI9" s="18">
        <f>AND(AA9:AH9)</f>
        <v/>
      </c>
      <c r="AJ9" s="19">
        <f>TRIM(IF(AA9,"",$AA$3&amp;" ")&amp;IF(AB9,"",$AB$3&amp;" ")&amp;IF(AC9,"",$AC$3&amp;" ")&amp;IF(AD9,"",$AD$3&amp;" ")&amp;IF(AE9,"",$AE$3&amp;" ")&amp;IF(AF9,"",$AF$3&amp;" ")&amp;IF(AG9,"",$AG$3&amp;" ")&amp;IF(AH9,"",$AH$3&amp;" "))</f>
        <v/>
      </c>
      <c r="AK9" s="18">
        <f>EXACT(SUBSTITUTE(A9," ",""),SUBSTITUTE(U9&amp;V9&amp;W9&amp;X9&amp;Y9," ",""))</f>
        <v/>
      </c>
    </row>
    <row r="10">
      <c r="A10" s="15" t="inlineStr">
        <is>
          <t>INSERT INTO MNG_LIST_SEARCH_ITEM_TBL VALUES(16,7, '国','COUNTRY','',NULL,'',7);</t>
        </is>
      </c>
      <c r="B10" s="16" t="n"/>
      <c r="C10" s="15" t="inlineStr">
        <is>
          <t>16</t>
        </is>
      </c>
      <c r="D10" s="15" t="inlineStr">
        <is>
          <t>7</t>
        </is>
      </c>
      <c r="E10" s="15" t="inlineStr">
        <is>
          <t xml:space="preserve"> '国'</t>
        </is>
      </c>
      <c r="F10" s="15" t="inlineStr">
        <is>
          <t>'COUNTRY'</t>
        </is>
      </c>
      <c r="G10" s="15" t="inlineStr">
        <is>
          <t>''</t>
        </is>
      </c>
      <c r="H10" s="15" t="inlineStr">
        <is>
          <t>NULL</t>
        </is>
      </c>
      <c r="I10" s="15" t="inlineStr">
        <is>
          <t>''</t>
        </is>
      </c>
      <c r="J10" s="15" t="inlineStr">
        <is>
          <t>7</t>
        </is>
      </c>
      <c r="L10" s="17" t="inlineStr">
        <is>
          <t>16</t>
        </is>
      </c>
      <c r="M10" s="17" t="inlineStr">
        <is>
          <t>7</t>
        </is>
      </c>
      <c r="N10" s="17" t="inlineStr">
        <is>
          <t>国</t>
        </is>
      </c>
      <c r="O10" s="17" t="inlineStr">
        <is>
          <t>COUNTRY</t>
        </is>
      </c>
      <c r="P10" s="17" t="inlineStr"/>
      <c r="Q10" s="17" t="inlineStr">
        <is>
          <t>NULL</t>
        </is>
      </c>
      <c r="R10" s="17" t="inlineStr"/>
      <c r="S10" s="17" t="inlineStr">
        <is>
          <t>7</t>
        </is>
      </c>
      <c r="U10" s="15" t="inlineStr">
        <is>
          <t>INSERT INTO</t>
        </is>
      </c>
      <c r="V10" s="15" t="inlineStr">
        <is>
          <t>MNG_LIST_SEARCH_ITEM_TBL</t>
        </is>
      </c>
      <c r="W10" s="15" t="inlineStr">
        <is>
          <t>VALUES(</t>
        </is>
      </c>
      <c r="X10" s="15" t="inlineStr">
        <is>
          <t>16,7, '国','COUNTRY','',NULL,'',7</t>
        </is>
      </c>
      <c r="Y10" s="15" t="inlineStr">
        <is>
          <t>);</t>
        </is>
      </c>
      <c r="AA10" s="18">
        <f>EXACT(TRIM(C10),L10&amp;"")</f>
        <v/>
      </c>
      <c r="AB10" s="18">
        <f>EXACT(TRIM(D10),M10&amp;"")</f>
        <v/>
      </c>
      <c r="AC10" s="18">
        <f>EXACT(TRIM(E10),"'"&amp;N10&amp;"'")</f>
        <v/>
      </c>
      <c r="AD10" s="18">
        <f>EXACT(TRIM(F10),"'"&amp;O10&amp;"'")</f>
        <v/>
      </c>
      <c r="AE10" s="18">
        <f>EXACT(TRIM(G10),"'"&amp;P10&amp;"'")</f>
        <v/>
      </c>
      <c r="AF10" s="18">
        <f>EXACT(TRIM(H10),Q10&amp;"")</f>
        <v/>
      </c>
      <c r="AG10" s="18">
        <f>EXACT(TRIM(I10),"'"&amp;R10&amp;"'")</f>
        <v/>
      </c>
      <c r="AH10" s="18">
        <f>EXACT(TRIM(J10),S10&amp;"")</f>
        <v/>
      </c>
      <c r="AI10" s="18">
        <f>AND(AA10:AH10)</f>
        <v/>
      </c>
      <c r="AJ10" s="19">
        <f>TRIM(IF(AA10,"",$AA$3&amp;" ")&amp;IF(AB10,"",$AB$3&amp;" ")&amp;IF(AC10,"",$AC$3&amp;" ")&amp;IF(AD10,"",$AD$3&amp;" ")&amp;IF(AE10,"",$AE$3&amp;" ")&amp;IF(AF10,"",$AF$3&amp;" ")&amp;IF(AG10,"",$AG$3&amp;" ")&amp;IF(AH10,"",$AH$3&amp;" "))</f>
        <v/>
      </c>
      <c r="AK10" s="18">
        <f>EXACT(SUBSTITUTE(A10," ",""),SUBSTITUTE(U10&amp;V10&amp;W10&amp;X10&amp;Y10," ",""))</f>
        <v/>
      </c>
    </row>
    <row r="11">
      <c r="A11" s="15" t="inlineStr">
        <is>
          <t>INSERT INTO MNG_LIST_SEARCH_ITEM_TBL VALUES(16,8, 'ID情報','NATIONALID','',NULL,'',8);</t>
        </is>
      </c>
      <c r="B11" s="16" t="n"/>
      <c r="C11" s="15" t="inlineStr">
        <is>
          <t>16</t>
        </is>
      </c>
      <c r="D11" s="15" t="inlineStr">
        <is>
          <t>8</t>
        </is>
      </c>
      <c r="E11" s="15" t="inlineStr">
        <is>
          <t xml:space="preserve"> 'ID情報'</t>
        </is>
      </c>
      <c r="F11" s="15" t="inlineStr">
        <is>
          <t>'NATIONALID'</t>
        </is>
      </c>
      <c r="G11" s="15" t="inlineStr">
        <is>
          <t>''</t>
        </is>
      </c>
      <c r="H11" s="15" t="inlineStr">
        <is>
          <t>NULL</t>
        </is>
      </c>
      <c r="I11" s="15" t="inlineStr">
        <is>
          <t>''</t>
        </is>
      </c>
      <c r="J11" s="15" t="inlineStr">
        <is>
          <t>8</t>
        </is>
      </c>
      <c r="L11" s="17" t="inlineStr">
        <is>
          <t>16</t>
        </is>
      </c>
      <c r="M11" s="17" t="inlineStr">
        <is>
          <t>8</t>
        </is>
      </c>
      <c r="N11" s="17" t="inlineStr">
        <is>
          <t>ID情報</t>
        </is>
      </c>
      <c r="O11" s="17" t="inlineStr">
        <is>
          <t>NATIONALID</t>
        </is>
      </c>
      <c r="P11" s="17" t="inlineStr"/>
      <c r="Q11" s="17" t="inlineStr">
        <is>
          <t>NULL</t>
        </is>
      </c>
      <c r="R11" s="17" t="inlineStr"/>
      <c r="S11" s="17" t="inlineStr">
        <is>
          <t>8</t>
        </is>
      </c>
      <c r="U11" s="15" t="inlineStr">
        <is>
          <t>INSERT INTO</t>
        </is>
      </c>
      <c r="V11" s="15" t="inlineStr">
        <is>
          <t>MNG_LIST_SEARCH_ITEM_TBL</t>
        </is>
      </c>
      <c r="W11" s="15" t="inlineStr">
        <is>
          <t>VALUES(</t>
        </is>
      </c>
      <c r="X11" s="15" t="inlineStr">
        <is>
          <t>16,8, 'ID情報','NATIONALID','',NULL,'',8</t>
        </is>
      </c>
      <c r="Y11" s="15" t="inlineStr">
        <is>
          <t>);</t>
        </is>
      </c>
      <c r="AA11" s="18">
        <f>EXACT(TRIM(C11),L11&amp;"")</f>
        <v/>
      </c>
      <c r="AB11" s="18">
        <f>EXACT(TRIM(D11),M11&amp;"")</f>
        <v/>
      </c>
      <c r="AC11" s="18">
        <f>EXACT(TRIM(E11),"'"&amp;N11&amp;"'")</f>
        <v/>
      </c>
      <c r="AD11" s="18">
        <f>EXACT(TRIM(F11),"'"&amp;O11&amp;"'")</f>
        <v/>
      </c>
      <c r="AE11" s="18">
        <f>EXACT(TRIM(G11),"'"&amp;P11&amp;"'")</f>
        <v/>
      </c>
      <c r="AF11" s="18">
        <f>EXACT(TRIM(H11),Q11&amp;"")</f>
        <v/>
      </c>
      <c r="AG11" s="18">
        <f>EXACT(TRIM(I11),"'"&amp;R11&amp;"'")</f>
        <v/>
      </c>
      <c r="AH11" s="18">
        <f>EXACT(TRIM(J11),S11&amp;"")</f>
        <v/>
      </c>
      <c r="AI11" s="18">
        <f>AND(AA11:AH11)</f>
        <v/>
      </c>
      <c r="AJ11" s="19">
        <f>TRIM(IF(AA11,"",$AA$3&amp;" ")&amp;IF(AB11,"",$AB$3&amp;" ")&amp;IF(AC11,"",$AC$3&amp;" ")&amp;IF(AD11,"",$AD$3&amp;" ")&amp;IF(AE11,"",$AE$3&amp;" ")&amp;IF(AF11,"",$AF$3&amp;" ")&amp;IF(AG11,"",$AG$3&amp;" ")&amp;IF(AH11,"",$AH$3&amp;" "))</f>
        <v/>
      </c>
      <c r="AK11" s="18">
        <f>EXACT(SUBSTITUTE(A11," ",""),SUBSTITUTE(U11&amp;V11&amp;W11&amp;X11&amp;Y11," ",""))</f>
        <v/>
      </c>
    </row>
    <row r="12">
      <c r="A12" s="15" t="inlineStr">
        <is>
          <t>INSERT INTO MNG_LIST_SEARCH_ITEM_TBL VALUES(16,9, 'パスポート番号','PASSPORT','',NULL,'',9);</t>
        </is>
      </c>
      <c r="B12" s="16" t="n"/>
      <c r="C12" s="15" t="inlineStr">
        <is>
          <t>16</t>
        </is>
      </c>
      <c r="D12" s="15" t="inlineStr">
        <is>
          <t>9</t>
        </is>
      </c>
      <c r="E12" s="15" t="inlineStr">
        <is>
          <t xml:space="preserve"> 'パスポート番号'</t>
        </is>
      </c>
      <c r="F12" s="15" t="inlineStr">
        <is>
          <t>'PASSPORT'</t>
        </is>
      </c>
      <c r="G12" s="15" t="inlineStr">
        <is>
          <t>''</t>
        </is>
      </c>
      <c r="H12" s="15" t="inlineStr">
        <is>
          <t>NULL</t>
        </is>
      </c>
      <c r="I12" s="15" t="inlineStr">
        <is>
          <t>''</t>
        </is>
      </c>
      <c r="J12" s="15" t="inlineStr">
        <is>
          <t>9</t>
        </is>
      </c>
      <c r="L12" s="17" t="inlineStr">
        <is>
          <t>16</t>
        </is>
      </c>
      <c r="M12" s="17" t="inlineStr">
        <is>
          <t>9</t>
        </is>
      </c>
      <c r="N12" s="17" t="inlineStr">
        <is>
          <t>パスポート番号</t>
        </is>
      </c>
      <c r="O12" s="17" t="inlineStr">
        <is>
          <t>PASSPORT</t>
        </is>
      </c>
      <c r="P12" s="17" t="inlineStr"/>
      <c r="Q12" s="17" t="inlineStr">
        <is>
          <t>NULL</t>
        </is>
      </c>
      <c r="R12" s="17" t="inlineStr"/>
      <c r="S12" s="17" t="inlineStr">
        <is>
          <t>9</t>
        </is>
      </c>
      <c r="U12" s="15" t="inlineStr">
        <is>
          <t>INSERT INTO</t>
        </is>
      </c>
      <c r="V12" s="15" t="inlineStr">
        <is>
          <t>MNG_LIST_SEARCH_ITEM_TBL</t>
        </is>
      </c>
      <c r="W12" s="15" t="inlineStr">
        <is>
          <t>VALUES(</t>
        </is>
      </c>
      <c r="X12" s="15" t="inlineStr">
        <is>
          <t>16,9, 'パスポート番号','PASSPORT','',NULL,'',9</t>
        </is>
      </c>
      <c r="Y12" s="15" t="inlineStr">
        <is>
          <t>);</t>
        </is>
      </c>
      <c r="AA12" s="18">
        <f>EXACT(TRIM(C12),L12&amp;"")</f>
        <v/>
      </c>
      <c r="AB12" s="18">
        <f>EXACT(TRIM(D12),M12&amp;"")</f>
        <v/>
      </c>
      <c r="AC12" s="18">
        <f>EXACT(TRIM(E12),"'"&amp;N12&amp;"'")</f>
        <v/>
      </c>
      <c r="AD12" s="18">
        <f>EXACT(TRIM(F12),"'"&amp;O12&amp;"'")</f>
        <v/>
      </c>
      <c r="AE12" s="18">
        <f>EXACT(TRIM(G12),"'"&amp;P12&amp;"'")</f>
        <v/>
      </c>
      <c r="AF12" s="18">
        <f>EXACT(TRIM(H12),Q12&amp;"")</f>
        <v/>
      </c>
      <c r="AG12" s="18">
        <f>EXACT(TRIM(I12),"'"&amp;R12&amp;"'")</f>
        <v/>
      </c>
      <c r="AH12" s="18">
        <f>EXACT(TRIM(J12),S12&amp;"")</f>
        <v/>
      </c>
      <c r="AI12" s="18">
        <f>AND(AA12:AH12)</f>
        <v/>
      </c>
      <c r="AJ12" s="19">
        <f>TRIM(IF(AA12,"",$AA$3&amp;" ")&amp;IF(AB12,"",$AB$3&amp;" ")&amp;IF(AC12,"",$AC$3&amp;" ")&amp;IF(AD12,"",$AD$3&amp;" ")&amp;IF(AE12,"",$AE$3&amp;" ")&amp;IF(AF12,"",$AF$3&amp;" ")&amp;IF(AG12,"",$AG$3&amp;" ")&amp;IF(AH12,"",$AH$3&amp;" "))</f>
        <v/>
      </c>
      <c r="AK12" s="18">
        <f>EXACT(SUBSTITUTE(A12," ",""),SUBSTITUTE(U12&amp;V12&amp;W12&amp;X12&amp;Y12," ",""))</f>
        <v/>
      </c>
    </row>
    <row r="13">
      <c r="A13" s="15" t="inlineStr">
        <is>
          <t>INSERT INTO MNG_LIST_SEARCH_ITEM_TBL VALUES(16,10, 'その他ID情報','SEARCHCODE','',NULL,'',10);</t>
        </is>
      </c>
      <c r="B13" s="16" t="n"/>
      <c r="C13" s="15" t="inlineStr">
        <is>
          <t>16</t>
        </is>
      </c>
      <c r="D13" s="15" t="inlineStr">
        <is>
          <t>10</t>
        </is>
      </c>
      <c r="E13" s="15" t="inlineStr">
        <is>
          <t xml:space="preserve"> 'その他ID情報'</t>
        </is>
      </c>
      <c r="F13" s="15" t="inlineStr">
        <is>
          <t>'SEARCHCODE'</t>
        </is>
      </c>
      <c r="G13" s="15" t="inlineStr">
        <is>
          <t>''</t>
        </is>
      </c>
      <c r="H13" s="15" t="inlineStr">
        <is>
          <t>NULL</t>
        </is>
      </c>
      <c r="I13" s="15" t="inlineStr">
        <is>
          <t>''</t>
        </is>
      </c>
      <c r="J13" s="15" t="inlineStr">
        <is>
          <t>10</t>
        </is>
      </c>
      <c r="L13" s="17" t="inlineStr">
        <is>
          <t>16</t>
        </is>
      </c>
      <c r="M13" s="17" t="inlineStr">
        <is>
          <t>10</t>
        </is>
      </c>
      <c r="N13" s="17" t="inlineStr">
        <is>
          <t>その他ID情報</t>
        </is>
      </c>
      <c r="O13" s="17" t="inlineStr">
        <is>
          <t>SEARCHCODE</t>
        </is>
      </c>
      <c r="P13" s="17" t="inlineStr"/>
      <c r="Q13" s="17" t="inlineStr">
        <is>
          <t>NULL</t>
        </is>
      </c>
      <c r="R13" s="17" t="inlineStr"/>
      <c r="S13" s="17" t="inlineStr">
        <is>
          <t>10</t>
        </is>
      </c>
      <c r="U13" s="15" t="inlineStr">
        <is>
          <t>INSERT INTO</t>
        </is>
      </c>
      <c r="V13" s="15" t="inlineStr">
        <is>
          <t>MNG_LIST_SEARCH_ITEM_TBL</t>
        </is>
      </c>
      <c r="W13" s="15" t="inlineStr">
        <is>
          <t>VALUES(</t>
        </is>
      </c>
      <c r="X13" s="15" t="inlineStr">
        <is>
          <t>16,10, 'その他ID情報','SEARCHCODE','',NULL,'',10</t>
        </is>
      </c>
      <c r="Y13" s="15" t="inlineStr">
        <is>
          <t>);</t>
        </is>
      </c>
      <c r="AA13" s="18">
        <f>EXACT(TRIM(C13),L13&amp;"")</f>
        <v/>
      </c>
      <c r="AB13" s="18">
        <f>EXACT(TRIM(D13),M13&amp;"")</f>
        <v/>
      </c>
      <c r="AC13" s="18">
        <f>EXACT(TRIM(E13),"'"&amp;N13&amp;"'")</f>
        <v/>
      </c>
      <c r="AD13" s="18">
        <f>EXACT(TRIM(F13),"'"&amp;O13&amp;"'")</f>
        <v/>
      </c>
      <c r="AE13" s="18">
        <f>EXACT(TRIM(G13),"'"&amp;P13&amp;"'")</f>
        <v/>
      </c>
      <c r="AF13" s="18">
        <f>EXACT(TRIM(H13),Q13&amp;"")</f>
        <v/>
      </c>
      <c r="AG13" s="18">
        <f>EXACT(TRIM(I13),"'"&amp;R13&amp;"'")</f>
        <v/>
      </c>
      <c r="AH13" s="18">
        <f>EXACT(TRIM(J13),S13&amp;"")</f>
        <v/>
      </c>
      <c r="AI13" s="18">
        <f>AND(AA13:AH13)</f>
        <v/>
      </c>
      <c r="AJ13" s="19">
        <f>TRIM(IF(AA13,"",$AA$3&amp;" ")&amp;IF(AB13,"",$AB$3&amp;" ")&amp;IF(AC13,"",$AC$3&amp;" ")&amp;IF(AD13,"",$AD$3&amp;" ")&amp;IF(AE13,"",$AE$3&amp;" ")&amp;IF(AF13,"",$AF$3&amp;" ")&amp;IF(AG13,"",$AG$3&amp;" ")&amp;IF(AH13,"",$AH$3&amp;" "))</f>
        <v/>
      </c>
      <c r="AK13" s="18">
        <f>EXACT(SUBSTITUTE(A13," ",""),SUBSTITUTE(U13&amp;V13&amp;W13&amp;X13&amp;Y13," ",""))</f>
        <v/>
      </c>
    </row>
    <row r="14">
      <c r="A14" s="15" t="inlineStr">
        <is>
          <t>INSERT INTO MNG_LIST_SEARCH_ITEM_TBL VALUES(16,11, 'BIC','BICCODE','',NULL,'',11);</t>
        </is>
      </c>
      <c r="B14" s="16" t="n"/>
      <c r="C14" s="15" t="inlineStr">
        <is>
          <t>16</t>
        </is>
      </c>
      <c r="D14" s="15" t="inlineStr">
        <is>
          <t>11</t>
        </is>
      </c>
      <c r="E14" s="15" t="inlineStr">
        <is>
          <t xml:space="preserve"> 'BIC'</t>
        </is>
      </c>
      <c r="F14" s="15" t="inlineStr">
        <is>
          <t>'BICCODE'</t>
        </is>
      </c>
      <c r="G14" s="15" t="inlineStr">
        <is>
          <t>''</t>
        </is>
      </c>
      <c r="H14" s="15" t="inlineStr">
        <is>
          <t>NULL</t>
        </is>
      </c>
      <c r="I14" s="15" t="inlineStr">
        <is>
          <t>''</t>
        </is>
      </c>
      <c r="J14" s="15" t="inlineStr">
        <is>
          <t>11</t>
        </is>
      </c>
      <c r="L14" s="17" t="inlineStr">
        <is>
          <t>16</t>
        </is>
      </c>
      <c r="M14" s="17" t="inlineStr">
        <is>
          <t>11</t>
        </is>
      </c>
      <c r="N14" s="17" t="inlineStr">
        <is>
          <t>BIC</t>
        </is>
      </c>
      <c r="O14" s="17" t="inlineStr">
        <is>
          <t>BICCODE</t>
        </is>
      </c>
      <c r="P14" s="17" t="inlineStr"/>
      <c r="Q14" s="17" t="inlineStr">
        <is>
          <t>NULL</t>
        </is>
      </c>
      <c r="R14" s="17" t="inlineStr"/>
      <c r="S14" s="17" t="inlineStr">
        <is>
          <t>11</t>
        </is>
      </c>
      <c r="U14" s="15" t="inlineStr">
        <is>
          <t>INSERT INTO</t>
        </is>
      </c>
      <c r="V14" s="15" t="inlineStr">
        <is>
          <t>MNG_LIST_SEARCH_ITEM_TBL</t>
        </is>
      </c>
      <c r="W14" s="15" t="inlineStr">
        <is>
          <t>VALUES(</t>
        </is>
      </c>
      <c r="X14" s="15" t="inlineStr">
        <is>
          <t>16,11, 'BIC','BICCODE','',NULL,'',11</t>
        </is>
      </c>
      <c r="Y14" s="15" t="inlineStr">
        <is>
          <t>);</t>
        </is>
      </c>
      <c r="AA14" s="18">
        <f>EXACT(TRIM(C14),L14&amp;"")</f>
        <v/>
      </c>
      <c r="AB14" s="18">
        <f>EXACT(TRIM(D14),M14&amp;"")</f>
        <v/>
      </c>
      <c r="AC14" s="18">
        <f>EXACT(TRIM(E14),"'"&amp;N14&amp;"'")</f>
        <v/>
      </c>
      <c r="AD14" s="18">
        <f>EXACT(TRIM(F14),"'"&amp;O14&amp;"'")</f>
        <v/>
      </c>
      <c r="AE14" s="18">
        <f>EXACT(TRIM(G14),"'"&amp;P14&amp;"'")</f>
        <v/>
      </c>
      <c r="AF14" s="18">
        <f>EXACT(TRIM(H14),Q14&amp;"")</f>
        <v/>
      </c>
      <c r="AG14" s="18">
        <f>EXACT(TRIM(I14),"'"&amp;R14&amp;"'")</f>
        <v/>
      </c>
      <c r="AH14" s="18">
        <f>EXACT(TRIM(J14),S14&amp;"")</f>
        <v/>
      </c>
      <c r="AI14" s="18">
        <f>AND(AA14:AH14)</f>
        <v/>
      </c>
      <c r="AJ14" s="19">
        <f>TRIM(IF(AA14,"",$AA$3&amp;" ")&amp;IF(AB14,"",$AB$3&amp;" ")&amp;IF(AC14,"",$AC$3&amp;" ")&amp;IF(AD14,"",$AD$3&amp;" ")&amp;IF(AE14,"",$AE$3&amp;" ")&amp;IF(AF14,"",$AF$3&amp;" ")&amp;IF(AG14,"",$AG$3&amp;" ")&amp;IF(AH14,"",$AH$3&amp;" "))</f>
        <v/>
      </c>
      <c r="AK14" s="18">
        <f>EXACT(SUBSTITUTE(A14," ",""),SUBSTITUTE(U14&amp;V14&amp;W14&amp;X14&amp;Y14," ",""))</f>
        <v/>
      </c>
    </row>
    <row r="15">
      <c r="A15" s="15" t="inlineStr">
        <is>
          <t>INSERT INTO MNG_LIST_SEARCH_ITEM_TBL VALUES(16,12, '設立/生年月日','DATEOFBIRTH','',NULL,'',12);</t>
        </is>
      </c>
      <c r="B15" s="16" t="n"/>
      <c r="C15" s="15" t="inlineStr">
        <is>
          <t>16</t>
        </is>
      </c>
      <c r="D15" s="15" t="inlineStr">
        <is>
          <t>12</t>
        </is>
      </c>
      <c r="E15" s="15" t="inlineStr">
        <is>
          <t xml:space="preserve"> '設立/生年月日'</t>
        </is>
      </c>
      <c r="F15" s="15" t="inlineStr">
        <is>
          <t>'DATEOFBIRTH'</t>
        </is>
      </c>
      <c r="G15" s="15" t="inlineStr">
        <is>
          <t>''</t>
        </is>
      </c>
      <c r="H15" s="15" t="inlineStr">
        <is>
          <t>NULL</t>
        </is>
      </c>
      <c r="I15" s="15" t="inlineStr">
        <is>
          <t>''</t>
        </is>
      </c>
      <c r="J15" s="15" t="inlineStr">
        <is>
          <t>12</t>
        </is>
      </c>
      <c r="L15" s="17" t="inlineStr">
        <is>
          <t>16</t>
        </is>
      </c>
      <c r="M15" s="17" t="inlineStr">
        <is>
          <t>12</t>
        </is>
      </c>
      <c r="N15" s="17" t="inlineStr">
        <is>
          <t>設立/生年月日</t>
        </is>
      </c>
      <c r="O15" s="17" t="inlineStr">
        <is>
          <t>DATEOFBIRTH</t>
        </is>
      </c>
      <c r="P15" s="17" t="inlineStr"/>
      <c r="Q15" s="17" t="inlineStr">
        <is>
          <t>NULL</t>
        </is>
      </c>
      <c r="R15" s="17" t="inlineStr"/>
      <c r="S15" s="17" t="inlineStr">
        <is>
          <t>12</t>
        </is>
      </c>
      <c r="U15" s="15" t="inlineStr">
        <is>
          <t>INSERT INTO</t>
        </is>
      </c>
      <c r="V15" s="15" t="inlineStr">
        <is>
          <t>MNG_LIST_SEARCH_ITEM_TBL</t>
        </is>
      </c>
      <c r="W15" s="15" t="inlineStr">
        <is>
          <t>VALUES(</t>
        </is>
      </c>
      <c r="X15" s="15" t="inlineStr">
        <is>
          <t>16,12, '設立/生年月日','DATEOFBIRTH','',NULL,'',12</t>
        </is>
      </c>
      <c r="Y15" s="15" t="inlineStr">
        <is>
          <t>);</t>
        </is>
      </c>
      <c r="AA15" s="18">
        <f>EXACT(TRIM(C15),L15&amp;"")</f>
        <v/>
      </c>
      <c r="AB15" s="18">
        <f>EXACT(TRIM(D15),M15&amp;"")</f>
        <v/>
      </c>
      <c r="AC15" s="18">
        <f>EXACT(TRIM(E15),"'"&amp;N15&amp;"'")</f>
        <v/>
      </c>
      <c r="AD15" s="18">
        <f>EXACT(TRIM(F15),"'"&amp;O15&amp;"'")</f>
        <v/>
      </c>
      <c r="AE15" s="18">
        <f>EXACT(TRIM(G15),"'"&amp;P15&amp;"'")</f>
        <v/>
      </c>
      <c r="AF15" s="18">
        <f>EXACT(TRIM(H15),Q15&amp;"")</f>
        <v/>
      </c>
      <c r="AG15" s="18">
        <f>EXACT(TRIM(I15),"'"&amp;R15&amp;"'")</f>
        <v/>
      </c>
      <c r="AH15" s="18">
        <f>EXACT(TRIM(J15),S15&amp;"")</f>
        <v/>
      </c>
      <c r="AI15" s="18">
        <f>AND(AA15:AH15)</f>
        <v/>
      </c>
      <c r="AJ15" s="19">
        <f>TRIM(IF(AA15,"",$AA$3&amp;" ")&amp;IF(AB15,"",$AB$3&amp;" ")&amp;IF(AC15,"",$AC$3&amp;" ")&amp;IF(AD15,"",$AD$3&amp;" ")&amp;IF(AE15,"",$AE$3&amp;" ")&amp;IF(AF15,"",$AF$3&amp;" ")&amp;IF(AG15,"",$AG$3&amp;" ")&amp;IF(AH15,"",$AH$3&amp;" "))</f>
        <v/>
      </c>
      <c r="AK15" s="18">
        <f>EXACT(SUBSTITUTE(A15," ",""),SUBSTITUTE(U15&amp;V15&amp;W15&amp;X15&amp;Y15," ",""))</f>
        <v/>
      </c>
    </row>
    <row r="16">
      <c r="A16" s="15" t="inlineStr">
        <is>
          <t>INSERT INTO MNG_LIST_SEARCH_ITEM_TBL VALUES(16,13, '性別','GENDER','',NULL,'',13);</t>
        </is>
      </c>
      <c r="B16" s="16" t="n"/>
      <c r="C16" s="15" t="inlineStr">
        <is>
          <t>16</t>
        </is>
      </c>
      <c r="D16" s="15" t="inlineStr">
        <is>
          <t>13</t>
        </is>
      </c>
      <c r="E16" s="15" t="inlineStr">
        <is>
          <t xml:space="preserve"> '性別'</t>
        </is>
      </c>
      <c r="F16" s="15" t="inlineStr">
        <is>
          <t>'GENDER'</t>
        </is>
      </c>
      <c r="G16" s="15" t="inlineStr">
        <is>
          <t>''</t>
        </is>
      </c>
      <c r="H16" s="15" t="inlineStr">
        <is>
          <t>NULL</t>
        </is>
      </c>
      <c r="I16" s="15" t="inlineStr">
        <is>
          <t>''</t>
        </is>
      </c>
      <c r="J16" s="15" t="inlineStr">
        <is>
          <t>13</t>
        </is>
      </c>
      <c r="L16" s="17" t="inlineStr">
        <is>
          <t>16</t>
        </is>
      </c>
      <c r="M16" s="17" t="inlineStr">
        <is>
          <t>13</t>
        </is>
      </c>
      <c r="N16" s="17" t="inlineStr">
        <is>
          <t>性別</t>
        </is>
      </c>
      <c r="O16" s="17" t="inlineStr">
        <is>
          <t>GENDER</t>
        </is>
      </c>
      <c r="P16" s="17" t="inlineStr"/>
      <c r="Q16" s="17" t="inlineStr">
        <is>
          <t>NULL</t>
        </is>
      </c>
      <c r="R16" s="17" t="inlineStr"/>
      <c r="S16" s="17" t="inlineStr">
        <is>
          <t>13</t>
        </is>
      </c>
      <c r="U16" s="15" t="inlineStr">
        <is>
          <t>INSERT INTO</t>
        </is>
      </c>
      <c r="V16" s="15" t="inlineStr">
        <is>
          <t>MNG_LIST_SEARCH_ITEM_TBL</t>
        </is>
      </c>
      <c r="W16" s="15" t="inlineStr">
        <is>
          <t>VALUES(</t>
        </is>
      </c>
      <c r="X16" s="15" t="inlineStr">
        <is>
          <t>16,13, '性別','GENDER','',NULL,'',13</t>
        </is>
      </c>
      <c r="Y16" s="15" t="inlineStr">
        <is>
          <t>);</t>
        </is>
      </c>
      <c r="AA16" s="18">
        <f>EXACT(TRIM(C16),L16&amp;"")</f>
        <v/>
      </c>
      <c r="AB16" s="18">
        <f>EXACT(TRIM(D16),M16&amp;"")</f>
        <v/>
      </c>
      <c r="AC16" s="18">
        <f>EXACT(TRIM(E16),"'"&amp;N16&amp;"'")</f>
        <v/>
      </c>
      <c r="AD16" s="18">
        <f>EXACT(TRIM(F16),"'"&amp;O16&amp;"'")</f>
        <v/>
      </c>
      <c r="AE16" s="18">
        <f>EXACT(TRIM(G16),"'"&amp;P16&amp;"'")</f>
        <v/>
      </c>
      <c r="AF16" s="18">
        <f>EXACT(TRIM(H16),Q16&amp;"")</f>
        <v/>
      </c>
      <c r="AG16" s="18">
        <f>EXACT(TRIM(I16),"'"&amp;R16&amp;"'")</f>
        <v/>
      </c>
      <c r="AH16" s="18">
        <f>EXACT(TRIM(J16),S16&amp;"")</f>
        <v/>
      </c>
      <c r="AI16" s="18">
        <f>AND(AA16:AH16)</f>
        <v/>
      </c>
      <c r="AJ16" s="19">
        <f>TRIM(IF(AA16,"",$AA$3&amp;" ")&amp;IF(AB16,"",$AB$3&amp;" ")&amp;IF(AC16,"",$AC$3&amp;" ")&amp;IF(AD16,"",$AD$3&amp;" ")&amp;IF(AE16,"",$AE$3&amp;" ")&amp;IF(AF16,"",$AF$3&amp;" ")&amp;IF(AG16,"",$AG$3&amp;" ")&amp;IF(AH16,"",$AH$3&amp;" "))</f>
        <v/>
      </c>
      <c r="AK16" s="18">
        <f>EXACT(SUBSTITUTE(A16," ",""),SUBSTITUTE(U16&amp;V16&amp;W16&amp;X16&amp;Y16," ",""))</f>
        <v/>
      </c>
    </row>
    <row r="17">
      <c r="A17" s="15" t="inlineStr">
        <is>
          <t>INSERT INTO MNG_LIST_SEARCH_ITEM_TBL VALUES(16,14, '住所','ADDRESS','',NULL,'',14);</t>
        </is>
      </c>
      <c r="B17" s="16" t="n"/>
      <c r="C17" s="15" t="inlineStr">
        <is>
          <t>16</t>
        </is>
      </c>
      <c r="D17" s="15" t="inlineStr">
        <is>
          <t>14</t>
        </is>
      </c>
      <c r="E17" s="15" t="inlineStr">
        <is>
          <t xml:space="preserve"> '住所'</t>
        </is>
      </c>
      <c r="F17" s="15" t="inlineStr">
        <is>
          <t>'ADDRESS'</t>
        </is>
      </c>
      <c r="G17" s="15" t="inlineStr">
        <is>
          <t>''</t>
        </is>
      </c>
      <c r="H17" s="15" t="inlineStr">
        <is>
          <t>NULL</t>
        </is>
      </c>
      <c r="I17" s="15" t="inlineStr">
        <is>
          <t>''</t>
        </is>
      </c>
      <c r="J17" s="15" t="inlineStr">
        <is>
          <t>14</t>
        </is>
      </c>
      <c r="L17" s="17" t="inlineStr">
        <is>
          <t>16</t>
        </is>
      </c>
      <c r="M17" s="17" t="inlineStr">
        <is>
          <t>14</t>
        </is>
      </c>
      <c r="N17" s="17" t="inlineStr">
        <is>
          <t>住所</t>
        </is>
      </c>
      <c r="O17" s="17" t="inlineStr">
        <is>
          <t>ADDRESS</t>
        </is>
      </c>
      <c r="P17" s="17" t="inlineStr"/>
      <c r="Q17" s="17" t="inlineStr">
        <is>
          <t>NULL</t>
        </is>
      </c>
      <c r="R17" s="17" t="inlineStr"/>
      <c r="S17" s="17" t="inlineStr">
        <is>
          <t>14</t>
        </is>
      </c>
      <c r="U17" s="15" t="inlineStr">
        <is>
          <t>INSERT INTO</t>
        </is>
      </c>
      <c r="V17" s="15" t="inlineStr">
        <is>
          <t>MNG_LIST_SEARCH_ITEM_TBL</t>
        </is>
      </c>
      <c r="W17" s="15" t="inlineStr">
        <is>
          <t>VALUES(</t>
        </is>
      </c>
      <c r="X17" s="15" t="inlineStr">
        <is>
          <t>16,14, '住所','ADDRESS','',NULL,'',14</t>
        </is>
      </c>
      <c r="Y17" s="15" t="inlineStr">
        <is>
          <t>);</t>
        </is>
      </c>
      <c r="AA17" s="18">
        <f>EXACT(TRIM(C17),L17&amp;"")</f>
        <v/>
      </c>
      <c r="AB17" s="18">
        <f>EXACT(TRIM(D17),M17&amp;"")</f>
        <v/>
      </c>
      <c r="AC17" s="18">
        <f>EXACT(TRIM(E17),"'"&amp;N17&amp;"'")</f>
        <v/>
      </c>
      <c r="AD17" s="18">
        <f>EXACT(TRIM(F17),"'"&amp;O17&amp;"'")</f>
        <v/>
      </c>
      <c r="AE17" s="18">
        <f>EXACT(TRIM(G17),"'"&amp;P17&amp;"'")</f>
        <v/>
      </c>
      <c r="AF17" s="18">
        <f>EXACT(TRIM(H17),Q17&amp;"")</f>
        <v/>
      </c>
      <c r="AG17" s="18">
        <f>EXACT(TRIM(I17),"'"&amp;R17&amp;"'")</f>
        <v/>
      </c>
      <c r="AH17" s="18">
        <f>EXACT(TRIM(J17),S17&amp;"")</f>
        <v/>
      </c>
      <c r="AI17" s="18">
        <f>AND(AA17:AH17)</f>
        <v/>
      </c>
      <c r="AJ17" s="19">
        <f>TRIM(IF(AA17,"",$AA$3&amp;" ")&amp;IF(AB17,"",$AB$3&amp;" ")&amp;IF(AC17,"",$AC$3&amp;" ")&amp;IF(AD17,"",$AD$3&amp;" ")&amp;IF(AE17,"",$AE$3&amp;" ")&amp;IF(AF17,"",$AF$3&amp;" ")&amp;IF(AG17,"",$AG$3&amp;" ")&amp;IF(AH17,"",$AH$3&amp;" "))</f>
        <v/>
      </c>
      <c r="AK17" s="18">
        <f>EXACT(SUBSTITUTE(A17," ",""),SUBSTITUTE(U17&amp;V17&amp;W17&amp;X17&amp;Y17," ",""))</f>
        <v/>
      </c>
    </row>
    <row r="18">
      <c r="A18" s="15" t="inlineStr">
        <is>
          <t>INSERT INTO MNG_LIST_SEARCH_ITEM_TBL VALUES(16,15, '国籍','NATIONALITY','',NULL,'',15);</t>
        </is>
      </c>
      <c r="B18" s="16" t="n"/>
      <c r="C18" s="15" t="inlineStr">
        <is>
          <t>16</t>
        </is>
      </c>
      <c r="D18" s="15" t="inlineStr">
        <is>
          <t>15</t>
        </is>
      </c>
      <c r="E18" s="15" t="inlineStr">
        <is>
          <t xml:space="preserve"> '国籍'</t>
        </is>
      </c>
      <c r="F18" s="15" t="inlineStr">
        <is>
          <t>'NATIONALITY'</t>
        </is>
      </c>
      <c r="G18" s="15" t="inlineStr">
        <is>
          <t>''</t>
        </is>
      </c>
      <c r="H18" s="15" t="inlineStr">
        <is>
          <t>NULL</t>
        </is>
      </c>
      <c r="I18" s="15" t="inlineStr">
        <is>
          <t>''</t>
        </is>
      </c>
      <c r="J18" s="15" t="inlineStr">
        <is>
          <t>15</t>
        </is>
      </c>
      <c r="L18" s="17" t="inlineStr">
        <is>
          <t>16</t>
        </is>
      </c>
      <c r="M18" s="17" t="inlineStr">
        <is>
          <t>15</t>
        </is>
      </c>
      <c r="N18" s="17" t="inlineStr">
        <is>
          <t>国籍</t>
        </is>
      </c>
      <c r="O18" s="17" t="inlineStr">
        <is>
          <t>NATIONALITY</t>
        </is>
      </c>
      <c r="P18" s="17" t="inlineStr"/>
      <c r="Q18" s="17" t="inlineStr">
        <is>
          <t>NULL</t>
        </is>
      </c>
      <c r="R18" s="17" t="inlineStr"/>
      <c r="S18" s="17" t="inlineStr">
        <is>
          <t>15</t>
        </is>
      </c>
      <c r="U18" s="15" t="inlineStr">
        <is>
          <t>INSERT INTO</t>
        </is>
      </c>
      <c r="V18" s="15" t="inlineStr">
        <is>
          <t>MNG_LIST_SEARCH_ITEM_TBL</t>
        </is>
      </c>
      <c r="W18" s="15" t="inlineStr">
        <is>
          <t>VALUES(</t>
        </is>
      </c>
      <c r="X18" s="15" t="inlineStr">
        <is>
          <t>16,15, '国籍','NATIONALITY','',NULL,'',15</t>
        </is>
      </c>
      <c r="Y18" s="15" t="inlineStr">
        <is>
          <t>);</t>
        </is>
      </c>
      <c r="AA18" s="18">
        <f>EXACT(TRIM(C18),L18&amp;"")</f>
        <v/>
      </c>
      <c r="AB18" s="18">
        <f>EXACT(TRIM(D18),M18&amp;"")</f>
        <v/>
      </c>
      <c r="AC18" s="18">
        <f>EXACT(TRIM(E18),"'"&amp;N18&amp;"'")</f>
        <v/>
      </c>
      <c r="AD18" s="18">
        <f>EXACT(TRIM(F18),"'"&amp;O18&amp;"'")</f>
        <v/>
      </c>
      <c r="AE18" s="18">
        <f>EXACT(TRIM(G18),"'"&amp;P18&amp;"'")</f>
        <v/>
      </c>
      <c r="AF18" s="18">
        <f>EXACT(TRIM(H18),Q18&amp;"")</f>
        <v/>
      </c>
      <c r="AG18" s="18">
        <f>EXACT(TRIM(I18),"'"&amp;R18&amp;"'")</f>
        <v/>
      </c>
      <c r="AH18" s="18">
        <f>EXACT(TRIM(J18),S18&amp;"")</f>
        <v/>
      </c>
      <c r="AI18" s="18">
        <f>AND(AA18:AH18)</f>
        <v/>
      </c>
      <c r="AJ18" s="19">
        <f>TRIM(IF(AA18,"",$AA$3&amp;" ")&amp;IF(AB18,"",$AB$3&amp;" ")&amp;IF(AC18,"",$AC$3&amp;" ")&amp;IF(AD18,"",$AD$3&amp;" ")&amp;IF(AE18,"",$AE$3&amp;" ")&amp;IF(AF18,"",$AF$3&amp;" ")&amp;IF(AG18,"",$AG$3&amp;" ")&amp;IF(AH18,"",$AH$3&amp;" "))</f>
        <v/>
      </c>
      <c r="AK18" s="18">
        <f>EXACT(SUBSTITUTE(A18," ",""),SUBSTITUTE(U18&amp;V18&amp;W18&amp;X18&amp;Y18," ",""))</f>
        <v/>
      </c>
    </row>
    <row r="19">
      <c r="A19" s="15" t="inlineStr">
        <is>
          <t>INSERT INTO MNG_LIST_SEARCH_ITEM_TBL VALUES(16,16, '特定顧客と判断した事由','REASONS','',NULL,'',16);</t>
        </is>
      </c>
      <c r="B19" s="16" t="n"/>
      <c r="C19" s="15" t="inlineStr">
        <is>
          <t>16</t>
        </is>
      </c>
      <c r="D19" s="15" t="inlineStr">
        <is>
          <t>16</t>
        </is>
      </c>
      <c r="E19" s="15" t="inlineStr">
        <is>
          <t xml:space="preserve"> '特定顧客と判断した事由'</t>
        </is>
      </c>
      <c r="F19" s="15" t="inlineStr">
        <is>
          <t>'REASONS'</t>
        </is>
      </c>
      <c r="G19" s="15" t="inlineStr">
        <is>
          <t>''</t>
        </is>
      </c>
      <c r="H19" s="15" t="inlineStr">
        <is>
          <t>NULL</t>
        </is>
      </c>
      <c r="I19" s="15" t="inlineStr">
        <is>
          <t>''</t>
        </is>
      </c>
      <c r="J19" s="15" t="inlineStr">
        <is>
          <t>16</t>
        </is>
      </c>
      <c r="L19" s="17" t="inlineStr">
        <is>
          <t>16</t>
        </is>
      </c>
      <c r="M19" s="17" t="inlineStr">
        <is>
          <t>16</t>
        </is>
      </c>
      <c r="N19" s="17" t="inlineStr">
        <is>
          <t>特定顧客と判断した事由</t>
        </is>
      </c>
      <c r="O19" s="17" t="inlineStr">
        <is>
          <t>REASONS</t>
        </is>
      </c>
      <c r="P19" s="17" t="inlineStr"/>
      <c r="Q19" s="17" t="inlineStr">
        <is>
          <t>NULL</t>
        </is>
      </c>
      <c r="R19" s="17" t="inlineStr"/>
      <c r="S19" s="17" t="inlineStr">
        <is>
          <t>16</t>
        </is>
      </c>
      <c r="U19" s="15" t="inlineStr">
        <is>
          <t>INSERT INTO</t>
        </is>
      </c>
      <c r="V19" s="15" t="inlineStr">
        <is>
          <t>MNG_LIST_SEARCH_ITEM_TBL</t>
        </is>
      </c>
      <c r="W19" s="15" t="inlineStr">
        <is>
          <t>VALUES(</t>
        </is>
      </c>
      <c r="X19" s="15" t="inlineStr">
        <is>
          <t>16,16, '特定顧客と判断した事由','REASONS','',NULL,'',16</t>
        </is>
      </c>
      <c r="Y19" s="15" t="inlineStr">
        <is>
          <t>);</t>
        </is>
      </c>
      <c r="AA19" s="18">
        <f>EXACT(TRIM(C19),L19&amp;"")</f>
        <v/>
      </c>
      <c r="AB19" s="18">
        <f>EXACT(TRIM(D19),M19&amp;"")</f>
        <v/>
      </c>
      <c r="AC19" s="18">
        <f>EXACT(TRIM(E19),"'"&amp;N19&amp;"'")</f>
        <v/>
      </c>
      <c r="AD19" s="18">
        <f>EXACT(TRIM(F19),"'"&amp;O19&amp;"'")</f>
        <v/>
      </c>
      <c r="AE19" s="18">
        <f>EXACT(TRIM(G19),"'"&amp;P19&amp;"'")</f>
        <v/>
      </c>
      <c r="AF19" s="18">
        <f>EXACT(TRIM(H19),Q19&amp;"")</f>
        <v/>
      </c>
      <c r="AG19" s="18">
        <f>EXACT(TRIM(I19),"'"&amp;R19&amp;"'")</f>
        <v/>
      </c>
      <c r="AH19" s="18">
        <f>EXACT(TRIM(J19),S19&amp;"")</f>
        <v/>
      </c>
      <c r="AI19" s="18">
        <f>AND(AA19:AH19)</f>
        <v/>
      </c>
      <c r="AJ19" s="19">
        <f>TRIM(IF(AA19,"",$AA$3&amp;" ")&amp;IF(AB19,"",$AB$3&amp;" ")&amp;IF(AC19,"",$AC$3&amp;" ")&amp;IF(AD19,"",$AD$3&amp;" ")&amp;IF(AE19,"",$AE$3&amp;" ")&amp;IF(AF19,"",$AF$3&amp;" ")&amp;IF(AG19,"",$AG$3&amp;" ")&amp;IF(AH19,"",$AH$3&amp;" "))</f>
        <v/>
      </c>
      <c r="AK19" s="18">
        <f>EXACT(SUBSTITUTE(A19," ",""),SUBSTITUTE(U19&amp;V19&amp;W19&amp;X19&amp;Y19," ",""))</f>
        <v/>
      </c>
    </row>
    <row r="20">
      <c r="A20" s="15" t="inlineStr">
        <is>
          <t>INSERT INTO MNG_LIST_SEARCH_ITEM_TBL VALUES(16,17, '報道年月日','DATE_OF_COVERAGE','',NULL,'',17);</t>
        </is>
      </c>
      <c r="B20" s="16" t="n"/>
      <c r="C20" s="15" t="inlineStr">
        <is>
          <t>16</t>
        </is>
      </c>
      <c r="D20" s="15" t="inlineStr">
        <is>
          <t>17</t>
        </is>
      </c>
      <c r="E20" s="15" t="inlineStr">
        <is>
          <t xml:space="preserve"> '報道年月日'</t>
        </is>
      </c>
      <c r="F20" s="15" t="inlineStr">
        <is>
          <t>'DATE_OF_COVERAGE'</t>
        </is>
      </c>
      <c r="G20" s="15" t="inlineStr">
        <is>
          <t>''</t>
        </is>
      </c>
      <c r="H20" s="15" t="inlineStr">
        <is>
          <t>NULL</t>
        </is>
      </c>
      <c r="I20" s="15" t="inlineStr">
        <is>
          <t>''</t>
        </is>
      </c>
      <c r="J20" s="15" t="inlineStr">
        <is>
          <t>17</t>
        </is>
      </c>
      <c r="L20" s="17" t="inlineStr">
        <is>
          <t>16</t>
        </is>
      </c>
      <c r="M20" s="17" t="inlineStr">
        <is>
          <t>17</t>
        </is>
      </c>
      <c r="N20" s="17" t="inlineStr">
        <is>
          <t>報道年月日</t>
        </is>
      </c>
      <c r="O20" s="17" t="inlineStr">
        <is>
          <t>DATE_OF_COVERAGE</t>
        </is>
      </c>
      <c r="P20" s="17" t="inlineStr"/>
      <c r="Q20" s="17" t="inlineStr">
        <is>
          <t>NULL</t>
        </is>
      </c>
      <c r="R20" s="17" t="inlineStr"/>
      <c r="S20" s="17" t="inlineStr">
        <is>
          <t>17</t>
        </is>
      </c>
      <c r="U20" s="15" t="inlineStr">
        <is>
          <t>INSERT INTO</t>
        </is>
      </c>
      <c r="V20" s="15" t="inlineStr">
        <is>
          <t>MNG_LIST_SEARCH_ITEM_TBL</t>
        </is>
      </c>
      <c r="W20" s="15" t="inlineStr">
        <is>
          <t>VALUES(</t>
        </is>
      </c>
      <c r="X20" s="15" t="inlineStr">
        <is>
          <t>16,17, '報道年月日','DATE_OF_COVERAGE','',NULL,'',17</t>
        </is>
      </c>
      <c r="Y20" s="15" t="inlineStr">
        <is>
          <t>);</t>
        </is>
      </c>
      <c r="AA20" s="18">
        <f>EXACT(TRIM(C20),L20&amp;"")</f>
        <v/>
      </c>
      <c r="AB20" s="18">
        <f>EXACT(TRIM(D20),M20&amp;"")</f>
        <v/>
      </c>
      <c r="AC20" s="18">
        <f>EXACT(TRIM(E20),"'"&amp;N20&amp;"'")</f>
        <v/>
      </c>
      <c r="AD20" s="18">
        <f>EXACT(TRIM(F20),"'"&amp;O20&amp;"'")</f>
        <v/>
      </c>
      <c r="AE20" s="18">
        <f>EXACT(TRIM(G20),"'"&amp;P20&amp;"'")</f>
        <v/>
      </c>
      <c r="AF20" s="18">
        <f>EXACT(TRIM(H20),Q20&amp;"")</f>
        <v/>
      </c>
      <c r="AG20" s="18">
        <f>EXACT(TRIM(I20),"'"&amp;R20&amp;"'")</f>
        <v/>
      </c>
      <c r="AH20" s="18">
        <f>EXACT(TRIM(J20),S20&amp;"")</f>
        <v/>
      </c>
      <c r="AI20" s="18">
        <f>AND(AA20:AH20)</f>
        <v/>
      </c>
      <c r="AJ20" s="19">
        <f>TRIM(IF(AA20,"",$AA$3&amp;" ")&amp;IF(AB20,"",$AB$3&amp;" ")&amp;IF(AC20,"",$AC$3&amp;" ")&amp;IF(AD20,"",$AD$3&amp;" ")&amp;IF(AE20,"",$AE$3&amp;" ")&amp;IF(AF20,"",$AF$3&amp;" ")&amp;IF(AG20,"",$AG$3&amp;" ")&amp;IF(AH20,"",$AH$3&amp;" "))</f>
        <v/>
      </c>
      <c r="AK20" s="18">
        <f>EXACT(SUBSTITUTE(A20," ",""),SUBSTITUTE(U20&amp;V20&amp;W20&amp;X20&amp;Y20," ",""))</f>
        <v/>
      </c>
    </row>
    <row r="21">
      <c r="A21" s="15" t="inlineStr">
        <is>
          <t>INSERT INTO MNG_LIST_SEARCH_ITEM_TBL VALUES(16,18, '年齢','PRESS_AGE','',NULL,'',18);</t>
        </is>
      </c>
      <c r="B21" s="16" t="n"/>
      <c r="C21" s="15" t="inlineStr">
        <is>
          <t>16</t>
        </is>
      </c>
      <c r="D21" s="15" t="inlineStr">
        <is>
          <t>18</t>
        </is>
      </c>
      <c r="E21" s="15" t="inlineStr">
        <is>
          <t xml:space="preserve"> '年齢'</t>
        </is>
      </c>
      <c r="F21" s="15" t="inlineStr">
        <is>
          <t>'PRESS_AGE'</t>
        </is>
      </c>
      <c r="G21" s="15" t="inlineStr">
        <is>
          <t>''</t>
        </is>
      </c>
      <c r="H21" s="15" t="inlineStr">
        <is>
          <t>NULL</t>
        </is>
      </c>
      <c r="I21" s="15" t="inlineStr">
        <is>
          <t>''</t>
        </is>
      </c>
      <c r="J21" s="15" t="inlineStr">
        <is>
          <t>18</t>
        </is>
      </c>
      <c r="L21" s="17" t="inlineStr">
        <is>
          <t>16</t>
        </is>
      </c>
      <c r="M21" s="17" t="inlineStr">
        <is>
          <t>18</t>
        </is>
      </c>
      <c r="N21" s="17" t="inlineStr">
        <is>
          <t>年齢</t>
        </is>
      </c>
      <c r="O21" s="17" t="inlineStr">
        <is>
          <t>PRESS_AGE</t>
        </is>
      </c>
      <c r="P21" s="17" t="inlineStr"/>
      <c r="Q21" s="17" t="inlineStr">
        <is>
          <t>NULL</t>
        </is>
      </c>
      <c r="R21" s="17" t="inlineStr"/>
      <c r="S21" s="17" t="inlineStr">
        <is>
          <t>18</t>
        </is>
      </c>
      <c r="U21" s="15" t="inlineStr">
        <is>
          <t>INSERT INTO</t>
        </is>
      </c>
      <c r="V21" s="15" t="inlineStr">
        <is>
          <t>MNG_LIST_SEARCH_ITEM_TBL</t>
        </is>
      </c>
      <c r="W21" s="15" t="inlineStr">
        <is>
          <t>VALUES(</t>
        </is>
      </c>
      <c r="X21" s="15" t="inlineStr">
        <is>
          <t>16,18, '年齢','PRESS_AGE','',NULL,'',18</t>
        </is>
      </c>
      <c r="Y21" s="15" t="inlineStr">
        <is>
          <t>);</t>
        </is>
      </c>
      <c r="AA21" s="18">
        <f>EXACT(TRIM(C21),L21&amp;"")</f>
        <v/>
      </c>
      <c r="AB21" s="18">
        <f>EXACT(TRIM(D21),M21&amp;"")</f>
        <v/>
      </c>
      <c r="AC21" s="18">
        <f>EXACT(TRIM(E21),"'"&amp;N21&amp;"'")</f>
        <v/>
      </c>
      <c r="AD21" s="18">
        <f>EXACT(TRIM(F21),"'"&amp;O21&amp;"'")</f>
        <v/>
      </c>
      <c r="AE21" s="18">
        <f>EXACT(TRIM(G21),"'"&amp;P21&amp;"'")</f>
        <v/>
      </c>
      <c r="AF21" s="18">
        <f>EXACT(TRIM(H21),Q21&amp;"")</f>
        <v/>
      </c>
      <c r="AG21" s="18">
        <f>EXACT(TRIM(I21),"'"&amp;R21&amp;"'")</f>
        <v/>
      </c>
      <c r="AH21" s="18">
        <f>EXACT(TRIM(J21),S21&amp;"")</f>
        <v/>
      </c>
      <c r="AI21" s="18">
        <f>AND(AA21:AH21)</f>
        <v/>
      </c>
      <c r="AJ21" s="19">
        <f>TRIM(IF(AA21,"",$AA$3&amp;" ")&amp;IF(AB21,"",$AB$3&amp;" ")&amp;IF(AC21,"",$AC$3&amp;" ")&amp;IF(AD21,"",$AD$3&amp;" ")&amp;IF(AE21,"",$AE$3&amp;" ")&amp;IF(AF21,"",$AF$3&amp;" ")&amp;IF(AG21,"",$AG$3&amp;" ")&amp;IF(AH21,"",$AH$3&amp;" "))</f>
        <v/>
      </c>
      <c r="AK21" s="18">
        <f>EXACT(SUBSTITUTE(A21," ",""),SUBSTITUTE(U21&amp;V21&amp;W21&amp;X21&amp;Y21," ",""))</f>
        <v/>
      </c>
    </row>
    <row r="22">
      <c r="A22" s="15" t="inlineStr">
        <is>
          <t>INSERT INTO MNG_LIST_SEARCH_ITEM_TBL VALUES(16,19, 'FROM','DATE_FROM','',NULL,'',19);</t>
        </is>
      </c>
      <c r="B22" s="16" t="n"/>
      <c r="C22" s="15" t="inlineStr">
        <is>
          <t>16</t>
        </is>
      </c>
      <c r="D22" s="15" t="inlineStr">
        <is>
          <t>19</t>
        </is>
      </c>
      <c r="E22" s="15" t="inlineStr">
        <is>
          <t xml:space="preserve"> 'FROM'</t>
        </is>
      </c>
      <c r="F22" s="15" t="inlineStr">
        <is>
          <t>'DATE_FROM'</t>
        </is>
      </c>
      <c r="G22" s="15" t="inlineStr">
        <is>
          <t>''</t>
        </is>
      </c>
      <c r="H22" s="15" t="inlineStr">
        <is>
          <t>NULL</t>
        </is>
      </c>
      <c r="I22" s="15" t="inlineStr">
        <is>
          <t>''</t>
        </is>
      </c>
      <c r="J22" s="15" t="inlineStr">
        <is>
          <t>19</t>
        </is>
      </c>
      <c r="L22" s="17" t="inlineStr">
        <is>
          <t>16</t>
        </is>
      </c>
      <c r="M22" s="17" t="inlineStr">
        <is>
          <t>19</t>
        </is>
      </c>
      <c r="N22" s="17" t="inlineStr">
        <is>
          <t>FROM</t>
        </is>
      </c>
      <c r="O22" s="17" t="inlineStr">
        <is>
          <t>DATE_FROM</t>
        </is>
      </c>
      <c r="P22" s="17" t="inlineStr"/>
      <c r="Q22" s="17" t="inlineStr">
        <is>
          <t>NULL</t>
        </is>
      </c>
      <c r="R22" s="17" t="inlineStr"/>
      <c r="S22" s="17" t="inlineStr">
        <is>
          <t>19</t>
        </is>
      </c>
      <c r="U22" s="15" t="inlineStr">
        <is>
          <t>INSERT INTO</t>
        </is>
      </c>
      <c r="V22" s="15" t="inlineStr">
        <is>
          <t>MNG_LIST_SEARCH_ITEM_TBL</t>
        </is>
      </c>
      <c r="W22" s="15" t="inlineStr">
        <is>
          <t>VALUES(</t>
        </is>
      </c>
      <c r="X22" s="15" t="inlineStr">
        <is>
          <t>16,19, 'FROM','DATE_FROM','',NULL,'',19</t>
        </is>
      </c>
      <c r="Y22" s="15" t="inlineStr">
        <is>
          <t>);</t>
        </is>
      </c>
      <c r="AA22" s="18">
        <f>EXACT(TRIM(C22),L22&amp;"")</f>
        <v/>
      </c>
      <c r="AB22" s="18">
        <f>EXACT(TRIM(D22),M22&amp;"")</f>
        <v/>
      </c>
      <c r="AC22" s="18">
        <f>EXACT(TRIM(E22),"'"&amp;N22&amp;"'")</f>
        <v/>
      </c>
      <c r="AD22" s="18">
        <f>EXACT(TRIM(F22),"'"&amp;O22&amp;"'")</f>
        <v/>
      </c>
      <c r="AE22" s="18">
        <f>EXACT(TRIM(G22),"'"&amp;P22&amp;"'")</f>
        <v/>
      </c>
      <c r="AF22" s="18">
        <f>EXACT(TRIM(H22),Q22&amp;"")</f>
        <v/>
      </c>
      <c r="AG22" s="18">
        <f>EXACT(TRIM(I22),"'"&amp;R22&amp;"'")</f>
        <v/>
      </c>
      <c r="AH22" s="18">
        <f>EXACT(TRIM(J22),S22&amp;"")</f>
        <v/>
      </c>
      <c r="AI22" s="18">
        <f>AND(AA22:AH22)</f>
        <v/>
      </c>
      <c r="AJ22" s="19">
        <f>TRIM(IF(AA22,"",$AA$3&amp;" ")&amp;IF(AB22,"",$AB$3&amp;" ")&amp;IF(AC22,"",$AC$3&amp;" ")&amp;IF(AD22,"",$AD$3&amp;" ")&amp;IF(AE22,"",$AE$3&amp;" ")&amp;IF(AF22,"",$AF$3&amp;" ")&amp;IF(AG22,"",$AG$3&amp;" ")&amp;IF(AH22,"",$AH$3&amp;" "))</f>
        <v/>
      </c>
      <c r="AK22" s="18">
        <f>EXACT(SUBSTITUTE(A22," ",""),SUBSTITUTE(U22&amp;V22&amp;W22&amp;X22&amp;Y22," ",""))</f>
        <v/>
      </c>
    </row>
    <row r="23">
      <c r="A23" s="15" t="inlineStr">
        <is>
          <t>INSERT INTO MNG_LIST_SEARCH_ITEM_TBL VALUES(16,20, 'TO','DATE_TO','',NULL,'',20);</t>
        </is>
      </c>
      <c r="B23" s="16" t="n"/>
      <c r="C23" s="15" t="inlineStr">
        <is>
          <t>16</t>
        </is>
      </c>
      <c r="D23" s="15" t="inlineStr">
        <is>
          <t>20</t>
        </is>
      </c>
      <c r="E23" s="15" t="inlineStr">
        <is>
          <t xml:space="preserve"> 'TO'</t>
        </is>
      </c>
      <c r="F23" s="15" t="inlineStr">
        <is>
          <t>'DATE_TO'</t>
        </is>
      </c>
      <c r="G23" s="15" t="inlineStr">
        <is>
          <t>''</t>
        </is>
      </c>
      <c r="H23" s="15" t="inlineStr">
        <is>
          <t>NULL</t>
        </is>
      </c>
      <c r="I23" s="15" t="inlineStr">
        <is>
          <t>''</t>
        </is>
      </c>
      <c r="J23" s="15" t="inlineStr">
        <is>
          <t>20</t>
        </is>
      </c>
      <c r="L23" s="17" t="inlineStr">
        <is>
          <t>16</t>
        </is>
      </c>
      <c r="M23" s="17" t="inlineStr">
        <is>
          <t>20</t>
        </is>
      </c>
      <c r="N23" s="17" t="inlineStr">
        <is>
          <t>TO</t>
        </is>
      </c>
      <c r="O23" s="17" t="inlineStr">
        <is>
          <t>DATE_TO</t>
        </is>
      </c>
      <c r="P23" s="17" t="inlineStr"/>
      <c r="Q23" s="17" t="inlineStr">
        <is>
          <t>NULL</t>
        </is>
      </c>
      <c r="R23" s="17" t="inlineStr"/>
      <c r="S23" s="17" t="inlineStr">
        <is>
          <t>20</t>
        </is>
      </c>
      <c r="U23" s="15" t="inlineStr">
        <is>
          <t>INSERT INTO</t>
        </is>
      </c>
      <c r="V23" s="15" t="inlineStr">
        <is>
          <t>MNG_LIST_SEARCH_ITEM_TBL</t>
        </is>
      </c>
      <c r="W23" s="15" t="inlineStr">
        <is>
          <t>VALUES(</t>
        </is>
      </c>
      <c r="X23" s="15" t="inlineStr">
        <is>
          <t>16,20, 'TO','DATE_TO','',NULL,'',20</t>
        </is>
      </c>
      <c r="Y23" s="15" t="inlineStr">
        <is>
          <t>);</t>
        </is>
      </c>
      <c r="AA23" s="18">
        <f>EXACT(TRIM(C23),L23&amp;"")</f>
        <v/>
      </c>
      <c r="AB23" s="18">
        <f>EXACT(TRIM(D23),M23&amp;"")</f>
        <v/>
      </c>
      <c r="AC23" s="18">
        <f>EXACT(TRIM(E23),"'"&amp;N23&amp;"'")</f>
        <v/>
      </c>
      <c r="AD23" s="18">
        <f>EXACT(TRIM(F23),"'"&amp;O23&amp;"'")</f>
        <v/>
      </c>
      <c r="AE23" s="18">
        <f>EXACT(TRIM(G23),"'"&amp;P23&amp;"'")</f>
        <v/>
      </c>
      <c r="AF23" s="18">
        <f>EXACT(TRIM(H23),Q23&amp;"")</f>
        <v/>
      </c>
      <c r="AG23" s="18">
        <f>EXACT(TRIM(I23),"'"&amp;R23&amp;"'")</f>
        <v/>
      </c>
      <c r="AH23" s="18">
        <f>EXACT(TRIM(J23),S23&amp;"")</f>
        <v/>
      </c>
      <c r="AI23" s="18">
        <f>AND(AA23:AH23)</f>
        <v/>
      </c>
      <c r="AJ23" s="19">
        <f>TRIM(IF(AA23,"",$AA$3&amp;" ")&amp;IF(AB23,"",$AB$3&amp;" ")&amp;IF(AC23,"",$AC$3&amp;" ")&amp;IF(AD23,"",$AD$3&amp;" ")&amp;IF(AE23,"",$AE$3&amp;" ")&amp;IF(AF23,"",$AF$3&amp;" ")&amp;IF(AG23,"",$AG$3&amp;" ")&amp;IF(AH23,"",$AH$3&amp;" "))</f>
        <v/>
      </c>
      <c r="AK23" s="18">
        <f>EXACT(SUBSTITUTE(A23," ",""),SUBSTITUTE(U23&amp;V23&amp;W23&amp;X23&amp;Y23," ",""))</f>
        <v/>
      </c>
    </row>
    <row r="24">
      <c r="A24" s="15" t="inlineStr">
        <is>
          <t>INSERT INTO MNG_LIST_SEARCH_ITEM_TBL VALUES(16,21, '都道府県','ADDRESS_PREF','',NULL,'',21);</t>
        </is>
      </c>
      <c r="B24" s="16" t="n"/>
      <c r="C24" s="15" t="inlineStr">
        <is>
          <t>16</t>
        </is>
      </c>
      <c r="D24" s="15" t="inlineStr">
        <is>
          <t>21</t>
        </is>
      </c>
      <c r="E24" s="15" t="inlineStr">
        <is>
          <t xml:space="preserve"> '都道府県'</t>
        </is>
      </c>
      <c r="F24" s="15" t="inlineStr">
        <is>
          <t>'ADDRESS_PREF'</t>
        </is>
      </c>
      <c r="G24" s="15" t="inlineStr">
        <is>
          <t>''</t>
        </is>
      </c>
      <c r="H24" s="15" t="inlineStr">
        <is>
          <t>NULL</t>
        </is>
      </c>
      <c r="I24" s="15" t="inlineStr">
        <is>
          <t>''</t>
        </is>
      </c>
      <c r="J24" s="15" t="inlineStr">
        <is>
          <t>21</t>
        </is>
      </c>
      <c r="L24" s="17" t="inlineStr">
        <is>
          <t>16</t>
        </is>
      </c>
      <c r="M24" s="17" t="inlineStr">
        <is>
          <t>21</t>
        </is>
      </c>
      <c r="N24" s="17" t="inlineStr">
        <is>
          <t>都道府県</t>
        </is>
      </c>
      <c r="O24" s="17" t="inlineStr">
        <is>
          <t>ADDRESS_PREF</t>
        </is>
      </c>
      <c r="P24" s="17" t="inlineStr"/>
      <c r="Q24" s="17" t="inlineStr">
        <is>
          <t>NULL</t>
        </is>
      </c>
      <c r="R24" s="17" t="inlineStr"/>
      <c r="S24" s="17" t="inlineStr">
        <is>
          <t>21</t>
        </is>
      </c>
      <c r="U24" s="15" t="inlineStr">
        <is>
          <t>INSERT INTO</t>
        </is>
      </c>
      <c r="V24" s="15" t="inlineStr">
        <is>
          <t>MNG_LIST_SEARCH_ITEM_TBL</t>
        </is>
      </c>
      <c r="W24" s="15" t="inlineStr">
        <is>
          <t>VALUES(</t>
        </is>
      </c>
      <c r="X24" s="15" t="inlineStr">
        <is>
          <t>16,21, '都道府県','ADDRESS_PREF','',NULL,'',21</t>
        </is>
      </c>
      <c r="Y24" s="15" t="inlineStr">
        <is>
          <t>);</t>
        </is>
      </c>
      <c r="AA24" s="18">
        <f>EXACT(TRIM(C24),L24&amp;"")</f>
        <v/>
      </c>
      <c r="AB24" s="18">
        <f>EXACT(TRIM(D24),M24&amp;"")</f>
        <v/>
      </c>
      <c r="AC24" s="18">
        <f>EXACT(TRIM(E24),"'"&amp;N24&amp;"'")</f>
        <v/>
      </c>
      <c r="AD24" s="18">
        <f>EXACT(TRIM(F24),"'"&amp;O24&amp;"'")</f>
        <v/>
      </c>
      <c r="AE24" s="18">
        <f>EXACT(TRIM(G24),"'"&amp;P24&amp;"'")</f>
        <v/>
      </c>
      <c r="AF24" s="18">
        <f>EXACT(TRIM(H24),Q24&amp;"")</f>
        <v/>
      </c>
      <c r="AG24" s="18">
        <f>EXACT(TRIM(I24),"'"&amp;R24&amp;"'")</f>
        <v/>
      </c>
      <c r="AH24" s="18">
        <f>EXACT(TRIM(J24),S24&amp;"")</f>
        <v/>
      </c>
      <c r="AI24" s="18">
        <f>AND(AA24:AH24)</f>
        <v/>
      </c>
      <c r="AJ24" s="19">
        <f>TRIM(IF(AA24,"",$AA$3&amp;" ")&amp;IF(AB24,"",$AB$3&amp;" ")&amp;IF(AC24,"",$AC$3&amp;" ")&amp;IF(AD24,"",$AD$3&amp;" ")&amp;IF(AE24,"",$AE$3&amp;" ")&amp;IF(AF24,"",$AF$3&amp;" ")&amp;IF(AG24,"",$AG$3&amp;" ")&amp;IF(AH24,"",$AH$3&amp;" "))</f>
        <v/>
      </c>
      <c r="AK24" s="18">
        <f>EXACT(SUBSTITUTE(A24," ",""),SUBSTITUTE(U24&amp;V24&amp;W24&amp;X24&amp;Y24," ",""))</f>
        <v/>
      </c>
    </row>
    <row r="25">
      <c r="A25" s="15" t="inlineStr">
        <is>
          <t>INSERT INTO MNG_LIST_SEARCH_ITEM_TBL VALUES(16,22, '市区町村','ADDRESS_MUN','',NULL,'',22);</t>
        </is>
      </c>
      <c r="B25" s="16" t="n"/>
      <c r="C25" s="15" t="inlineStr">
        <is>
          <t>16</t>
        </is>
      </c>
      <c r="D25" s="15" t="inlineStr">
        <is>
          <t>22</t>
        </is>
      </c>
      <c r="E25" s="15" t="inlineStr">
        <is>
          <t xml:space="preserve"> '市区町村'</t>
        </is>
      </c>
      <c r="F25" s="15" t="inlineStr">
        <is>
          <t>'ADDRESS_MUN'</t>
        </is>
      </c>
      <c r="G25" s="15" t="inlineStr">
        <is>
          <t>''</t>
        </is>
      </c>
      <c r="H25" s="15" t="inlineStr">
        <is>
          <t>NULL</t>
        </is>
      </c>
      <c r="I25" s="15" t="inlineStr">
        <is>
          <t>''</t>
        </is>
      </c>
      <c r="J25" s="15" t="inlineStr">
        <is>
          <t>22</t>
        </is>
      </c>
      <c r="L25" s="17" t="inlineStr">
        <is>
          <t>16</t>
        </is>
      </c>
      <c r="M25" s="17" t="inlineStr">
        <is>
          <t>22</t>
        </is>
      </c>
      <c r="N25" s="17" t="inlineStr">
        <is>
          <t>市区町村</t>
        </is>
      </c>
      <c r="O25" s="17" t="inlineStr">
        <is>
          <t>ADDRESS_MUN</t>
        </is>
      </c>
      <c r="P25" s="17" t="inlineStr"/>
      <c r="Q25" s="17" t="inlineStr">
        <is>
          <t>NULL</t>
        </is>
      </c>
      <c r="R25" s="17" t="inlineStr"/>
      <c r="S25" s="17" t="inlineStr">
        <is>
          <t>22</t>
        </is>
      </c>
      <c r="U25" s="15" t="inlineStr">
        <is>
          <t>INSERT INTO</t>
        </is>
      </c>
      <c r="V25" s="15" t="inlineStr">
        <is>
          <t>MNG_LIST_SEARCH_ITEM_TBL</t>
        </is>
      </c>
      <c r="W25" s="15" t="inlineStr">
        <is>
          <t>VALUES(</t>
        </is>
      </c>
      <c r="X25" s="15" t="inlineStr">
        <is>
          <t>16,22, '市区町村','ADDRESS_MUN','',NULL,'',22</t>
        </is>
      </c>
      <c r="Y25" s="15" t="inlineStr">
        <is>
          <t>);</t>
        </is>
      </c>
      <c r="AA25" s="18">
        <f>EXACT(TRIM(C25),L25&amp;"")</f>
        <v/>
      </c>
      <c r="AB25" s="18">
        <f>EXACT(TRIM(D25),M25&amp;"")</f>
        <v/>
      </c>
      <c r="AC25" s="18">
        <f>EXACT(TRIM(E25),"'"&amp;N25&amp;"'")</f>
        <v/>
      </c>
      <c r="AD25" s="18">
        <f>EXACT(TRIM(F25),"'"&amp;O25&amp;"'")</f>
        <v/>
      </c>
      <c r="AE25" s="18">
        <f>EXACT(TRIM(G25),"'"&amp;P25&amp;"'")</f>
        <v/>
      </c>
      <c r="AF25" s="18">
        <f>EXACT(TRIM(H25),Q25&amp;"")</f>
        <v/>
      </c>
      <c r="AG25" s="18">
        <f>EXACT(TRIM(I25),"'"&amp;R25&amp;"'")</f>
        <v/>
      </c>
      <c r="AH25" s="18">
        <f>EXACT(TRIM(J25),S25&amp;"")</f>
        <v/>
      </c>
      <c r="AI25" s="18">
        <f>AND(AA25:AH25)</f>
        <v/>
      </c>
      <c r="AJ25" s="19">
        <f>TRIM(IF(AA25,"",$AA$3&amp;" ")&amp;IF(AB25,"",$AB$3&amp;" ")&amp;IF(AC25,"",$AC$3&amp;" ")&amp;IF(AD25,"",$AD$3&amp;" ")&amp;IF(AE25,"",$AE$3&amp;" ")&amp;IF(AF25,"",$AF$3&amp;" ")&amp;IF(AG25,"",$AG$3&amp;" ")&amp;IF(AH25,"",$AH$3&amp;" "))</f>
        <v/>
      </c>
      <c r="AK25" s="18">
        <f>EXACT(SUBSTITUTE(A25," ",""),SUBSTITUTE(U25&amp;V25&amp;W25&amp;X25&amp;Y25," ",""))</f>
        <v/>
      </c>
    </row>
    <row r="26">
      <c r="A26" s="15" t="inlineStr">
        <is>
          <t>INSERT INTO MNG_LIST_SEARCH_ITEM_TBL VALUES(16,23, '記号','ACCOUNT_SYMBOL','',NULL,'',23);</t>
        </is>
      </c>
      <c r="B26" s="16" t="n"/>
      <c r="C26" s="15" t="inlineStr">
        <is>
          <t>16</t>
        </is>
      </c>
      <c r="D26" s="15" t="inlineStr">
        <is>
          <t>23</t>
        </is>
      </c>
      <c r="E26" s="15" t="inlineStr">
        <is>
          <t xml:space="preserve"> '記号'</t>
        </is>
      </c>
      <c r="F26" s="15" t="inlineStr">
        <is>
          <t>'ACCOUNT_SYMBOL'</t>
        </is>
      </c>
      <c r="G26" s="15" t="inlineStr">
        <is>
          <t>''</t>
        </is>
      </c>
      <c r="H26" s="15" t="inlineStr">
        <is>
          <t>NULL</t>
        </is>
      </c>
      <c r="I26" s="15" t="inlineStr">
        <is>
          <t>''</t>
        </is>
      </c>
      <c r="J26" s="15" t="inlineStr">
        <is>
          <t>23</t>
        </is>
      </c>
      <c r="L26" s="17" t="inlineStr">
        <is>
          <t>16</t>
        </is>
      </c>
      <c r="M26" s="17" t="inlineStr">
        <is>
          <t>23</t>
        </is>
      </c>
      <c r="N26" s="17" t="inlineStr">
        <is>
          <t>記号</t>
        </is>
      </c>
      <c r="O26" s="17" t="inlineStr">
        <is>
          <t>ACCOUNT_SYMBOL</t>
        </is>
      </c>
      <c r="P26" s="17" t="inlineStr"/>
      <c r="Q26" s="17" t="inlineStr">
        <is>
          <t>NULL</t>
        </is>
      </c>
      <c r="R26" s="17" t="inlineStr"/>
      <c r="S26" s="17" t="inlineStr">
        <is>
          <t>23</t>
        </is>
      </c>
      <c r="U26" s="15" t="inlineStr">
        <is>
          <t>INSERT INTO</t>
        </is>
      </c>
      <c r="V26" s="15" t="inlineStr">
        <is>
          <t>MNG_LIST_SEARCH_ITEM_TBL</t>
        </is>
      </c>
      <c r="W26" s="15" t="inlineStr">
        <is>
          <t>VALUES(</t>
        </is>
      </c>
      <c r="X26" s="15" t="inlineStr">
        <is>
          <t>16,23, '記号','ACCOUNT_SYMBOL','',NULL,'',23</t>
        </is>
      </c>
      <c r="Y26" s="15" t="inlineStr">
        <is>
          <t>);</t>
        </is>
      </c>
      <c r="AA26" s="18">
        <f>EXACT(TRIM(C26),L26&amp;"")</f>
        <v/>
      </c>
      <c r="AB26" s="18">
        <f>EXACT(TRIM(D26),M26&amp;"")</f>
        <v/>
      </c>
      <c r="AC26" s="18">
        <f>EXACT(TRIM(E26),"'"&amp;N26&amp;"'")</f>
        <v/>
      </c>
      <c r="AD26" s="18">
        <f>EXACT(TRIM(F26),"'"&amp;O26&amp;"'")</f>
        <v/>
      </c>
      <c r="AE26" s="18">
        <f>EXACT(TRIM(G26),"'"&amp;P26&amp;"'")</f>
        <v/>
      </c>
      <c r="AF26" s="18">
        <f>EXACT(TRIM(H26),Q26&amp;"")</f>
        <v/>
      </c>
      <c r="AG26" s="18">
        <f>EXACT(TRIM(I26),"'"&amp;R26&amp;"'")</f>
        <v/>
      </c>
      <c r="AH26" s="18">
        <f>EXACT(TRIM(J26),S26&amp;"")</f>
        <v/>
      </c>
      <c r="AI26" s="18">
        <f>AND(AA26:AH26)</f>
        <v/>
      </c>
      <c r="AJ26" s="19">
        <f>TRIM(IF(AA26,"",$AA$3&amp;" ")&amp;IF(AB26,"",$AB$3&amp;" ")&amp;IF(AC26,"",$AC$3&amp;" ")&amp;IF(AD26,"",$AD$3&amp;" ")&amp;IF(AE26,"",$AE$3&amp;" ")&amp;IF(AF26,"",$AF$3&amp;" ")&amp;IF(AG26,"",$AG$3&amp;" ")&amp;IF(AH26,"",$AH$3&amp;" "))</f>
        <v/>
      </c>
      <c r="AK26" s="18">
        <f>EXACT(SUBSTITUTE(A26," ",""),SUBSTITUTE(U26&amp;V26&amp;W26&amp;X26&amp;Y26," ",""))</f>
        <v/>
      </c>
    </row>
    <row r="27">
      <c r="A27" s="15" t="inlineStr">
        <is>
          <t>INSERT INTO MNG_LIST_SEARCH_ITEM_TBL VALUES(16,24, '番号','ACCOUNT_NO','',NULL,'',24);</t>
        </is>
      </c>
      <c r="B27" s="16" t="n"/>
      <c r="C27" s="15" t="inlineStr">
        <is>
          <t>16</t>
        </is>
      </c>
      <c r="D27" s="15" t="inlineStr">
        <is>
          <t>24</t>
        </is>
      </c>
      <c r="E27" s="15" t="inlineStr">
        <is>
          <t xml:space="preserve"> '番号'</t>
        </is>
      </c>
      <c r="F27" s="15" t="inlineStr">
        <is>
          <t>'ACCOUNT_NO'</t>
        </is>
      </c>
      <c r="G27" s="15" t="inlineStr">
        <is>
          <t>''</t>
        </is>
      </c>
      <c r="H27" s="15" t="inlineStr">
        <is>
          <t>NULL</t>
        </is>
      </c>
      <c r="I27" s="15" t="inlineStr">
        <is>
          <t>''</t>
        </is>
      </c>
      <c r="J27" s="15" t="inlineStr">
        <is>
          <t>24</t>
        </is>
      </c>
      <c r="L27" s="17" t="inlineStr">
        <is>
          <t>16</t>
        </is>
      </c>
      <c r="M27" s="17" t="inlineStr">
        <is>
          <t>24</t>
        </is>
      </c>
      <c r="N27" s="17" t="inlineStr">
        <is>
          <t>番号</t>
        </is>
      </c>
      <c r="O27" s="17" t="inlineStr">
        <is>
          <t>ACCOUNT_NO</t>
        </is>
      </c>
      <c r="P27" s="17" t="inlineStr"/>
      <c r="Q27" s="17" t="inlineStr">
        <is>
          <t>NULL</t>
        </is>
      </c>
      <c r="R27" s="17" t="inlineStr"/>
      <c r="S27" s="17" t="inlineStr">
        <is>
          <t>24</t>
        </is>
      </c>
      <c r="U27" s="15" t="inlineStr">
        <is>
          <t>INSERT INTO</t>
        </is>
      </c>
      <c r="V27" s="15" t="inlineStr">
        <is>
          <t>MNG_LIST_SEARCH_ITEM_TBL</t>
        </is>
      </c>
      <c r="W27" s="15" t="inlineStr">
        <is>
          <t>VALUES(</t>
        </is>
      </c>
      <c r="X27" s="15" t="inlineStr">
        <is>
          <t>16,24, '番号','ACCOUNT_NO','',NULL,'',24</t>
        </is>
      </c>
      <c r="Y27" s="15" t="inlineStr">
        <is>
          <t>);</t>
        </is>
      </c>
      <c r="AA27" s="18">
        <f>EXACT(TRIM(C27),L27&amp;"")</f>
        <v/>
      </c>
      <c r="AB27" s="18">
        <f>EXACT(TRIM(D27),M27&amp;"")</f>
        <v/>
      </c>
      <c r="AC27" s="18">
        <f>EXACT(TRIM(E27),"'"&amp;N27&amp;"'")</f>
        <v/>
      </c>
      <c r="AD27" s="18">
        <f>EXACT(TRIM(F27),"'"&amp;O27&amp;"'")</f>
        <v/>
      </c>
      <c r="AE27" s="18">
        <f>EXACT(TRIM(G27),"'"&amp;P27&amp;"'")</f>
        <v/>
      </c>
      <c r="AF27" s="18">
        <f>EXACT(TRIM(H27),Q27&amp;"")</f>
        <v/>
      </c>
      <c r="AG27" s="18">
        <f>EXACT(TRIM(I27),"'"&amp;R27&amp;"'")</f>
        <v/>
      </c>
      <c r="AH27" s="18">
        <f>EXACT(TRIM(J27),S27&amp;"")</f>
        <v/>
      </c>
      <c r="AI27" s="18">
        <f>AND(AA27:AH27)</f>
        <v/>
      </c>
      <c r="AJ27" s="19">
        <f>TRIM(IF(AA27,"",$AA$3&amp;" ")&amp;IF(AB27,"",$AB$3&amp;" ")&amp;IF(AC27,"",$AC$3&amp;" ")&amp;IF(AD27,"",$AD$3&amp;" ")&amp;IF(AE27,"",$AE$3&amp;" ")&amp;IF(AF27,"",$AF$3&amp;" ")&amp;IF(AG27,"",$AG$3&amp;" ")&amp;IF(AH27,"",$AH$3&amp;" "))</f>
        <v/>
      </c>
      <c r="AK27" s="18">
        <f>EXACT(SUBSTITUTE(A27," ",""),SUBSTITUTE(U27&amp;V27&amp;W27&amp;X27&amp;Y27," ",""))</f>
        <v/>
      </c>
    </row>
  </sheetData>
  <autoFilter ref="A3:AN27"/>
  <mergeCells count="9">
    <mergeCell ref="A1:J1"/>
    <mergeCell ref="AM2:AN2"/>
    <mergeCell ref="L2:S2"/>
    <mergeCell ref="U2:Y2"/>
    <mergeCell ref="C2:J2"/>
    <mergeCell ref="AA1:AK1"/>
    <mergeCell ref="L1:Y1"/>
    <mergeCell ref="AA2:AJ2"/>
    <mergeCell ref="AM1:A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J4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2" customWidth="1" min="35" max="35"/>
    <col width="11" customWidth="1" min="36" max="36"/>
    <col width="11" customWidth="1" min="37" max="37"/>
    <col width="11" customWidth="1" min="38" max="38"/>
    <col width="62" customWidth="1" min="39" max="39"/>
    <col width="11" customWidth="1" min="40" max="40"/>
    <col width="2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4" customWidth="1" min="58" max="58"/>
    <col width="11" customWidth="1" min="59" max="59"/>
    <col width="2" customWidth="1" min="60" max="60"/>
    <col width="8" customWidth="1" min="61" max="61"/>
    <col width="30" customWidth="1" min="62" max="62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4" t="inlineStr">
        <is>
          <t>②③ マスタ定義書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  <c r="AP1" s="5" t="inlineStr">
        <is>
          <t>突合</t>
        </is>
      </c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6" t="inlineStr">
        <is>
          <t>確認結果（記入欄）</t>
        </is>
      </c>
      <c r="BJ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3" t="n"/>
      <c r="T2" s="4" t="inlineStr">
        <is>
          <t>横浜銀行様用出荷設定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3" t="n"/>
      <c r="AJ2" s="8" t="inlineStr">
        <is>
          <t>SQL</t>
        </is>
      </c>
      <c r="AK2" s="2" t="n"/>
      <c r="AL2" s="2" t="n"/>
      <c r="AM2" s="2" t="n"/>
      <c r="AN2" s="3" t="n"/>
      <c r="AP2" s="5" t="inlineStr">
        <is>
          <t>①②の突合（項目ごと）</t>
        </is>
      </c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3" t="n"/>
      <c r="BG2" s="5" t="inlineStr">
        <is>
          <t>①③の突合</t>
        </is>
      </c>
      <c r="BI2" s="6" t="inlineStr">
        <is>
          <t>確認結果</t>
        </is>
      </c>
      <c r="BJ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F3" s="10" t="inlineStr">
        <is>
          <t>区切4</t>
        </is>
      </c>
      <c r="G3" s="10" t="inlineStr">
        <is>
          <t>区切5</t>
        </is>
      </c>
      <c r="H3" s="10" t="inlineStr">
        <is>
          <t>区切6</t>
        </is>
      </c>
      <c r="I3" s="10" t="inlineStr">
        <is>
          <t>区切7</t>
        </is>
      </c>
      <c r="J3" s="10" t="inlineStr">
        <is>
          <t>区切8</t>
        </is>
      </c>
      <c r="K3" s="10" t="inlineStr">
        <is>
          <t>区切9</t>
        </is>
      </c>
      <c r="L3" s="10" t="inlineStr">
        <is>
          <t>区切10</t>
        </is>
      </c>
      <c r="M3" s="10" t="inlineStr">
        <is>
          <t>区切11</t>
        </is>
      </c>
      <c r="N3" s="10" t="inlineStr">
        <is>
          <t>区切12</t>
        </is>
      </c>
      <c r="O3" s="10" t="inlineStr">
        <is>
          <t>区切13</t>
        </is>
      </c>
      <c r="P3" s="10" t="inlineStr">
        <is>
          <t>区切14</t>
        </is>
      </c>
      <c r="Q3" s="10" t="inlineStr">
        <is>
          <t>区切15</t>
        </is>
      </c>
      <c r="R3" s="10" t="inlineStr">
        <is>
          <t>区切16</t>
        </is>
      </c>
      <c r="T3" s="11" t="inlineStr">
        <is>
          <t>LST_ID</t>
        </is>
      </c>
      <c r="U3" s="11" t="inlineStr">
        <is>
          <t>LIST_TYPE</t>
        </is>
      </c>
      <c r="V3" s="11" t="inlineStr">
        <is>
          <t>FILE_NAME</t>
        </is>
      </c>
      <c r="W3" s="11" t="inlineStr">
        <is>
          <t>ONLINE_REFLECTION_TARGET</t>
        </is>
      </c>
      <c r="X3" s="11" t="inlineStr">
        <is>
          <t>UPD_TYPE_SET_FLG</t>
        </is>
      </c>
      <c r="Y3" s="11" t="inlineStr">
        <is>
          <t>ERR_CONTD_FLG</t>
        </is>
      </c>
      <c r="Z3" s="11" t="inlineStr">
        <is>
          <t>FILE_UPD_CNT_SHW_FLG</t>
        </is>
      </c>
      <c r="AA3" s="11" t="inlineStr">
        <is>
          <t>DUPE_CHK_FLG</t>
        </is>
      </c>
      <c r="AB3" s="11" t="inlineStr">
        <is>
          <t>RCD_NO_GET_FLG</t>
        </is>
      </c>
      <c r="AC3" s="11" t="inlineStr">
        <is>
          <t>RSV_FLG1</t>
        </is>
      </c>
      <c r="AD3" s="11" t="inlineStr">
        <is>
          <t>RSV_FLG2</t>
        </is>
      </c>
      <c r="AE3" s="11" t="inlineStr">
        <is>
          <t>RSV_FLG3</t>
        </is>
      </c>
      <c r="AF3" s="11" t="inlineStr">
        <is>
          <t>RSV_FLG4</t>
        </is>
      </c>
      <c r="AG3" s="11" t="inlineStr">
        <is>
          <t>RSV_FLG5</t>
        </is>
      </c>
      <c r="AH3" s="11" t="inlineStr">
        <is>
          <t>LAST_UPDATE_DATE</t>
        </is>
      </c>
      <c r="AJ3" s="12" t="inlineStr">
        <is>
          <t>固定</t>
        </is>
      </c>
      <c r="AK3" s="12" t="inlineStr">
        <is>
          <t>固定</t>
        </is>
      </c>
      <c r="AL3" s="12" t="inlineStr">
        <is>
          <t>固定</t>
        </is>
      </c>
      <c r="AM3" s="12" t="inlineStr">
        <is>
          <t>数式</t>
        </is>
      </c>
      <c r="AN3" s="12" t="inlineStr">
        <is>
          <t>固定</t>
        </is>
      </c>
      <c r="AP3" s="13" t="inlineStr">
        <is>
          <t>LST_ID</t>
        </is>
      </c>
      <c r="AQ3" s="13" t="inlineStr">
        <is>
          <t>LIST_TYPE</t>
        </is>
      </c>
      <c r="AR3" s="13" t="inlineStr">
        <is>
          <t>FILE_NAME</t>
        </is>
      </c>
      <c r="AS3" s="13" t="inlineStr">
        <is>
          <t>ONLINE_REFLECTION_TARGET</t>
        </is>
      </c>
      <c r="AT3" s="13" t="inlineStr">
        <is>
          <t>UPD_TYPE_SET_FLG</t>
        </is>
      </c>
      <c r="AU3" s="13" t="inlineStr">
        <is>
          <t>ERR_CONTD_FLG</t>
        </is>
      </c>
      <c r="AV3" s="13" t="inlineStr">
        <is>
          <t>FILE_UPD_CNT_SHW_FLG</t>
        </is>
      </c>
      <c r="AW3" s="13" t="inlineStr">
        <is>
          <t>DUPE_CHK_FLG</t>
        </is>
      </c>
      <c r="AX3" s="13" t="inlineStr">
        <is>
          <t>RCD_NO_GET_FLG</t>
        </is>
      </c>
      <c r="AY3" s="13" t="inlineStr">
        <is>
          <t>RSV_FLG1</t>
        </is>
      </c>
      <c r="AZ3" s="13" t="inlineStr">
        <is>
          <t>RSV_FLG2</t>
        </is>
      </c>
      <c r="BA3" s="13" t="inlineStr">
        <is>
          <t>RSV_FLG3</t>
        </is>
      </c>
      <c r="BB3" s="13" t="inlineStr">
        <is>
          <t>RSV_FLG4</t>
        </is>
      </c>
      <c r="BC3" s="13" t="inlineStr">
        <is>
          <t>RSV_FLG5</t>
        </is>
      </c>
      <c r="BD3" s="13" t="inlineStr">
        <is>
          <t>LAST_UPDATE_DATE</t>
        </is>
      </c>
      <c r="BE3" s="13" t="inlineStr">
        <is>
          <t>全項目一致</t>
        </is>
      </c>
      <c r="BF3" s="13" t="inlineStr">
        <is>
          <t>相違した項目</t>
        </is>
      </c>
      <c r="BG3" s="13" t="inlineStr">
        <is>
          <t>SQL文一致</t>
        </is>
      </c>
      <c r="BI3" s="14" t="inlineStr">
        <is>
          <t>判定</t>
        </is>
      </c>
      <c r="BJ3" s="14" t="inlineStr">
        <is>
          <t>備考</t>
        </is>
      </c>
    </row>
    <row r="4">
      <c r="A4" s="15" t="inlineStr">
        <is>
          <t>INSERT INTO MNG_LIST_ATTR_TBL VALUES(16,'BC','BファイルC情報.csv','N','1','N','N','0','1','0','0','Y','','',to_timestamp('2022/01/01 0:00:00' , 'yyyy/MM/dd hh24:mi:ss'));</t>
        </is>
      </c>
      <c r="B4" s="16" t="n"/>
      <c r="C4" s="15" t="inlineStr">
        <is>
          <t>16</t>
        </is>
      </c>
      <c r="D4" s="15" t="inlineStr">
        <is>
          <t>'BC'</t>
        </is>
      </c>
      <c r="E4" s="15" t="inlineStr">
        <is>
          <t>'BファイルC情報.csv'</t>
        </is>
      </c>
      <c r="F4" s="15" t="inlineStr">
        <is>
          <t>'N'</t>
        </is>
      </c>
      <c r="G4" s="15" t="inlineStr">
        <is>
          <t>'1'</t>
        </is>
      </c>
      <c r="H4" s="15" t="inlineStr">
        <is>
          <t>'N'</t>
        </is>
      </c>
      <c r="I4" s="15" t="inlineStr">
        <is>
          <t>'N'</t>
        </is>
      </c>
      <c r="J4" s="15" t="inlineStr">
        <is>
          <t>'0'</t>
        </is>
      </c>
      <c r="K4" s="15" t="inlineStr">
        <is>
          <t>'1'</t>
        </is>
      </c>
      <c r="L4" s="15" t="inlineStr">
        <is>
          <t>'0'</t>
        </is>
      </c>
      <c r="M4" s="15" t="inlineStr">
        <is>
          <t>'0'</t>
        </is>
      </c>
      <c r="N4" s="15" t="inlineStr">
        <is>
          <t>'Y'</t>
        </is>
      </c>
      <c r="O4" s="15" t="inlineStr">
        <is>
          <t>''</t>
        </is>
      </c>
      <c r="P4" s="15" t="inlineStr">
        <is>
          <t>''</t>
        </is>
      </c>
      <c r="Q4" s="15" t="inlineStr">
        <is>
          <t xml:space="preserve">to_timestamp('2022/01/01 0:00:00' </t>
        </is>
      </c>
      <c r="R4" s="15" t="inlineStr">
        <is>
          <t xml:space="preserve"> 'yyyy/MM/dd hh24:mi:ss')</t>
        </is>
      </c>
      <c r="T4" s="17" t="inlineStr">
        <is>
          <t>16</t>
        </is>
      </c>
      <c r="U4" s="17" t="inlineStr">
        <is>
          <t>BC</t>
        </is>
      </c>
      <c r="V4" s="17" t="inlineStr">
        <is>
          <t>BファイルC情報.csv</t>
        </is>
      </c>
      <c r="W4" s="17" t="inlineStr">
        <is>
          <t>N</t>
        </is>
      </c>
      <c r="X4" s="17" t="inlineStr">
        <is>
          <t>1</t>
        </is>
      </c>
      <c r="Y4" s="17" t="inlineStr">
        <is>
          <t>N</t>
        </is>
      </c>
      <c r="Z4" s="17" t="inlineStr">
        <is>
          <t>N</t>
        </is>
      </c>
      <c r="AA4" s="17" t="inlineStr">
        <is>
          <t>0</t>
        </is>
      </c>
      <c r="AB4" s="17" t="inlineStr">
        <is>
          <t>1</t>
        </is>
      </c>
      <c r="AC4" s="21" t="inlineStr">
        <is>
          <t>1</t>
        </is>
      </c>
      <c r="AD4" s="17" t="inlineStr">
        <is>
          <t>0</t>
        </is>
      </c>
      <c r="AE4" s="17" t="inlineStr">
        <is>
          <t>Y</t>
        </is>
      </c>
      <c r="AF4" s="17" t="inlineStr"/>
      <c r="AG4" s="17" t="inlineStr"/>
      <c r="AH4" s="17" t="inlineStr">
        <is>
          <t>2022/01/01 0:00:00</t>
        </is>
      </c>
      <c r="AJ4" s="15" t="inlineStr">
        <is>
          <t>INSERT INTO</t>
        </is>
      </c>
      <c r="AK4" s="15" t="inlineStr">
        <is>
          <t>MNG_LIST_ATTR_TBL</t>
        </is>
      </c>
      <c r="AL4" s="15" t="inlineStr">
        <is>
          <t>VALUES(</t>
        </is>
      </c>
      <c r="AM4" s="15" t="inlineStr">
        <is>
          <t>16,'BC','BファイルC情報.csv','N','1','N','N','0','1','1','0','Y','','',to_timestamp('2022/01/01 0:00:00' , 'yyyy/MM/dd hh24:mi:ss')</t>
        </is>
      </c>
      <c r="AN4" s="15" t="inlineStr">
        <is>
          <t>);</t>
        </is>
      </c>
      <c r="AP4" s="18">
        <f>EXACT(TRIM(C4),T4&amp;"")</f>
        <v/>
      </c>
      <c r="AQ4" s="18">
        <f>EXACT(TRIM(D4),"'"&amp;U4&amp;"'")</f>
        <v/>
      </c>
      <c r="AR4" s="18">
        <f>EXACT(TRIM(E4),"'"&amp;V4&amp;"'")</f>
        <v/>
      </c>
      <c r="AS4" s="18">
        <f>EXACT(TRIM(F4),"'"&amp;W4&amp;"'")</f>
        <v/>
      </c>
      <c r="AT4" s="18">
        <f>EXACT(TRIM(G4),"'"&amp;X4&amp;"'")</f>
        <v/>
      </c>
      <c r="AU4" s="18">
        <f>EXACT(TRIM(H4),"'"&amp;Y4&amp;"'")</f>
        <v/>
      </c>
      <c r="AV4" s="18">
        <f>EXACT(TRIM(I4),"'"&amp;Z4&amp;"'")</f>
        <v/>
      </c>
      <c r="AW4" s="18">
        <f>EXACT(TRIM(J4),"'"&amp;AA4&amp;"'")</f>
        <v/>
      </c>
      <c r="AX4" s="18">
        <f>EXACT(TRIM(K4),"'"&amp;AB4&amp;"'")</f>
        <v/>
      </c>
      <c r="AY4" s="18">
        <f>EXACT(TRIM(L4),"'"&amp;AC4&amp;"'")</f>
        <v/>
      </c>
      <c r="AZ4" s="18">
        <f>EXACT(TRIM(M4),"'"&amp;AD4&amp;"'")</f>
        <v/>
      </c>
      <c r="BA4" s="18">
        <f>EXACT(TRIM(N4),"'"&amp;AE4&amp;"'")</f>
        <v/>
      </c>
      <c r="BB4" s="18">
        <f>EXACT(TRIM(O4),"'"&amp;AF4&amp;"'")</f>
        <v/>
      </c>
      <c r="BC4" s="18">
        <f>EXACT(TRIM(P4),"'"&amp;AG4&amp;"'")</f>
        <v/>
      </c>
      <c r="BD4" s="18">
        <f>EXACT(TRIM(Q4),"to_timestamp('"&amp;AH4&amp;"'")</f>
        <v/>
      </c>
      <c r="BE4" s="18">
        <f>AND(AP4:BD4)</f>
        <v/>
      </c>
      <c r="BF4" s="19">
        <f>TRIM(IF(AP4,"",$AP$3&amp;" ")&amp;IF(AQ4,"",$AQ$3&amp;" ")&amp;IF(AR4,"",$AR$3&amp;" ")&amp;IF(AS4,"",$AS$3&amp;" ")&amp;IF(AT4,"",$AT$3&amp;" ")&amp;IF(AU4,"",$AU$3&amp;" ")&amp;IF(AV4,"",$AV$3&amp;" ")&amp;IF(AW4,"",$AW$3&amp;" ")&amp;IF(AX4,"",$AX$3&amp;" ")&amp;IF(AY4,"",$AY$3&amp;" ")&amp;IF(AZ4,"",$AZ$3&amp;" ")&amp;IF(BA4,"",$BA$3&amp;" ")&amp;IF(BB4,"",$BB$3&amp;" ")&amp;IF(BC4,"",$BC$3&amp;" ")&amp;IF(BD4,"",$BD$3&amp;" "))</f>
        <v/>
      </c>
      <c r="BG4" s="18">
        <f>EXACT(SUBSTITUTE(A4," ",""),SUBSTITUTE(AJ4&amp;AK4&amp;AL4&amp;AM4&amp;AN4," ",""))</f>
        <v/>
      </c>
    </row>
  </sheetData>
  <autoFilter ref="A3:BJ4"/>
  <mergeCells count="9">
    <mergeCell ref="C2:R2"/>
    <mergeCell ref="T2:AH2"/>
    <mergeCell ref="BI2:BJ2"/>
    <mergeCell ref="T1:AN1"/>
    <mergeCell ref="AP1:BG1"/>
    <mergeCell ref="BI1:BJ1"/>
    <mergeCell ref="A1:R1"/>
    <mergeCell ref="AJ2:AN2"/>
    <mergeCell ref="AP2:B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2" customWidth="1" min="2" max="2"/>
    <col width="22" customWidth="1" min="3" max="3"/>
    <col width="22" customWidth="1" min="4" max="4"/>
    <col width="22" customWidth="1" min="5" max="5"/>
    <col width="2" customWidth="1" min="6" max="6"/>
    <col width="15" customWidth="1" min="7" max="7"/>
    <col width="15" customWidth="1" min="8" max="8"/>
    <col width="15" customWidth="1" min="9" max="9"/>
    <col width="2" customWidth="1" min="10" max="10"/>
    <col width="11" customWidth="1" min="11" max="11"/>
    <col width="11" customWidth="1" min="12" max="12"/>
    <col width="11" customWidth="1" min="13" max="13"/>
    <col width="62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24" customWidth="1" min="21" max="21"/>
    <col width="11" customWidth="1" min="22" max="22"/>
    <col width="2" customWidth="1" min="23" max="23"/>
    <col width="8" customWidth="1" min="24" max="24"/>
    <col width="30" customWidth="1" min="25" max="25"/>
  </cols>
  <sheetData>
    <row r="1" ht="20" customHeight="1">
      <c r="A1" s="1" t="inlineStr">
        <is>
          <t>① 資材（insert.sql）</t>
        </is>
      </c>
      <c r="B1" s="2" t="n"/>
      <c r="C1" s="2" t="n"/>
      <c r="D1" s="2" t="n"/>
      <c r="E1" s="3" t="n"/>
      <c r="G1" s="4" t="inlineStr">
        <is>
          <t>②③ マスタ定義書</t>
        </is>
      </c>
      <c r="H1" s="2" t="n"/>
      <c r="I1" s="2" t="n"/>
      <c r="J1" s="2" t="n"/>
      <c r="K1" s="2" t="n"/>
      <c r="L1" s="2" t="n"/>
      <c r="M1" s="2" t="n"/>
      <c r="N1" s="2" t="n"/>
      <c r="O1" s="3" t="n"/>
      <c r="Q1" s="5" t="inlineStr">
        <is>
          <t>突合</t>
        </is>
      </c>
      <c r="R1" s="2" t="n"/>
      <c r="S1" s="2" t="n"/>
      <c r="T1" s="2" t="n"/>
      <c r="U1" s="2" t="n"/>
      <c r="V1" s="3" t="n"/>
      <c r="X1" s="6" t="inlineStr">
        <is>
          <t>確認結果（記入欄）</t>
        </is>
      </c>
      <c r="Y1" s="3" t="n"/>
    </row>
    <row r="2" ht="20" customHeight="1">
      <c r="A2" s="1" t="inlineStr">
        <is>
          <t>原文</t>
        </is>
      </c>
      <c r="C2" s="7" t="inlineStr">
        <is>
          <t>カンマ区切り</t>
        </is>
      </c>
      <c r="D2" s="2" t="n"/>
      <c r="E2" s="3" t="n"/>
      <c r="G2" s="4" t="inlineStr">
        <is>
          <t>横浜銀行様用出荷設定</t>
        </is>
      </c>
      <c r="H2" s="2" t="n"/>
      <c r="I2" s="3" t="n"/>
      <c r="K2" s="8" t="inlineStr">
        <is>
          <t>SQL</t>
        </is>
      </c>
      <c r="L2" s="2" t="n"/>
      <c r="M2" s="2" t="n"/>
      <c r="N2" s="2" t="n"/>
      <c r="O2" s="3" t="n"/>
      <c r="Q2" s="5" t="inlineStr">
        <is>
          <t>①②の突合（項目ごと）</t>
        </is>
      </c>
      <c r="R2" s="2" t="n"/>
      <c r="S2" s="2" t="n"/>
      <c r="T2" s="2" t="n"/>
      <c r="U2" s="3" t="n"/>
      <c r="V2" s="5" t="inlineStr">
        <is>
          <t>①③の突合</t>
        </is>
      </c>
      <c r="X2" s="6" t="inlineStr">
        <is>
          <t>確認結果</t>
        </is>
      </c>
      <c r="Y2" s="3" t="n"/>
    </row>
    <row r="3" ht="30" customHeight="1">
      <c r="A3" s="9" t="inlineStr">
        <is>
          <t>原文SQL</t>
        </is>
      </c>
      <c r="C3" s="10" t="inlineStr">
        <is>
          <t>区切1</t>
        </is>
      </c>
      <c r="D3" s="10" t="inlineStr">
        <is>
          <t>区切2</t>
        </is>
      </c>
      <c r="E3" s="10" t="inlineStr">
        <is>
          <t>区切3</t>
        </is>
      </c>
      <c r="G3" s="11" t="inlineStr">
        <is>
          <t>LST_ID</t>
        </is>
      </c>
      <c r="H3" s="11" t="inlineStr">
        <is>
          <t>IMP_PROC_ORDER</t>
        </is>
      </c>
      <c r="I3" s="11" t="inlineStr">
        <is>
          <t>CALL_PROC</t>
        </is>
      </c>
      <c r="K3" s="12" t="inlineStr">
        <is>
          <t>固定</t>
        </is>
      </c>
      <c r="L3" s="12" t="inlineStr">
        <is>
          <t>固定</t>
        </is>
      </c>
      <c r="M3" s="12" t="inlineStr">
        <is>
          <t>固定</t>
        </is>
      </c>
      <c r="N3" s="12" t="inlineStr">
        <is>
          <t>数式</t>
        </is>
      </c>
      <c r="O3" s="12" t="inlineStr">
        <is>
          <t>固定</t>
        </is>
      </c>
      <c r="Q3" s="13" t="inlineStr">
        <is>
          <t>LST_ID</t>
        </is>
      </c>
      <c r="R3" s="13" t="inlineStr">
        <is>
          <t>IMP_PROC_ORDER</t>
        </is>
      </c>
      <c r="S3" s="13" t="inlineStr">
        <is>
          <t>CALL_PROC</t>
        </is>
      </c>
      <c r="T3" s="13" t="inlineStr">
        <is>
          <t>全項目一致</t>
        </is>
      </c>
      <c r="U3" s="13" t="inlineStr">
        <is>
          <t>相違した項目</t>
        </is>
      </c>
      <c r="V3" s="13" t="inlineStr">
        <is>
          <t>SQL文一致</t>
        </is>
      </c>
      <c r="X3" s="14" t="inlineStr">
        <is>
          <t>判定</t>
        </is>
      </c>
      <c r="Y3" s="14" t="inlineStr">
        <is>
          <t>備考</t>
        </is>
      </c>
    </row>
    <row r="4">
      <c r="A4" s="15" t="inlineStr">
        <is>
          <t>INSERT INTO MST_LIST_IMP_TBL VALUES(16,1,'C:\LIST_BATCH\bin\ListFormatUp.bat BFILE_CINFO');</t>
        </is>
      </c>
      <c r="B4" s="16" t="n"/>
      <c r="C4" s="15" t="inlineStr">
        <is>
          <t>16</t>
        </is>
      </c>
      <c r="D4" s="15" t="inlineStr">
        <is>
          <t>1</t>
        </is>
      </c>
      <c r="E4" s="15" t="inlineStr">
        <is>
          <t>'C:\LIST_BATCH\bin\ListFormatUp.bat BFILE_CINFO'</t>
        </is>
      </c>
      <c r="G4" s="17" t="inlineStr">
        <is>
          <t>16</t>
        </is>
      </c>
      <c r="H4" s="17" t="inlineStr">
        <is>
          <t>1</t>
        </is>
      </c>
      <c r="I4" s="17" t="inlineStr">
        <is>
          <t>C:\LIST_BATCH\bin\ListFormatUp.bat BFILE_CINFO</t>
        </is>
      </c>
      <c r="K4" s="15" t="inlineStr">
        <is>
          <t>INSERT INTO</t>
        </is>
      </c>
      <c r="L4" s="15" t="inlineStr">
        <is>
          <t>MST_LIST_IMP_TBL</t>
        </is>
      </c>
      <c r="M4" s="15" t="inlineStr">
        <is>
          <t>VALUES(</t>
        </is>
      </c>
      <c r="N4" s="15" t="inlineStr">
        <is>
          <t>16,1,'C:\LIST_BATCH\bin\ListFormatUp.bat BFILE_CINFO'</t>
        </is>
      </c>
      <c r="O4" s="15" t="inlineStr">
        <is>
          <t>);</t>
        </is>
      </c>
      <c r="Q4" s="18">
        <f>EXACT(TRIM(C4),G4&amp;"")</f>
        <v/>
      </c>
      <c r="R4" s="18">
        <f>EXACT(TRIM(D4),H4&amp;"")</f>
        <v/>
      </c>
      <c r="S4" s="18">
        <f>EXACT(TRIM(E4),"'"&amp;I4&amp;"'")</f>
        <v/>
      </c>
      <c r="T4" s="18">
        <f>AND(Q4:S4)</f>
        <v/>
      </c>
      <c r="U4" s="19">
        <f>TRIM(IF(Q4,"",$Q$3&amp;" ")&amp;IF(R4,"",$R$3&amp;" ")&amp;IF(S4,"",$S$3&amp;" "))</f>
        <v/>
      </c>
      <c r="V4" s="18">
        <f>EXACT(SUBSTITUTE(A4," ",""),SUBSTITUTE(K4&amp;L4&amp;M4&amp;N4&amp;O4," ",""))</f>
        <v/>
      </c>
    </row>
    <row r="5">
      <c r="A5" s="15" t="inlineStr">
        <is>
          <t>INSERT INTO MST_LIST_IMP_TBL VALUES(16,2,'C:\LIST_BATCH\bin\ListImport.bat C:\LIST_BATCH\OUT 0');</t>
        </is>
      </c>
      <c r="B5" s="16" t="n"/>
      <c r="C5" s="15" t="inlineStr">
        <is>
          <t>16</t>
        </is>
      </c>
      <c r="D5" s="15" t="inlineStr">
        <is>
          <t>2</t>
        </is>
      </c>
      <c r="E5" s="15" t="inlineStr">
        <is>
          <t>'C:\LIST_BATCH\bin\ListImport.bat C:\LIST_BATCH\OUT 0'</t>
        </is>
      </c>
      <c r="G5" s="17" t="inlineStr">
        <is>
          <t>16</t>
        </is>
      </c>
      <c r="H5" s="17" t="inlineStr">
        <is>
          <t>2</t>
        </is>
      </c>
      <c r="I5" s="17" t="inlineStr">
        <is>
          <t>C:\LIST_BATCH\bin\ListImport.bat C:\LIST_BATCH\OUT 0</t>
        </is>
      </c>
      <c r="K5" s="15" t="inlineStr">
        <is>
          <t>INSERT INTO</t>
        </is>
      </c>
      <c r="L5" s="15" t="inlineStr">
        <is>
          <t>MST_LIST_IMP_TBL</t>
        </is>
      </c>
      <c r="M5" s="15" t="inlineStr">
        <is>
          <t>VALUES(</t>
        </is>
      </c>
      <c r="N5" s="15" t="inlineStr">
        <is>
          <t>16,2,'C:\LIST_BATCH\bin\ListImport.bat C:\LIST_BATCH\OUT 0'</t>
        </is>
      </c>
      <c r="O5" s="15" t="inlineStr">
        <is>
          <t>);</t>
        </is>
      </c>
      <c r="Q5" s="18">
        <f>EXACT(TRIM(C5),G5&amp;"")</f>
        <v/>
      </c>
      <c r="R5" s="18">
        <f>EXACT(TRIM(D5),H5&amp;"")</f>
        <v/>
      </c>
      <c r="S5" s="18">
        <f>EXACT(TRIM(E5),"'"&amp;I5&amp;"'")</f>
        <v/>
      </c>
      <c r="T5" s="18">
        <f>AND(Q5:S5)</f>
        <v/>
      </c>
      <c r="U5" s="19">
        <f>TRIM(IF(Q5,"",$Q$3&amp;" ")&amp;IF(R5,"",$R$3&amp;" ")&amp;IF(S5,"",$S$3&amp;" "))</f>
        <v/>
      </c>
      <c r="V5" s="18">
        <f>EXACT(SUBSTITUTE(A5," ",""),SUBSTITUTE(K5&amp;L5&amp;M5&amp;N5&amp;O5," ",""))</f>
        <v/>
      </c>
    </row>
  </sheetData>
  <autoFilter ref="A3:Y5"/>
  <mergeCells count="9">
    <mergeCell ref="C2:E2"/>
    <mergeCell ref="G2:I2"/>
    <mergeCell ref="G1:O1"/>
    <mergeCell ref="Q2:U2"/>
    <mergeCell ref="X2:Y2"/>
    <mergeCell ref="X1:Y1"/>
    <mergeCell ref="K2:O2"/>
    <mergeCell ref="A1:E1"/>
    <mergeCell ref="Q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2026-10-21T02:31:34Z</dcterms:created>
  <dcterms:modified xmlns:dcterms="http://purl.org/dc/terms/" xmlns:xsi="http://www.w3.org/2001/XMLSchema-instance" xsi:type="dcterms:W3CDTF">2026-10-21T02:31:36Z</dcterms:modified>
</cp:coreProperties>
</file>