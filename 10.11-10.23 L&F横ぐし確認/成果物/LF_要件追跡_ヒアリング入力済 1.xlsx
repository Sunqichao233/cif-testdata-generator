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1" autoFilterDateGrouping="1"/>
  </bookViews>
  <sheets>
    <sheet xmlns:r="http://schemas.openxmlformats.org/officeDocument/2006/relationships" name="Sheet0_サマリー" sheetId="1" state="visible" r:id="rId1"/>
    <sheet xmlns:r="http://schemas.openxmlformats.org/officeDocument/2006/relationships" name="Sheet1_試験追跡" sheetId="2" state="visible" r:id="rId2"/>
    <sheet xmlns:r="http://schemas.openxmlformats.org/officeDocument/2006/relationships" name="Sheet2_資材追跡" sheetId="3" state="visible" r:id="rId3"/>
  </sheets>
  <definedNames>
    <definedName name="_xlnm._FilterDatabase" localSheetId="1" hidden="1">'Sheet1_試験追跡'!$A$1:$J$45</definedName>
    <definedName name="_xlnm._FilterDatabase" localSheetId="2" hidden="1">'Sheet2_資材追跡'!$A$1:$I$38</definedName>
  </definedNames>
  <calcPr calcId="191028" fullCalcOnLoad="1"/>
</workbook>
</file>

<file path=xl/styles.xml><?xml version="1.0" encoding="utf-8"?>
<styleSheet xmlns="http://schemas.openxmlformats.org/spreadsheetml/2006/main">
  <numFmts count="0"/>
  <fonts count="8">
    <font>
      <name val="ＭＳ Ｐゴシック"/>
      <family val="2"/>
      <color theme="1"/>
      <sz val="11"/>
      <scheme val="minor"/>
    </font>
    <font>
      <name val="Calibri"/>
      <family val="2"/>
      <b val="1"/>
      <color rgb="FFFFFFFF"/>
      <sz val="11"/>
    </font>
    <font>
      <name val="ＭＳ Ｐゴシック"/>
      <charset val="128"/>
      <family val="3"/>
      <sz val="6"/>
      <scheme val="minor"/>
    </font>
    <font>
      <name val="Segoe UI"/>
      <family val="2"/>
      <color theme="1"/>
      <sz val="11"/>
    </font>
    <font>
      <name val="Noto Sans JP"/>
      <charset val="134"/>
      <family val="2"/>
      <color theme="1"/>
      <sz val="11"/>
    </font>
    <font>
      <name val="ＭＳ ゴシック"/>
      <charset val="128"/>
      <family val="3"/>
      <color theme="1"/>
      <sz val="11"/>
    </font>
    <font>
      <name val="ＭＳ ゴシック"/>
      <charset val="128"/>
      <family val="3"/>
      <b val="1"/>
      <color rgb="FFFFFFFF"/>
      <sz val="11"/>
    </font>
    <font>
      <b val="1"/>
    </font>
  </fonts>
  <fills count="14">
    <fill>
      <patternFill/>
    </fill>
    <fill>
      <patternFill patternType="gray125"/>
    </fill>
    <fill>
      <patternFill patternType="solid">
        <fgColor rgb="FF4472C4"/>
      </patternFill>
    </fill>
    <fill>
      <patternFill patternType="solid">
        <fgColor rgb="FF5B9BD5"/>
      </patternFill>
    </fill>
    <fill>
      <patternFill patternType="solid">
        <fgColor rgb="FF70AD47"/>
      </patternFill>
    </fill>
    <fill>
      <patternFill patternType="solid">
        <fgColor rgb="00FCE4D6"/>
      </patternFill>
    </fill>
    <fill>
      <patternFill patternType="solid">
        <fgColor rgb="00D9E1F2"/>
      </patternFill>
    </fill>
    <fill>
      <patternFill patternType="solid">
        <fgColor rgb="00FFF2CC"/>
      </patternFill>
    </fill>
    <fill>
      <patternFill patternType="solid">
        <fgColor rgb="00C6EFCE"/>
      </patternFill>
    </fill>
    <fill>
      <patternFill patternType="solid">
        <fgColor rgb="00FFEB9C"/>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C7CE"/>
      </patternFill>
    </fill>
  </fills>
  <borders count="2">
    <border>
      <left/>
      <right/>
      <top/>
      <bottom/>
      <diagonal/>
    </border>
    <border>
      <left style="thin">
        <color rgb="00AAAAAA"/>
      </left>
      <right style="thin">
        <color rgb="00AAAAAA"/>
      </right>
      <top style="thin">
        <color rgb="00AAAAAA"/>
      </top>
      <bottom style="thin">
        <color rgb="00AAAAAA"/>
      </bottom>
    </border>
  </borders>
  <cellStyleXfs count="1">
    <xf numFmtId="0" fontId="0" fillId="0" borderId="0"/>
  </cellStyleXfs>
  <cellXfs count="28">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0" fillId="0" borderId="0" applyAlignment="1" pivotButton="0" quotePrefix="0" xfId="0">
      <alignment vertical="top" wrapText="1"/>
    </xf>
    <xf numFmtId="0" fontId="3" fillId="0" borderId="0" applyAlignment="1" pivotButton="0" quotePrefix="0" xfId="0">
      <alignment vertical="center"/>
    </xf>
    <xf numFmtId="0" fontId="0" fillId="0" borderId="0" applyAlignment="1" pivotButton="0" quotePrefix="0" xfId="0">
      <alignment wrapText="1"/>
    </xf>
    <xf numFmtId="0" fontId="6" fillId="3" borderId="0" pivotButton="0" quotePrefix="0" xfId="0"/>
    <xf numFmtId="0" fontId="7" fillId="6" borderId="1" applyAlignment="1" pivotButton="0" quotePrefix="0" xfId="0">
      <alignment horizontal="center" vertical="center" wrapText="1"/>
    </xf>
    <xf numFmtId="0" fontId="0" fillId="0" borderId="1" pivotButton="0" quotePrefix="0" xfId="0"/>
    <xf numFmtId="0" fontId="0" fillId="0" borderId="1" applyAlignment="1" pivotButton="0" quotePrefix="0" xfId="0">
      <alignment horizontal="center"/>
    </xf>
    <xf numFmtId="0" fontId="0" fillId="0" borderId="1" applyAlignment="1" pivotButton="0" quotePrefix="0" xfId="0">
      <alignment horizontal="left" vertical="top" wrapText="1"/>
    </xf>
    <xf numFmtId="0" fontId="0" fillId="7" borderId="1" applyAlignment="1" pivotButton="0" quotePrefix="0" xfId="0">
      <alignment horizontal="left" vertical="top" wrapText="1"/>
    </xf>
    <xf numFmtId="0" fontId="3" fillId="0" borderId="1" applyAlignment="1" pivotButton="0" quotePrefix="0" xfId="0">
      <alignment horizontal="left" vertical="top" wrapText="1"/>
    </xf>
    <xf numFmtId="0" fontId="0" fillId="5" borderId="1" applyAlignment="1" pivotButton="0" quotePrefix="0" xfId="0">
      <alignment horizontal="left" vertical="top" wrapText="1"/>
    </xf>
    <xf numFmtId="0" fontId="0" fillId="7" borderId="1" applyAlignment="1" pivotButton="0" quotePrefix="0" xfId="0">
      <alignment horizontal="center" vertical="center"/>
    </xf>
    <xf numFmtId="0" fontId="7" fillId="8" borderId="1" applyAlignment="1" pivotButton="0" quotePrefix="0" xfId="0">
      <alignment horizontal="center" vertical="center"/>
    </xf>
    <xf numFmtId="0" fontId="7" fillId="9" borderId="1" applyAlignment="1" pivotButton="0" quotePrefix="0" xfId="0">
      <alignment horizontal="center" vertical="center"/>
    </xf>
    <xf numFmtId="0" fontId="0" fillId="0" borderId="1" applyAlignment="1" pivotButton="0" quotePrefix="0" xfId="0">
      <alignment horizontal="center" vertical="center"/>
    </xf>
    <xf numFmtId="0" fontId="7" fillId="0" borderId="0" pivotButton="0" quotePrefix="0" xfId="0"/>
    <xf numFmtId="0" fontId="0" fillId="0" borderId="0" applyAlignment="1" pivotButton="0" quotePrefix="0" xfId="0">
      <alignment horizontal="left" vertical="top" wrapText="1"/>
    </xf>
    <xf numFmtId="0" fontId="0" fillId="11" borderId="1" applyAlignment="1" pivotButton="0" quotePrefix="0" xfId="0">
      <alignment horizontal="left" vertical="top" wrapText="1"/>
    </xf>
    <xf numFmtId="0" fontId="0" fillId="10" borderId="1" applyAlignment="1" pivotButton="0" quotePrefix="0" xfId="0">
      <alignment horizontal="left" vertical="top" wrapText="1"/>
    </xf>
    <xf numFmtId="0" fontId="0" fillId="12" borderId="1" applyAlignment="1" pivotButton="0" quotePrefix="0" xfId="0">
      <alignment horizontal="left" vertical="top" wrapText="1"/>
    </xf>
    <xf numFmtId="0" fontId="0" fillId="8" borderId="0" applyAlignment="1" pivotButton="0" quotePrefix="0" xfId="0">
      <alignment horizontal="left" vertical="top" wrapText="1"/>
    </xf>
    <xf numFmtId="0" fontId="7" fillId="13" borderId="0" applyAlignment="1" pivotButton="0" quotePrefix="0" xfId="0">
      <alignment horizontal="left" vertical="top" wrapText="1"/>
    </xf>
    <xf numFmtId="0" fontId="0" fillId="13" borderId="0" applyAlignment="1" pivotButton="0" quotePrefix="0" xfId="0">
      <alignment horizontal="left" vertical="top" wrapText="1"/>
    </xf>
    <xf numFmtId="0" fontId="7" fillId="13" borderId="1" applyAlignment="1" pivotButton="0" quotePrefix="0" xfId="0">
      <alignment horizontal="center" vertical="center"/>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3.5"/>
  <cols>
    <col width="22" customWidth="1" min="1" max="3"/>
    <col width="100" customWidth="1" min="2" max="2"/>
    <col width="46" customWidth="1" min="3" max="3"/>
  </cols>
  <sheetData>
    <row r="1" ht="15" customHeight="1">
      <c r="A1" s="8" t="inlineStr">
        <is>
          <t>区分</t>
        </is>
      </c>
      <c r="B1" s="8" t="inlineStr">
        <is>
          <t>件数</t>
        </is>
      </c>
      <c r="C1" s="8" t="inlineStr">
        <is>
          <t>備考</t>
        </is>
      </c>
    </row>
    <row r="2">
      <c r="A2" s="9" t="inlineStr">
        <is>
          <t>ヒアリング項目総数</t>
        </is>
      </c>
      <c r="B2" s="10">
        <f>COUNTA(Sheet1_試験追跡!C2:C200)</f>
        <v/>
      </c>
      <c r="C2" s="9" t="inlineStr">
        <is>
          <t>Sheet1 のヒアリング項目の数</t>
        </is>
      </c>
    </row>
    <row r="3">
      <c r="A3" s="9" t="inlineStr">
        <is>
          <t>試験確認済</t>
        </is>
      </c>
      <c r="B3" s="10">
        <f>COUNTIF(Sheet1_試験追跡!I2:I200,"○")</f>
        <v/>
      </c>
      <c r="C3" s="9" t="inlineStr">
        <is>
          <t>A 判定が ○</t>
        </is>
      </c>
    </row>
    <row r="4">
      <c r="A4" s="9" t="inlineStr">
        <is>
          <t>試験漏れ</t>
        </is>
      </c>
      <c r="B4" s="10">
        <f>COUNTIF(Sheet1_試験追跡!I2:I200,"×")</f>
        <v/>
      </c>
      <c r="C4" s="9" t="inlineStr">
        <is>
          <t>A 判定が ×（試験項目なし／結果相違）</t>
        </is>
      </c>
    </row>
    <row r="5">
      <c r="A5" s="9" t="inlineStr">
        <is>
          <t>資材一致</t>
        </is>
      </c>
      <c r="B5" s="10">
        <f>COUNTIF(Sheet2_資材追跡!H2:H200,"○")</f>
        <v/>
      </c>
      <c r="C5" s="9" t="inlineStr">
        <is>
          <t>B 判定が ○</t>
        </is>
      </c>
    </row>
    <row r="6">
      <c r="A6" s="9" t="inlineStr">
        <is>
          <t>要確認</t>
        </is>
      </c>
      <c r="B6" s="10">
        <f>COUNTIF(Sheet1_試験追跡!I2:I200,"△")+COUNTIF(Sheet2_資材追跡!H2:H200,"△")</f>
        <v/>
      </c>
      <c r="C6" s="9" t="inlineStr">
        <is>
          <t>A・B の △ 合計</t>
        </is>
      </c>
    </row>
    <row r="7">
      <c r="A7" s="9" t="inlineStr">
        <is>
          <t>A 未判定</t>
        </is>
      </c>
      <c r="B7" s="10">
        <f>COUNTA(Sheet1_試験追跡!C2:C200)-COUNTA(Sheet1_試験追跡!I2:I200)</f>
        <v/>
      </c>
      <c r="C7" s="9" t="inlineStr">
        <is>
          <t>判定が空のもの</t>
        </is>
      </c>
    </row>
    <row r="8">
      <c r="A8" s="9" t="inlineStr">
        <is>
          <t>B 未判定</t>
        </is>
      </c>
      <c r="B8" s="10">
        <f>COUNTA(Sheet2_資材追跡!C2:C200)-COUNTA(Sheet2_資材追跡!H2:H200)</f>
        <v/>
      </c>
      <c r="C8" s="9" t="inlineStr">
        <is>
          <t>判定が空のもの</t>
        </is>
      </c>
    </row>
    <row r="9">
      <c r="A9" t="inlineStr">
        <is>
          <t>SCL確認状況</t>
        </is>
      </c>
      <c r="B9" t="inlineStr">
        <is>
          <t>5本すべて読了</t>
        </is>
      </c>
      <c r="C9" t="inlineStr">
        <is>
          <t>#1 93/93・#2 33/33・#3 25/25・#4 28/28・#5 73/73</t>
        </is>
      </c>
    </row>
    <row r="11">
      <c r="A11" s="19" t="inlineStr">
        <is>
          <t>■ 指摘候補（SCL側）</t>
        </is>
      </c>
    </row>
    <row r="12">
      <c r="A12" t="inlineStr">
        <is>
          <t>①</t>
        </is>
      </c>
      <c r="B12" s="20" t="inlineStr">
        <is>
          <t>ケース74 に「DJ OFAC/企業リスト」の記載が無い。51・58・62 にはある → 反映漏れの可能性</t>
        </is>
      </c>
    </row>
    <row r="13">
      <c r="A13" t="inlineStr">
        <is>
          <t>②【解消】</t>
        </is>
      </c>
      <c r="B13" s="24" t="inlineStr">
        <is>
          <t>『リスク管理部』と『リスク管理部以外』の権限差分 → SCL#2 ケース25・30 で検証済。管理メニューが リスク管理部=3つ／それ以外・担当者=パスワード変更のみ</t>
        </is>
      </c>
    </row>
    <row r="14">
      <c r="A14" t="inlineStr">
        <is>
          <t>③</t>
        </is>
      </c>
      <c r="B14" s="20" t="inlineStr">
        <is>
          <t>ケース75 が「※手順不可」。実施件数の −3 のうちの1件。理由と代替確認を要確認</t>
        </is>
      </c>
    </row>
    <row r="15">
      <c r="A15" t="inlineStr">
        <is>
          <t>④</t>
        </is>
      </c>
      <c r="B15" s="20" t="inlineStr">
        <is>
          <t>A-12（本人確認で使うID情報の表示文字列・表示順）が、検証ポイント「本人確認」の SCL に無い</t>
        </is>
      </c>
    </row>
    <row r="16">
      <c r="A16" t="inlineStr">
        <is>
          <t>⑤</t>
        </is>
      </c>
      <c r="B16" s="20" t="inlineStr">
        <is>
          <t>ヒアリングは L&amp;F管理者（リスク管理部）のみだが、SCL は L&amp;Fプロファイル3種を検証。ヒアリングシートの項目漏れでは</t>
        </is>
      </c>
    </row>
    <row r="17">
      <c r="A17" t="inlineStr">
        <is>
          <t>⑥</t>
        </is>
      </c>
      <c r="B17" s="20" t="inlineStr">
        <is>
          <t>SCL は検証ポイントごとに別ファイル。1本だけ見て「漏れ」と判断しない（#1の所見2が#2で解消した実例）</t>
        </is>
      </c>
    </row>
    <row r="18">
      <c r="A18" t="inlineStr">
        <is>
          <t>⑦</t>
        </is>
      </c>
      <c r="B18" s="20" t="inlineStr">
        <is>
          <t>管理機能は会社をまたいで見える（SCL#2 ケース09「★横浜ユーザも表示される」）。本人確認では分離。意図どおりか要確認</t>
        </is>
      </c>
    </row>
    <row r="19">
      <c r="A19" t="inlineStr">
        <is>
          <t>⑧</t>
        </is>
      </c>
      <c r="B19" s="20" t="inlineStr">
        <is>
          <t>ヒアリングのBC照合設定（英字名称NGE79／電話番号FME100／ID情報FME100／国内住所LSE88）がSCL#1ケース27〜35で未確認。名称・フリガナ・生年月日のみ</t>
        </is>
      </c>
    </row>
    <row r="20">
      <c r="A20" t="inlineStr">
        <is>
          <t>⑨</t>
        </is>
      </c>
      <c r="B20" s="20" t="inlineStr">
        <is>
          <t>★強化：2026/06廃止の「警察庁（IB）」が #1 でしか取消されていない。#3（更新対象リスト）#4（該当リスト一覧 ケース05・09）には残存。3本中2本で未反映</t>
        </is>
      </c>
    </row>
    <row r="21">
      <c r="A21" t="inlineStr">
        <is>
          <t>⑩</t>
        </is>
      </c>
      <c r="B21" s="20" t="inlineStr">
        <is>
          <t>SCL#3 ケース08「取消」の想定結果が『処理状態が取込済になること』。ケース10（タスク実行）と同一文。取消なら「取込済」にはならないはず。コピペミスの可能性</t>
        </is>
      </c>
    </row>
    <row r="23">
      <c r="A23" t="inlineStr">
        <is>
          <t>権限マトリクス</t>
        </is>
      </c>
      <c r="B23" s="24" t="inlineStr">
        <is>
          <t>管理者(ﾘｽｸ管理部)=全部可／管理者(それ以外)=本人確認の判定のみ可／担当者=閲覧のみ。3つのSCLを合わせて確定</t>
        </is>
      </c>
    </row>
    <row r="24">
      <c r="A24" t="inlineStr">
        <is>
          <t>⑪</t>
        </is>
      </c>
      <c r="B24" s="20" t="inlineStr">
        <is>
          <t>SCL#4（SOAP）は実施日・結果が空欄に見える。未実施の可能性。結果が無いと「試験結果はヒアシ通りか」を確認できない</t>
        </is>
      </c>
    </row>
    <row r="25">
      <c r="A25" t="inlineStr">
        <is>
          <t>⑫【解消】</t>
        </is>
      </c>
      <c r="B25" s="24" t="inlineStr">
        <is>
          <t>SCL#4 のメニュー確認 → ケース21・24・27 にあった。L&amp;F3プロファイルとも「未判定照会（連動）」が表示されないこと</t>
        </is>
      </c>
    </row>
    <row r="26">
      <c r="A26" t="inlineStr">
        <is>
          <t>⑬</t>
        </is>
      </c>
      <c r="B26" s="20" t="inlineStr">
        <is>
          <t>L&amp;Fがリアルフィルタリング（連動）を使わないことが、ヒアリング項目に見当たらない。⑤・A-15と同じ拾い漏れパターンの可能性</t>
        </is>
      </c>
    </row>
    <row r="27">
      <c r="A27" t="inlineStr">
        <is>
          <t>⑭★最重要</t>
        </is>
      </c>
      <c r="B27" s="25" t="inlineStr">
        <is>
          <t>SCL#1 のレビュー修正が他のSCLに展開されていない。**7点**：①ユーザ情報ファイル ②警察庁(IB)廃止 ③TaskTarget→TaskTrg ④行内要注意情報 ⑤LF00000004のフリガナ ⑥補助コメントの並び順 ⑦保留実施。②は#3・#4にも未反映。→『SCL間で記述が同期していない』1本の指摘にまとめる</t>
        </is>
      </c>
    </row>
    <row r="28">
      <c r="A28" t="inlineStr">
        <is>
          <t>⑮</t>
        </is>
      </c>
      <c r="B28" s="20" t="inlineStr">
        <is>
          <t>SCL#5 の横浜セクション（ケース11・20）がメニューを「リアルフィルタリング」と記載。L&amp;Fセクション（26・46）は「バッチフィルタリング」。同一SCL内で食い違い。#4(SOAP)からのコピペの可能性</t>
        </is>
      </c>
    </row>
    <row r="29">
      <c r="A29" t="inlineStr">
        <is>
          <t>⑯</t>
        </is>
      </c>
      <c r="B29" s="20" t="inlineStr">
        <is>
          <t>SCL#5 ケース25 のメニュー一覧（未判定照会/判定済照会/ファイル処理状況照会/検索対象者一覧アップロード）に「判定履歴照会」が無いが、ケース46 で使用している。記載漏れの可能性</t>
        </is>
      </c>
    </row>
    <row r="30">
      <c r="A30" t="inlineStr">
        <is>
          <t>⑰★</t>
        </is>
      </c>
      <c r="B30" s="26" t="inlineStr">
        <is>
          <t>SCL#5 ケース58 の補助コメントの並び順がヒアリング(A-07)と不一致。#1 では修正済み。このまま試験すると正しい画面を NG 判定してしまう。**是正必要**</t>
        </is>
      </c>
    </row>
    <row r="31">
      <c r="A31" t="inlineStr">
        <is>
          <t>⑱</t>
        </is>
      </c>
      <c r="B31" s="26" t="inlineStr">
        <is>
          <t>A-08／A-09／A-11／A-12 は5本すべてに試験項目が無い。**落とし込み漏れの可能性が高い**。特に A-12 は検証ポイント「本人確認」のSCLにあるべき項目</t>
        </is>
      </c>
    </row>
    <row r="32">
      <c r="A32" t="inlineStr">
        <is>
          <t>⑲</t>
        </is>
      </c>
      <c r="B32" s="20" t="inlineStr">
        <is>
          <t>バッチフィルタリングだけ「リスク管理部以外」も全4メニュー使える（ケース53）。管理・リスト管理では差があった。機能ごとに権限設計が違うが意図どおりか</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5"/>
  <sheetViews>
    <sheetView tabSelected="1" topLeftCell="A8" workbookViewId="0">
      <pane xSplit="3" ySplit="1" topLeftCell="D2" activePane="bottomRight" state="frozen"/>
      <selection pane="topRight" activeCell="A1" sqref="A1"/>
      <selection pane="bottomLeft" activeCell="A1" sqref="A1"/>
      <selection pane="bottomRight" activeCell="D14" sqref="D14"/>
    </sheetView>
  </sheetViews>
  <sheetFormatPr baseColWidth="8" defaultRowHeight="13.5"/>
  <cols>
    <col width="8" customWidth="1" min="1" max="2"/>
    <col width="12" customWidth="1" min="2" max="2"/>
    <col width="46" customWidth="1" min="3" max="3"/>
    <col width="22" customWidth="1" min="4" max="4"/>
    <col width="40" customWidth="1" min="5" max="5"/>
    <col width="12" customWidth="1" min="6" max="9"/>
    <col width="40" customWidth="1" min="7" max="7"/>
    <col width="16" customWidth="1" min="8" max="8"/>
    <col width="12" customWidth="1" min="9" max="9"/>
    <col width="52" customWidth="1" min="10" max="10"/>
  </cols>
  <sheetData>
    <row r="1" ht="15" customHeight="1">
      <c r="A1" s="8" t="inlineStr">
        <is>
          <t>No</t>
        </is>
      </c>
      <c r="B1" s="8" t="inlineStr">
        <is>
          <t>区分(赤枠/青枠)</t>
        </is>
      </c>
      <c r="C1" s="8" t="inlineStr">
        <is>
          <t>ヒアリング項目</t>
        </is>
      </c>
      <c r="D1" s="8" t="inlineStr">
        <is>
          <t>ヒアリングシート該当箇所</t>
        </is>
      </c>
      <c r="E1" s="8" t="inlineStr">
        <is>
          <t>備考</t>
        </is>
      </c>
      <c r="F1" s="8" t="inlineStr">
        <is>
          <t>試験項目No</t>
        </is>
      </c>
      <c r="G1" s="8" t="inlineStr">
        <is>
          <t>試験項目内容</t>
        </is>
      </c>
      <c r="H1" s="8" t="inlineStr">
        <is>
          <t>試験結果</t>
        </is>
      </c>
      <c r="I1" s="8" t="inlineStr">
        <is>
          <t>判定(○/△/×)</t>
        </is>
      </c>
      <c r="J1" s="8" t="inlineStr">
        <is>
          <t>確認メモ</t>
        </is>
      </c>
    </row>
    <row r="2">
      <c r="A2" s="11" t="inlineStr">
        <is>
          <t>A-01</t>
        </is>
      </c>
      <c r="B2" s="11" t="inlineStr">
        <is>
          <t>赤枠</t>
        </is>
      </c>
      <c r="C2" s="11" t="inlineStr">
        <is>
          <t>横浜サーバへの2ファイルは別々に送信し、HULFT-IDをシステム毎に設定する</t>
        </is>
      </c>
      <c r="D2" s="11" t="inlineStr">
        <is>
          <t>ヒアリングシート1部 4-1</t>
        </is>
      </c>
      <c r="E2" s="11" t="inlineStr">
        <is>
          <t>対象ファイルID：U2KJX001、U2KJX002。4/27 Mtgで、弊社→横浜サーバへ2ファイルを別々に送信し、HULFT-IDはシステム毎に設定したい旨を確認。</t>
        </is>
      </c>
      <c r="F2" s="12" t="n"/>
      <c r="G2" s="12" t="n"/>
      <c r="H2" s="12" t="n"/>
      <c r="I2" s="17" t="inlineStr">
        <is>
          <t>△</t>
        </is>
      </c>
      <c r="J2" s="11" t="inlineStr">
        <is>
          <t>【SCL 5本（本人確認93／管理33／リスト管理25／SOAP28／バッチ73）すべて読了 した結果】
HULFT の連携設定。画面試験ではなく**設定ファイル側で確認する性質**。
A側（試験）に項目が無いのは妥当な可能性が高い。
→ B（資材追跡）で HULFT 設定を確認する。</t>
        </is>
      </c>
    </row>
    <row r="3">
      <c r="A3" s="11" t="inlineStr">
        <is>
          <t>A-02</t>
        </is>
      </c>
      <c r="B3" s="11" t="inlineStr">
        <is>
          <t>赤枠</t>
        </is>
      </c>
      <c r="C3" s="11" t="inlineStr">
        <is>
          <t>U2KJX001（顧客開設・変更情報）の配信周期を「四半期」、連携時刻を「12:30:00」とする</t>
        </is>
      </c>
      <c r="D3" s="11" t="inlineStr">
        <is>
          <t>ヒアリングシート1部 4-1</t>
        </is>
      </c>
      <c r="E3" s="11" t="inlineStr">
        <is>
          <t>対象ファイルID：U2KJX001。3) HULFT連携時間／バッチフィルタリングインターフェース。</t>
        </is>
      </c>
      <c r="F3" s="12" t="n"/>
      <c r="G3" s="12" t="n"/>
      <c r="H3" s="12" t="n"/>
      <c r="I3" s="17" t="inlineStr">
        <is>
          <t>△</t>
        </is>
      </c>
      <c r="J3" s="11" t="inlineStr">
        <is>
          <t>【SCL 5本（本人確認93／管理33／リスト管理25／SOAP28／バッチ73）すべて読了 した結果】
同上。配信周期「四半期」・連携時刻「12:30:00」は HULFT の設定値。
→ B（資材追跡）で確認する。</t>
        </is>
      </c>
    </row>
    <row r="4">
      <c r="A4" s="11" t="inlineStr">
        <is>
          <t>A-03</t>
        </is>
      </c>
      <c r="B4" s="11" t="inlineStr">
        <is>
          <t>赤枠</t>
        </is>
      </c>
      <c r="C4" s="11" t="inlineStr">
        <is>
          <t>U2KJX002（顧客開設・変更情報）の配信周期を「四半期」、連携時刻を「12:30:00」とする</t>
        </is>
      </c>
      <c r="D4" s="11" t="inlineStr">
        <is>
          <t>ヒアリングシート1部 4-1</t>
        </is>
      </c>
      <c r="E4" s="11" t="inlineStr">
        <is>
          <t>対象ファイルID：U2KJX002。3) HULFT連携時間／バッチフィルタリングインターフェース。</t>
        </is>
      </c>
      <c r="F4" s="12" t="n"/>
      <c r="G4" s="12" t="n"/>
      <c r="H4" s="12" t="n"/>
      <c r="I4" s="17" t="inlineStr">
        <is>
          <t>△</t>
        </is>
      </c>
      <c r="J4" s="11" t="inlineStr">
        <is>
          <t>【SCL 5本（本人確認93／管理33／リスト管理25／SOAP28／バッチ73）すべて読了 した結果】
同上（U2KJX002）。→ B（資材追跡）で確認する。</t>
        </is>
      </c>
    </row>
    <row r="5">
      <c r="A5" s="11" t="inlineStr">
        <is>
          <t>A-04</t>
        </is>
      </c>
      <c r="B5" s="11" t="inlineStr">
        <is>
          <t>赤枠</t>
        </is>
      </c>
      <c r="C5" s="11" t="inlineStr">
        <is>
          <t>横浜銀行事務部では、BFILE_CINFOを除く対象リストを利用する</t>
        </is>
      </c>
      <c r="D5" s="11" t="inlineStr">
        <is>
          <t>ヒアリングシート2部 3-2-3</t>
        </is>
      </c>
      <c r="E5" s="11" t="n"/>
      <c r="F5" s="12" t="inlineStr">
        <is>
          <t>SCL_変更機能検証_本人確認（93ケース読了）
横浜側 09・12・17・20
L&amp;F側 26・39・51・58・62・74・81・85
SCL_変更機能検証_SOAP ケース05・09（横浜側／L&amp;F側は未確認）
SCL_変更機能検証_バッチフィルタリング ケース09・13
SCL_変更機能検証_バッチフィルタリング ケース18・22（横浜）・29（L&amp;F）</t>
        </is>
      </c>
      <c r="G5" s="12" t="inlineStr">
        <is>
          <t>《横浜側＝出ないこと》
09・12（YOKOHAMA_OTHER_ADMIN）／17・20（YOKOHAMA_OTHER）
「横浜花子」でフィルタリング → 該当リスト一覧に
  『BファイルC情報』は表示されないこと。
《L&amp;F側＝出ること》
26・39・51（LF_ADMIN_RISK）「えるえふ太郎」→
  該当リスト一覧に『BファイルC情報』が表示されること。</t>
        </is>
      </c>
      <c r="H5" s="12" t="inlineStr">
        <is>
          <t>OK（2026/9/28 実施・再鑑とも OK／7ケース）</t>
        </is>
      </c>
      <c r="I5" s="16" t="inlineStr">
        <is>
          <t>○</t>
        </is>
      </c>
      <c r="J5" s="11" t="inlineStr">
        <is>
          <t>◎ 落とし込み済み。横浜2プロファイル×2ルートで「出ない」、
L&amp;Fプロファイル3ルートで「出る」。裏表そろっている。
【追記】5つのプロファイルすべてで確認されている。
横浜2種で「出ない」、L&amp;F2種で「出る」。
【追記・93ケース読了】6プロファイルすべてで確認。
【追記・SCL#4（SOAP）】
SOAP連携（リアルフィルタリング）でも横浜プロファイルの
該当リスト一覧が確認されている（ケース05・09）。
★ただし「BファイルC情報は表示されないこと」の記載があるかは
  画面で切れており未確認。L&amp;Fプロファイル分も未確認。
★SCL#4 は実施日・結果が空欄に見える（未実施の可能性）。
【訂正・SCL#4 読了】
SOAP経路（リアルフィルタリング）は **横浜銀行専用**で、
L&amp;F の3プロファイルすべてで「未判定照会（連動）」が
表示されない（ケース21・24・27）。
→ A-04/A-05 は SOAP経路には適用されない。
【追記・SCL#5（バッチ）】
バッチ経路でも横浜側で BファイルC情報 が表示されないことを確認
（ケース09・13）。
【追記・SCL#5（バッチ）】バッチ経路でも裏表そろって確認されている。
  横浜側（18・22）… BファイルC情報 は表示されないこと
  L&amp;F側（29）    … BファイルC情報 が表示されること</t>
        </is>
      </c>
    </row>
    <row r="6">
      <c r="A6" s="11" t="inlineStr">
        <is>
          <t>A-05</t>
        </is>
      </c>
      <c r="B6" s="11" t="inlineStr">
        <is>
          <t>赤枠</t>
        </is>
      </c>
      <c r="C6" s="11" t="inlineStr">
        <is>
          <t>L&amp;F横浜店では、MOF、JPI、DJ_SHIPSを除く対象リストを利用する</t>
        </is>
      </c>
      <c r="D6" s="11" t="inlineStr">
        <is>
          <t>ヒアリングシート2部 3-2-3</t>
        </is>
      </c>
      <c r="E6" s="11" t="n"/>
      <c r="F6" s="12" t="inlineStr">
        <is>
          <t>SCL_変更機能検証_本人確認（93ケース読了）
ケース26・39・51・58・62・74・81・85
SCL_変更機能検証_バッチフィルタリング ケース29</t>
        </is>
      </c>
      <c r="G6" s="12" t="inlineStr">
        <is>
          <t>LF_ADMIN_RISK で法人「えるえふ太郎」をフィルタリング。
想定結果の『下記は表示されないこと』に
  ・財務省
  ・JCIF PEPs
  ・DJ 船舶リスト
が明記されている（3ルートで確認）。</t>
        </is>
      </c>
      <c r="H6" s="12" t="inlineStr">
        <is>
          <t>OK（2026/9/28 実施・再鑑とも OK／3ケース）</t>
        </is>
      </c>
      <c r="I6" s="16" t="inlineStr">
        <is>
          <t>○</t>
        </is>
      </c>
      <c r="J6" s="11" t="inlineStr">
        <is>
          <t>◎ ヒアリングと完全一致。
  MOF → 財務省 ／ JPI → JCIF PEPs ／ DJ_SHIPS → DJ 船舶リスト
【追記】LF_ADMIN_RISK（26・39・51）と
LF_ADMIN_RISK_EXC（58・62・74）の両方で確認済み。
★ただしケース74 に「DJ OFAC/企業リスト」の記載が無い。
  ケース51・58・62 にはある。SCL の反映漏れの可能性あり（要確認）。
【追記・93ケース読了】L&amp;F3プロファイル（管理者2種＋担当者）で確認。
【追記・SCL#5（バッチ）】★バッチ経路でも確認されていた。
ケース29（LF_ADMIN_RISK）の『下記は表示されないこと』に
  ・財務省（MOF）
  ・JCIF PEPs（JPI）
  ・DJ 船舶リスト（DJ_SHIPS）
→ 本人確認（#1）とバッチ（#5）の両経路で確認済み。</t>
        </is>
      </c>
    </row>
    <row r="7">
      <c r="A7" s="11" t="inlineStr">
        <is>
          <t>A-06</t>
        </is>
      </c>
      <c r="B7" s="11" t="inlineStr">
        <is>
          <t>赤枠</t>
        </is>
      </c>
      <c r="C7" s="11" t="inlineStr">
        <is>
          <t>部店ごとのフィルタリング対象リストの使い分けは行わない</t>
        </is>
      </c>
      <c r="D7" s="11" t="inlineStr">
        <is>
          <t>ヒアリングシート2部 3-2-3</t>
        </is>
      </c>
      <c r="E7" s="11" t="n"/>
      <c r="F7" s="12" t="n"/>
      <c r="G7" s="12" t="n"/>
      <c r="H7" s="12" t="n"/>
      <c r="I7" s="17" t="inlineStr">
        <is>
          <t>△</t>
        </is>
      </c>
      <c r="J7" s="11" t="inlineStr">
        <is>
          <t>【SCL 5本（本人確認93／管理33／リスト管理25／SOAP28／バッチ73）すべて読了 した結果】
「使い分けを行わない」＝**ないことの確認**。試験項目にしにくい性質。
→ B（資材追跡）で 25_部店フィルタリング設定 を見て、
  全部店が同一設定であることを確認するのが自然。</t>
        </is>
      </c>
    </row>
    <row r="8">
      <c r="A8" s="11" t="inlineStr">
        <is>
          <t>A-07</t>
        </is>
      </c>
      <c r="B8" s="11" t="inlineStr">
        <is>
          <t>赤枠</t>
        </is>
      </c>
      <c r="C8" s="11" t="inlineStr">
        <is>
          <t>判定情報のプルダウンに表示する補助コメントおよび表示順を設定する</t>
        </is>
      </c>
      <c r="D8" s="11" t="inlineStr">
        <is>
          <t>ヒアリングシート2部 3-2-4</t>
        </is>
      </c>
      <c r="E8" s="11" t="inlineStr">
        <is>
          <t>表示内容および表示順は以下の通り。
 1：該当あり（コンプラ先）
 2：該当あり（マーク先）
 3：該当あり（C情報）
 4：該当あり（その他）
 5：該当なし
 6：取消し</t>
        </is>
      </c>
      <c r="F8" s="12" t="inlineStr">
        <is>
          <t>SCL_変更機能検証_本人確認
ケース40・63（主）
ケース43・45・66・68
SCL_変更機能検証_バッチフィルタリング ケース42・44</t>
        </is>
      </c>
      <c r="G8" s="12" t="inlineStr">
        <is>
          <t>40 補助コメント
  補助コメントのプルダウンに下記が表示されること
    該当あり（コンプラ先）
    該当あり（マーク先）
    該当あり（C情報）      ←赤字で3番目に移動
    該当あり（その他）
    該当なし
    取消し
  ※SCL上「並び順修正」として、C情報 を6番目から3番目へ変更した跡あり。
43 判定実施（プルダウン選択）
  選択した補助コメントが判定済み照会画面に表示されること。</t>
        </is>
      </c>
      <c r="H8" s="12" t="inlineStr">
        <is>
          <t>OK（2026/9/28 実施・再鑑とも OK）</t>
        </is>
      </c>
      <c r="I8" s="16" t="inlineStr">
        <is>
          <t>○</t>
        </is>
      </c>
      <c r="J8" s="11" t="inlineStr">
        <is>
          <t>★不備あり（指摘候補⑰）
◎ ヒアリング備考の 1〜6 の並びと完全一致。
  1 該当あり（コンプラ先）／2 該当あり（マーク先）／3 該当あり（C情報）
  4 該当あり（その他）／5 該当なし／6 取消し
表示内容だけでなく**表示順まで**試験項目に落ちている。
しかも SCL 側で並び順の誤りが修正されており、是正済みの状態。
【追記】ケース63 で2つ目のL&amp;Fプロファイルでも確認。
判定実施は 43/45/66/68 の4ケースで
「チェック有無 × プルダウン／テキスト」の4通りを網羅している。
【追記・SCL#5】バッチ経路でも補助コメントの
プルダウン選択（42）とテキスト入力（44）を確認。
【追記・SCL#5 ケース58】★重要
補助コメントの並び順が**ヒアリングと一致していない**。
  ヒアリング   1 コンプラ先/2 マーク先/**3 C情報**/4 その他/5 該当なし/6 取消し
  #1 ケース40  上記どおり（並び順修正済）
  #5 ケース58  コンプラ先/マーク先/その他/該当なし/**C情報**/取消し
→ #1 の修正が #5 に未反映。このまま試験すると、
  正しい画面を見て NG と判定してしまう。**是正必要。**</t>
        </is>
      </c>
    </row>
    <row r="9">
      <c r="A9" s="11" t="inlineStr">
        <is>
          <t>A-08</t>
        </is>
      </c>
      <c r="B9" s="11" t="inlineStr">
        <is>
          <t>赤枠</t>
        </is>
      </c>
      <c r="C9" s="11" t="inlineStr">
        <is>
          <t>ファイル記号O～Tでは、MOF、JP、DJ_SHIPSを除く対象リストを利用する</t>
        </is>
      </c>
      <c r="D9" s="11" t="inlineStr">
        <is>
          <t>ヒアリングシート2部 3-3-3</t>
        </is>
      </c>
      <c r="E9" s="11" t="inlineStr">
        <is>
          <t>備考：
 ファイル記号O～Tのリスト利用設定：
OFAC：○
MOF：×
JP：×
NPA：○
NPC：○
NPI：○
ASI：○
ASC：○
DJ_SEISAI：○
DJ_SHIPS：×
DJ_GAIKOKU_PEPS：○
DJ_KOKUNAI_PEPS：○
ZENGIN_SEIHO：○
ZENGIN_SONPO：○
ORIGINAL：○
BFILE_CINFO：○</t>
        </is>
      </c>
      <c r="F9" s="12" t="n"/>
      <c r="G9" s="12" t="n"/>
      <c r="H9" s="12" t="n"/>
      <c r="I9" s="27" t="inlineStr">
        <is>
          <t>×</t>
        </is>
      </c>
      <c r="J9" s="11" t="inlineStr">
        <is>
          <t>【SCL 5本（本人確認93／管理33／リスト管理25／SOAP28／バッチ73）すべて読了 した結果】
**5本すべてに該当する試験項目が無い。**
ファイル記号O〜T のリスト利用設定（OFAC○ MOF× JP× NPA○ …）は
フィルタリングの挙動に直結するため、試験できるはず。
特にバッチフィルタリング（#5・73ケース）にあると予想したが無かった。
→ **落とし込み漏れの可能性が高い。**</t>
        </is>
      </c>
    </row>
    <row r="10">
      <c r="A10" s="11" t="inlineStr">
        <is>
          <t>A-09</t>
        </is>
      </c>
      <c r="B10" s="11" t="inlineStr">
        <is>
          <t>赤字変更箇所</t>
        </is>
      </c>
      <c r="C10" s="11" t="inlineStr">
        <is>
          <t>対象業務では前回判定を自動的に適用する</t>
        </is>
      </c>
      <c r="D10" s="11" t="inlineStr">
        <is>
          <t>ヒアリングシート2部 3-5-5</t>
        </is>
      </c>
      <c r="E10" s="11" t="inlineStr">
        <is>
          <t>前回判定適用設定はいずれも「有」。
BFZ：バッチフィルタリング（全銀）
BFS：バッチフィルタリング（差分）
DSF：DMその他（一括フィルタリング）
SHF：新規顧客開設・届出情報変更</t>
        </is>
      </c>
      <c r="F10" s="12" t="n"/>
      <c r="G10" s="12" t="n"/>
      <c r="H10" s="12" t="n"/>
      <c r="I10" s="27" t="inlineStr">
        <is>
          <t>×</t>
        </is>
      </c>
      <c r="J10" s="11" t="inlineStr">
        <is>
          <t>【SCL 5本（本人確認93／管理33／リスト管理25／SOAP28／バッチ73）すべて読了 した結果】
**5本すべてに該当する試験項目が無い。**
前回判定適用（BFZ/BFS/DSF/SHF いずれも「有」）は
判定画面の挙動に直結するため、試験できるはず。
→ **落とし込み漏れの可能性が高い。**</t>
        </is>
      </c>
    </row>
    <row r="11">
      <c r="A11" s="11" t="inlineStr">
        <is>
          <t>A-10</t>
        </is>
      </c>
      <c r="B11" s="11" t="n"/>
      <c r="C11" s="11" t="inlineStr">
        <is>
          <t>Oculus-monitorに連携するモニタリング画面表示リスト名を設定する</t>
        </is>
      </c>
      <c r="D11" s="11" t="inlineStr">
        <is>
          <t>ヒアリングシート2部 3-7</t>
        </is>
      </c>
      <c r="E11" s="13" t="inlineStr">
        <is>
          <t>BファイルC情報はモニタリング画面表示リストへの追加不要</t>
        </is>
      </c>
      <c r="F11" s="12" t="n"/>
      <c r="G11" s="12" t="n"/>
      <c r="H11" s="12" t="n"/>
      <c r="I11" s="17" t="inlineStr">
        <is>
          <t>△</t>
        </is>
      </c>
      <c r="J11" s="13" t="inlineStr">
        <is>
          <t>【SCL 5本（本人確認93／管理33／リスト管理25／SOAP28／バッチ73）すべて読了 した結果】
Oculus-monitor への連携。**monitor 側の SCL**にある可能性がある。
今回確認した5本は filter 側のみ。
→ monitor 側の試験資料の有無を確認する。</t>
        </is>
      </c>
    </row>
    <row r="12">
      <c r="A12" s="11" t="inlineStr">
        <is>
          <t>A-11</t>
        </is>
      </c>
      <c r="B12" s="13" t="inlineStr">
        <is>
          <t>赤枠</t>
        </is>
      </c>
      <c r="C12" s="11" t="inlineStr">
        <is>
          <t>L&amp;Fで使用するCIF情報ファイルのファイル記号O～Tを、各業務のファイル属性として設定する</t>
        </is>
      </c>
      <c r="D12" s="11" t="inlineStr">
        <is>
          <t>ヒアリングシート2部 4-1-4</t>
        </is>
      </c>
      <c r="E12" s="11" t="inlineStr">
        <is>
          <t>O：LF-LOANS+
P：LF-OLION
Q：LF-NEON
R：LF-試着先以外
S：LF-損害金
T：LF-DM送付先一覧</t>
        </is>
      </c>
      <c r="F12" s="12" t="n"/>
      <c r="G12" s="12" t="n"/>
      <c r="H12" s="12" t="n"/>
      <c r="I12" s="27" t="inlineStr">
        <is>
          <t>×</t>
        </is>
      </c>
      <c r="J12" s="11" t="inlineStr">
        <is>
          <t>【SCL 5本（本人確認93／管理33／リスト管理25／SOAP28／バッチ73）すべて読了 した結果】
**5本すべてに該当する試験項目が無い。**
ファイル記号O〜T のファイル属性（O：LF-LOANS+ 等）は
画面表示や処理分岐に影響するため、試験できるはず。
→ **落とし込み漏れの可能性が高い。**</t>
        </is>
      </c>
    </row>
    <row r="13">
      <c r="A13" s="11" t="inlineStr">
        <is>
          <t>A-12</t>
        </is>
      </c>
      <c r="B13" s="13" t="inlineStr">
        <is>
          <t>赤枠</t>
        </is>
      </c>
      <c r="C13" s="11" t="inlineStr">
        <is>
          <t>本人確認等で使用するID情報の表示文字列および表示順は既存設定を使用し、L&amp;Fでの追加設定は行わない</t>
        </is>
      </c>
      <c r="D13" s="11" t="inlineStr">
        <is>
          <t>ヒアリングシート2部 4-1-4</t>
        </is>
      </c>
      <c r="E13" s="13" t="inlineStr">
        <is>
          <t>L&amp;Fでの追加設定はなし</t>
        </is>
      </c>
      <c r="F13" s="12" t="n"/>
      <c r="G13" s="12" t="n"/>
      <c r="H13" s="12" t="n"/>
      <c r="I13" s="27" t="inlineStr">
        <is>
          <t>×</t>
        </is>
      </c>
      <c r="J13" s="13" t="inlineStr">
        <is>
          <t>【SCL 5本（本人確認93／管理33／リスト管理25／SOAP28／バッチ73）すべて読了 した結果】
★**最も確度が高い落とし込み漏れ。**
SCL#1 は検証ポイントが「**本人確認**」そのもので93ケースあるが、
ID情報の表示文字列・表示順を確認する試験項目が無い。
本来ここにあるべき項目。
※ケース40・58 は『補助コメント』であって『ID情報』ではない。混同注意。</t>
        </is>
      </c>
    </row>
    <row r="14">
      <c r="A14" s="11" t="inlineStr">
        <is>
          <t>A-13</t>
        </is>
      </c>
      <c r="B14" s="13" t="inlineStr">
        <is>
          <t>赤枠</t>
        </is>
      </c>
      <c r="C14" s="11" t="inlineStr">
        <is>
          <t>BFILE_CINFO（BファイルC情報）のリスト基本情報を設定する</t>
        </is>
      </c>
      <c r="D14" s="11" t="inlineStr">
        <is>
          <t>ヒアリングシート2部_リスト設定</t>
        </is>
      </c>
      <c r="E14" s="11" t="n"/>
      <c r="F14" s="12" t="inlineStr">
        <is>
          <t>SCL_変更機能検証_本人確認
ケース03・26・27〜35
SCL_変更機能検証_リスト管理 ケース06・07・09
SCL_変更機能検証_バッチフィルタリング ケース03・29・30〜36</t>
        </is>
      </c>
      <c r="G14" s="12" t="inlineStr">
        <is>
          <t>03 リストアップロード－L&amp;F … BファイルC情報.csv を登録
26 フィルタリング実行（有） … 該当リスト一覧に表示されること
27〜35 フィルタリング結果確認（9ケース）
  各レコードで赤字＋太字で強調される照合項目を確認
    LF00000001 名称／フリガナ／生年月日
    LF00000002 名称／生年月日
    LF00000003 名称／生年月日
    LF00000004 生年月日
    LF00000007 フリガナ／生年月日
    LF00000019 名称／フリガナ
    LF00000020 名称
    LF00000021 名称
    LF00000025 フリガナ
《SCL_変更機能検証_リスト管理》
06 更新対象リスト
  プルダウンに『BファイルC情報』が表示されること
07・09 ファイルアップロード
  更新対象リスト＝BファイルC情報／更新種別＝一括 を選び
  「BファイルC情報.csv」をアップロード
  → アップロード履歴一覧に「処理中」で追加されること
10 タスク実行（リストアップロード制御）
  → 処理状態が「取込済」になること</t>
        </is>
      </c>
      <c r="H14" s="12" t="inlineStr">
        <is>
          <t>OK（2026/9/28 実施・再鑑とも OK／11ケース）</t>
        </is>
      </c>
      <c r="I14" s="16" t="inlineStr">
        <is>
          <t>○</t>
        </is>
      </c>
      <c r="J14" s="11" t="inlineStr">
        <is>
          <t>◎ 登録・表示・照合の3段階。照合項目（名称・フリガナ・生年月日）の
組み合わせを9パターンで網羅している。
※設定値そのもの（マスタSQL・実機DB）は B 側で確認する。
【追記・SCL#3】登録のルートがより詳細に確認されている。
#1 ケース03 は画面からのアップロードのみだったが、
#3 では 更新対象リストへの登録 → 一括アップロード →
タスク実行 → 取込済 まで通しで確認している。
【追記・SCL#5】バッチ経路でも照合項目を7パターン確認（30〜36）。
★ただし ケース33（LF00000004）の強調項目が
  #1 ケース30 と食い違っている。
    #1  ~~フリガナ~~（赤字取消）／生年月日
    #5  フリガナ／生年月日
  → #1 の修正が #5 に未反映（指摘候補⑭の5点目）。</t>
        </is>
      </c>
    </row>
    <row r="15">
      <c r="A15" s="11" t="inlineStr">
        <is>
          <t>A-14</t>
        </is>
      </c>
      <c r="B15" s="13" t="inlineStr">
        <is>
          <t>赤枠</t>
        </is>
      </c>
      <c r="C15" s="11" t="inlineStr">
        <is>
          <t>L&amp;F管理者（リスク管理部）の権限を設定する</t>
        </is>
      </c>
      <c r="D15" s="11" t="inlineStr">
        <is>
          <t>ヒアリングシート2部_プロファイル設定</t>
        </is>
      </c>
      <c r="E15" s="11" t="n"/>
      <c r="F15" s="12" t="inlineStr">
        <is>
          <t>SCL_変更機能検証_本人確認 ケース23・55・78（メニュー）
  ケース81・85・91（権限差分）
SCL_変更機能検証_管理 ケース02（管理メニュー）・07（プロファイル一覧）
SCL_変更機能検証_リスト管理 ケース02・21・24
SCL_変更機能検証_SOAP ケース21・24・27
SCL_変更機能検証_バッチフィルタリング ケース25</t>
        </is>
      </c>
      <c r="G15" s="12" t="inlineStr">
        <is>
          <t>23 メニュー確認／LF_ADMIN_RISK  ★主たる確認
  左メニュー「本人確認」配下に下記が表示されていること
    ・本人確認
    ・本人確認仕掛照会
    ・判定履歴照会
47 判定履歴照会 … 実際に遷移でき、一覧画面が表示されること
22 ログイン／03 リスト登録 … 同ユーザで操作できること
《SCL_変更機能検証_管理》
02 メニュー確認（LF_ADMIN_RISK）
  「管理」に パスワード変更／ユーザ管理／操作ログ照会 が表示されること
07 プロファイル
  プルダウンに10種（既存7＋L&amp;F3）が表示されること
25 メニュー確認（LF_ADMIN_RISK_EXC）
  「管理」に **パスワード変更のみ** が表示されること
30 メニュー確認（LF_PIC）
  「管理」に **パスワード変更のみ** が表示されること
《SCL_変更機能検証_リスト管理》
02 メニュー確認（LF_ADMIN_RISK）
  「リスト管理」に 登録済リスト参照／リストアップロード／
  ホワイトリスト登録 が表示されること
21 メニュー確認（LF_ADMIN_RISK_EXC）
  「リスト管理」が表示されていないこと（要文言確認）
24 メニュー確認（LF_PIC）
  「リスト管理」が表示されていないこと</t>
        </is>
      </c>
      <c r="H15" s="12" t="inlineStr">
        <is>
          <t>OK（2026/9/28 実施・再鑑とも OK）</t>
        </is>
      </c>
      <c r="I15" s="16" t="inlineStr">
        <is>
          <t>○</t>
        </is>
      </c>
      <c r="J15" s="11" t="inlineStr">
        <is>
          <t>◎ 権限＝利用できるメニューを列挙して確認し、
さらに各メニューに実際に遷移できることまで確認している。
SCL上も「L&amp;F社様新規プロファイル：L&amp;F管理者（リスク管理部）」として
章立てされている。
※残課題：ケース02 の指摘で、警察庁（個人）のアップロード実施者が
  「リスク管理部門（役席）」ではなく「L&amp;F管理者（リスク管理）」だった件。
  権限の割り当て自体は B 側で要確認。
【追記】ケース55 で LF_ADMIN_RISK_EXC（リスク管理部以外）も確認。
★ただし想定結果は「**『本人確認』に**下記が表示されていること」であり、
  本人確認グループの3メニューしか見ていない。
  LF_ADMIN_RISK はケース03 でリスト管理も使っているが、
  リスト管理など他グループのメニューがプロファイルごとに
  どう違うかは試験項目に落ちていない。
  → 権限の差分確認が漏れている可能性。阿部さんに確認する。
【追記・93ケース読了】所見を一部訂正。
○ 管理者 ⇔ 担当者 の差分は検証されている（ケース81・85・91）
   ・リスト情報が表示されないこと（ヒット箇所が不明なこと）
   ・判定ボタンが表示されないこと
   ・ボタン名が「判定」→「判定表示」になること
   → メニューではなく画面要素で権限差分を見ている。
★ ただし『リスク管理部』と『リスク管理部以外』の差分は未検証。
  ケース22〜51 と 54〜76 は想定結果がまったく同じ。
  リストアップロードは LF_ADMIN_RISK（ケース03）だけが実施しており、
  LF_ADMIN_RISK_EXC で「できないこと」を確認する項目が無い。
  → 差があるなら漏れ、差が無いなら分ける理由が不明。要確認。
★ ヒアリングは A-14『L&amp;F管理者（リスク管理部）の権限』の1件のみだが、
  SCL は L&amp;Fプロファイルを3種類検証している。
  ヒアリングシートに他プロファイルの項目が無いか要確認
  （Sheet1 の A-15〜A-20 が空欄のため）。
【追記・SCL#2（管理）】
○ ケース02 … 「管理」メニュー（パスワード変更／ユーザ管理／
   操作ログ照会）が表示されることを確認。
   → SCL#1 の所見『メニュー確認が本人確認グループのみ』は、
     管理グループがこの SCL にあったため**一部解消**。
◎ ケース07 … プロファイルのプルダウンに10種が列挙され、
   L&amp;Fの3種が明記されている。
     L&amp;F管理者（リスク管理部）
     L&amp;F管理者（リスク管理部以外）
     L&amp;F担当者
★ ただし『リスク管理部』と『リスク管理部以外』を選んだ時に
  何が変わるかは、SCL#1・#2 とも未検証のまま。
★ ヒアリング（A-14）は「L&amp;F管理者（リスク管理部）」の1件のみ。
  ヒアリングシート2部_プロファイル設定 に3種とも
  書かれていないか要確認（Sheet1 への拾い漏れの可能性）。
【追記・SCL#2 読了】★指摘候補②は解消。
プロファイル別の「管理」メニュー
                      ﾊﾟｽﾜｰﾄﾞ変更 ﾕｰｻﾞ管理 操作ﾛｸﾞ照会
  リスク管理部            ○        ○        ○
  リスク管理部以外        ○        ×        ×
  担当者                  ○        ×        ×
→ 権限差分は本人確認ではなく**管理メニュー側**に出る設計だった。
  SCL#1 だけ見て「差分が未検証」と判断したのは誤りだった。
L&amp;F 3プロファイルの整理
                    本人確認 判定 ﾘｽﾄ情報 ﾕｰｻﾞ管理 操作ﾛｸﾞ
  管理者(ﾘｽｸ管理部)    ○     ○    ○       ○       ○
  管理者(それ以外)      ○     ○    ○       ×       ×
  担当者                ○     ×    ×       ×       ×
【追記・SCL#3（リスト管理）】
LF_ADMIN_RISK の「リスト管理」メニュー3つを確認（ケース02）。
→ メニュー確認は 本人確認（#1）／管理（#2）／リスト管理（#3）の
  3グループすべてで行われている。
★ ただし #3 で LF_ADMIN_RISK_EXC・LF_PIC の
  リスト管理メニューを確認しているかは未確認（続きのケース待ち）。
  ここが分かると権限マトリクスが完成する。
【追記・SCL#3 読了】★権限マトリクスが完成した。
メニューグループ別
                        本人確認  管理      リスト管理
  管理者(ﾘｽｸ管理部)       ○      ○(3つ)    ○(3つ)
  管理者(それ以外)         ○      △(1つ)    ×
  担当者                   ○      △(1つ)    ×
    管理△＝パスワード変更のみ／○＝ＰＷ変更・ユーザ管理・操作ログ照会
機能レベル
                    本人確認 判定 ﾘｽﾄ情報 ﾘｽﾄ管理 ﾕｰｻﾞ管理 操作ﾛｸﾞ
  管理者(ﾘｽｸ管理部)    ○     ○    ○      ○      ○      ○
  管理者(それ以外)      ○     ○    ○      ×      ×      ×
  担当者                ○     ×    ×      ×      ×      ×
★ SCL#1 で指摘した『EXC がリスト登録できないことの確認が無い』は、
  SCL#3 ケース21 で確認されていた。→ 解消。
※ ケース21 の文言は画面右端で切れていたため実ファイルで要確認
  （ケース構成が ログイン→メニュー確認→ログアウト の3つだけなので
   「表示されていないこと」とほぼ断定できる）。
【追記・SCL#4】メニューグループが4つそろった。
                      本人確認 管理    ﾘｽﾄ管理 ﾘｱﾙﾌｨﾙﾀﾘﾝｸﾞ
  管理者(ﾘｽｸ管理部)     ○     ○(3)   ○(3)    ×
  管理者(それ以外)       ○     △(1)   ×       ×
  担当者                 ○     △(1)   ×       ×
    管理△＝パスワード変更のみ
→ L&amp;F は リアルフィルタリング（SOAP連携）を一切使わない。
【追記・SCL#5】5つ目のメニューグループ「バッチフィルタリング」。
  未判定照会／判定済照会／ファイル処理状況照会／検索対象者一覧アップロード
★ケース46 で「バッチフィルタリング－判定履歴照会」を使っているが、
  ケース25 のメニュー一覧（4つ）に入っていない。記載漏れの可能性。
【追記・SCL#5 読了】メニューグループが5つそろった。
                  本人確認 管理   ﾘｽﾄ管理 ﾘｱﾙﾌｨﾙﾀ ﾊﾞｯﾁﾌｨﾙﾀ
  管理者(ﾘｽｸ管理部) ○     ○(3)  ○(3)   ×      ○(4)
  管理者(それ以外)   ○     △(1)  ×      ×      ○(4)
  担当者             ○     △(1)  ×      ×      ×
★ バッチフィルタリングだけ「リスク管理部以外」も全機能使える。
  機能ごとに権限設計が違う。意図どおりか確認する価値あり。</t>
        </is>
      </c>
    </row>
    <row r="16">
      <c r="A16" s="11" t="inlineStr">
        <is>
          <t>A-15</t>
        </is>
      </c>
      <c r="B16" s="11" t="inlineStr">
        <is>
          <t>赤枠</t>
        </is>
      </c>
      <c r="C16" s="23" t="inlineStr">
        <is>
          <t>L&amp;Fの部店コードを LF001〜LF025 の25部店で設定する</t>
        </is>
      </c>
      <c r="D16" s="11" t="inlineStr">
        <is>
          <t>ヒアリングシート_部店コード</t>
        </is>
      </c>
      <c r="E16" s="11" t="inlineStr">
        <is>
          <t>2026/04/07追加、2026/05/11 L&amp;F様部店。
期限：部店数・部店コードは6/19まで、部店名の変更は7/1まで可能。
マスタ定義：5_部店マスタ／25_部店フィルタリング設定／26_CIFファイルフィルタリング設定</t>
        </is>
      </c>
      <c r="F16" s="12" t="inlineStr">
        <is>
          <t>SCL_変更機能検証_管理
ケース06</t>
        </is>
      </c>
      <c r="G16" s="12" t="inlineStr">
        <is>
          <t>06 所属部店名／LF_ADMIN_RISK
ユーザ管理画面の「所属部店名」プルダウンを表示する。
想定結果：下記L&amp;F部店を含んだリストが表示されること
  一括照合用／監査部／経営企画部／業務改革室／人財部
  リスク管理部／財務経理部／ITソリューション部
  営業戦略部／営業推進部／与信企画室
  融資第一部／融資第二部／債権管理部
  本店営業第一部／本店営業第二部／本店営業第四部
  新宿支店／池袋支店／横浜支店／大阪支店／名古屋支店
  仙台支店／福岡支店／広島営業部</t>
        </is>
      </c>
      <c r="H16" s="12" t="inlineStr">
        <is>
          <t>（実施結果はSCL#2のヘッダ未確認）</t>
        </is>
      </c>
      <c r="I16" s="16" t="inlineStr">
        <is>
          <t>○</t>
        </is>
      </c>
      <c r="J16" s="11" t="inlineStr">
        <is>
          <t>◎ ヒアリングシート_部店コード の LF001〜LF025（25件）と
  名称・順番とも完全一致。落とし込みができている。
【新規に識別したヒアリング項目】
A-01〜A-14 に入っていなかったため追加した項目。
マスタ定義：5_部店マスタ／25_部店フィルタリング設定／
            26_CIFファイルフィルタリング設定
※SCL#2 の実施件数（OK/NG/−）が未確認のため、結果欄は保留。</t>
        </is>
      </c>
    </row>
    <row r="17">
      <c r="A17" s="11" t="inlineStr">
        <is>
          <t>A-16</t>
        </is>
      </c>
      <c r="B17" s="11" t="n"/>
      <c r="C17" s="11" t="n"/>
      <c r="D17" s="11" t="n"/>
      <c r="E17" s="11" t="n"/>
      <c r="F17" s="12" t="n"/>
      <c r="G17" s="12" t="n"/>
      <c r="H17" s="12" t="n"/>
      <c r="I17" s="18" t="n"/>
      <c r="J17" s="11" t="n"/>
    </row>
    <row r="18">
      <c r="A18" s="11" t="inlineStr">
        <is>
          <t>A-17</t>
        </is>
      </c>
      <c r="B18" s="11" t="n"/>
      <c r="C18" s="11" t="n"/>
      <c r="D18" s="11" t="n"/>
      <c r="E18" s="11" t="n"/>
      <c r="F18" s="12" t="n"/>
      <c r="G18" s="12" t="n"/>
      <c r="H18" s="12" t="n"/>
      <c r="I18" s="18" t="n"/>
      <c r="J18" s="11" t="n"/>
    </row>
    <row r="19">
      <c r="A19" s="11" t="inlineStr">
        <is>
          <t>A-18</t>
        </is>
      </c>
      <c r="B19" s="11" t="n"/>
      <c r="C19" s="11" t="n"/>
      <c r="D19" s="11" t="n"/>
      <c r="E19" s="11" t="n"/>
      <c r="F19" s="12" t="n"/>
      <c r="G19" s="12" t="n"/>
      <c r="H19" s="12" t="n"/>
      <c r="I19" s="18" t="n"/>
      <c r="J19" s="11" t="n"/>
    </row>
    <row r="20">
      <c r="A20" s="11" t="inlineStr">
        <is>
          <t>A-19</t>
        </is>
      </c>
      <c r="B20" s="11" t="n"/>
      <c r="C20" s="11" t="n"/>
      <c r="D20" s="11" t="n"/>
      <c r="E20" s="11" t="n"/>
      <c r="F20" s="12" t="n"/>
      <c r="G20" s="12" t="n"/>
      <c r="H20" s="12" t="n"/>
      <c r="I20" s="18" t="n"/>
      <c r="J20" s="11" t="n"/>
    </row>
    <row r="21">
      <c r="A21" s="11" t="inlineStr">
        <is>
          <t>A-20</t>
        </is>
      </c>
      <c r="B21" s="11" t="n"/>
      <c r="C21" s="11" t="n"/>
      <c r="D21" s="11" t="n"/>
      <c r="E21" s="11" t="n"/>
      <c r="F21" s="12" t="n"/>
      <c r="G21" s="12" t="n"/>
      <c r="H21" s="12" t="n"/>
      <c r="I21" s="18" t="n"/>
      <c r="J21" s="11" t="n"/>
    </row>
    <row r="22">
      <c r="A22" s="11" t="n"/>
      <c r="B22" s="11" t="n"/>
      <c r="C22" s="11" t="n"/>
      <c r="D22" s="11" t="n"/>
      <c r="E22" s="11" t="n"/>
      <c r="F22" s="12" t="n"/>
      <c r="G22" s="12" t="n"/>
      <c r="H22" s="12" t="n"/>
      <c r="I22" s="18" t="n"/>
      <c r="J22" s="11" t="n"/>
    </row>
    <row r="23">
      <c r="A23" s="11" t="n"/>
      <c r="B23" s="11" t="n"/>
      <c r="C23" s="11" t="n"/>
      <c r="D23" s="11" t="n"/>
      <c r="E23" s="11" t="n"/>
      <c r="F23" s="12" t="n"/>
      <c r="G23" s="12" t="n"/>
      <c r="H23" s="12" t="n"/>
      <c r="I23" s="18" t="n"/>
      <c r="J23" s="11" t="n"/>
    </row>
    <row r="24">
      <c r="A24" s="11" t="n"/>
      <c r="B24" s="11" t="n"/>
      <c r="C24" s="11" t="n"/>
      <c r="D24" s="11" t="n"/>
      <c r="E24" s="11" t="n"/>
      <c r="F24" s="12" t="n"/>
      <c r="G24" s="12" t="n"/>
      <c r="H24" s="12" t="n"/>
      <c r="I24" s="18" t="n"/>
      <c r="J24" s="11" t="n"/>
    </row>
    <row r="25">
      <c r="A25" s="11" t="n"/>
      <c r="B25" s="11" t="n"/>
      <c r="C25" s="11" t="n"/>
      <c r="D25" s="11" t="n"/>
      <c r="E25" s="11" t="n"/>
      <c r="F25" s="12" t="n"/>
      <c r="G25" s="12" t="n"/>
      <c r="H25" s="12" t="n"/>
      <c r="I25" s="18" t="n"/>
      <c r="J25" s="11" t="n"/>
    </row>
    <row r="26">
      <c r="A26" s="11" t="n"/>
      <c r="B26" s="11" t="n"/>
      <c r="C26" s="11" t="n"/>
      <c r="D26" s="11" t="n"/>
      <c r="E26" s="11" t="n"/>
      <c r="F26" s="12" t="n"/>
      <c r="G26" s="12" t="n"/>
      <c r="H26" s="12" t="n"/>
      <c r="I26" s="18" t="n"/>
      <c r="J26" s="11" t="n"/>
    </row>
    <row r="27">
      <c r="A27" s="11" t="n"/>
      <c r="B27" s="11" t="n"/>
      <c r="C27" s="11" t="n"/>
      <c r="D27" s="11" t="n"/>
      <c r="E27" s="11" t="n"/>
      <c r="F27" s="12" t="n"/>
      <c r="G27" s="12" t="n"/>
      <c r="H27" s="12" t="n"/>
      <c r="I27" s="18" t="n"/>
      <c r="J27" s="11" t="n"/>
    </row>
    <row r="28">
      <c r="A28" s="11" t="n"/>
      <c r="B28" s="11" t="n"/>
      <c r="C28" s="11" t="n"/>
      <c r="D28" s="11" t="n"/>
      <c r="E28" s="11" t="n"/>
      <c r="F28" s="12" t="n"/>
      <c r="G28" s="12" t="n"/>
      <c r="H28" s="12" t="n"/>
      <c r="I28" s="18" t="n"/>
      <c r="J28" s="11" t="n"/>
    </row>
    <row r="29">
      <c r="A29" s="11" t="n"/>
      <c r="B29" s="11" t="n"/>
      <c r="C29" s="11" t="n"/>
      <c r="D29" s="11" t="n"/>
      <c r="E29" s="11" t="n"/>
      <c r="F29" s="12" t="n"/>
      <c r="G29" s="12" t="n"/>
      <c r="H29" s="12" t="n"/>
      <c r="I29" s="18" t="n"/>
      <c r="J29" s="11" t="n"/>
    </row>
    <row r="30">
      <c r="A30" s="11" t="n"/>
      <c r="B30" s="11" t="n"/>
      <c r="C30" s="11" t="n"/>
      <c r="D30" s="11" t="n"/>
      <c r="E30" s="11" t="n"/>
      <c r="F30" s="12" t="n"/>
      <c r="G30" s="12" t="n"/>
      <c r="H30" s="12" t="n"/>
      <c r="I30" s="18" t="n"/>
      <c r="J30" s="11" t="n"/>
    </row>
    <row r="31">
      <c r="A31" s="11" t="n"/>
      <c r="B31" s="11" t="n"/>
      <c r="C31" s="11" t="n"/>
      <c r="D31" s="11" t="n"/>
      <c r="E31" s="11" t="n"/>
      <c r="F31" s="12" t="n"/>
      <c r="G31" s="12" t="n"/>
      <c r="H31" s="12" t="n"/>
      <c r="I31" s="18" t="n"/>
      <c r="J31" s="11" t="n"/>
    </row>
    <row r="32">
      <c r="A32" s="11" t="n"/>
      <c r="B32" s="11" t="n"/>
      <c r="C32" s="11" t="n"/>
      <c r="D32" s="11" t="n"/>
      <c r="E32" s="11" t="n"/>
      <c r="F32" s="12" t="n"/>
      <c r="G32" s="12" t="n"/>
      <c r="H32" s="12" t="n"/>
      <c r="I32" s="18" t="n"/>
      <c r="J32" s="11" t="n"/>
    </row>
    <row r="33">
      <c r="A33" s="11" t="n"/>
      <c r="B33" s="11" t="n"/>
      <c r="C33" s="11" t="n"/>
      <c r="D33" s="11" t="n"/>
      <c r="E33" s="11" t="n"/>
      <c r="F33" s="12" t="n"/>
      <c r="G33" s="12" t="n"/>
      <c r="H33" s="12" t="n"/>
      <c r="I33" s="18" t="n"/>
      <c r="J33" s="11" t="n"/>
    </row>
    <row r="34">
      <c r="A34" s="11" t="n"/>
      <c r="B34" s="11" t="n"/>
      <c r="C34" s="11" t="n"/>
      <c r="D34" s="11" t="n"/>
      <c r="E34" s="11" t="n"/>
      <c r="F34" s="12" t="n"/>
      <c r="G34" s="12" t="n"/>
      <c r="H34" s="12" t="n"/>
      <c r="I34" s="18" t="n"/>
      <c r="J34" s="11" t="n"/>
    </row>
    <row r="35">
      <c r="A35" s="11" t="n"/>
      <c r="B35" s="11" t="n"/>
      <c r="C35" s="11" t="n"/>
      <c r="D35" s="11" t="n"/>
      <c r="E35" s="11" t="n"/>
      <c r="F35" s="12" t="n"/>
      <c r="G35" s="12" t="n"/>
      <c r="H35" s="12" t="n"/>
      <c r="I35" s="18" t="n"/>
      <c r="J35" s="11" t="n"/>
    </row>
    <row r="36">
      <c r="A36" s="11" t="n"/>
      <c r="B36" s="11" t="n"/>
      <c r="C36" s="11" t="n"/>
      <c r="D36" s="11" t="n"/>
      <c r="E36" s="11" t="n"/>
      <c r="F36" s="12" t="n"/>
      <c r="G36" s="12" t="n"/>
      <c r="H36" s="12" t="n"/>
      <c r="I36" s="18" t="n"/>
      <c r="J36" s="11" t="n"/>
    </row>
    <row r="37">
      <c r="A37" s="11" t="n"/>
      <c r="B37" s="11" t="n"/>
      <c r="C37" s="11" t="n"/>
      <c r="D37" s="11" t="n"/>
      <c r="E37" s="11" t="n"/>
      <c r="F37" s="12" t="n"/>
      <c r="G37" s="12" t="n"/>
      <c r="H37" s="12" t="n"/>
      <c r="I37" s="18" t="n"/>
      <c r="J37" s="11" t="n"/>
    </row>
    <row r="38">
      <c r="A38" s="11" t="n"/>
      <c r="B38" s="11" t="n"/>
      <c r="C38" s="11" t="n"/>
      <c r="D38" s="11" t="n"/>
      <c r="E38" s="11" t="n"/>
      <c r="F38" s="12" t="n"/>
      <c r="G38" s="12" t="n"/>
      <c r="H38" s="12" t="n"/>
      <c r="I38" s="18" t="n"/>
      <c r="J38" s="11" t="n"/>
    </row>
    <row r="39">
      <c r="A39" s="11" t="n"/>
      <c r="B39" s="11" t="n"/>
      <c r="C39" s="11" t="n"/>
      <c r="D39" s="11" t="n"/>
      <c r="E39" s="11" t="n"/>
      <c r="F39" s="12" t="n"/>
      <c r="G39" s="12" t="n"/>
      <c r="H39" s="12" t="n"/>
      <c r="I39" s="18" t="n"/>
      <c r="J39" s="11" t="n"/>
    </row>
    <row r="40">
      <c r="A40" s="11" t="n"/>
      <c r="B40" s="11" t="n"/>
      <c r="C40" s="11" t="n"/>
      <c r="D40" s="11" t="n"/>
      <c r="E40" s="11" t="n"/>
      <c r="F40" s="12" t="n"/>
      <c r="G40" s="12" t="n"/>
      <c r="H40" s="12" t="n"/>
      <c r="I40" s="18" t="n"/>
      <c r="J40" s="11" t="n"/>
    </row>
    <row r="41">
      <c r="A41" s="11" t="n"/>
      <c r="B41" s="11" t="n"/>
      <c r="C41" s="11" t="n"/>
      <c r="D41" s="11" t="n"/>
      <c r="E41" s="11" t="n"/>
      <c r="F41" s="12" t="n"/>
      <c r="G41" s="12" t="n"/>
      <c r="H41" s="12" t="n"/>
      <c r="I41" s="18" t="n"/>
      <c r="J41" s="11" t="n"/>
    </row>
    <row r="42">
      <c r="A42" s="11" t="n"/>
      <c r="B42" s="11" t="n"/>
      <c r="C42" s="11" t="n"/>
      <c r="D42" s="11" t="n"/>
      <c r="E42" s="11" t="n"/>
      <c r="F42" s="12" t="n"/>
      <c r="G42" s="12" t="n"/>
      <c r="H42" s="12" t="n"/>
      <c r="I42" s="18" t="n"/>
      <c r="J42" s="11" t="n"/>
    </row>
    <row r="43">
      <c r="A43" s="11" t="n"/>
      <c r="B43" s="11" t="n"/>
      <c r="C43" s="11" t="n"/>
      <c r="D43" s="11" t="n"/>
      <c r="E43" s="11" t="n"/>
      <c r="F43" s="12" t="n"/>
      <c r="G43" s="12" t="n"/>
      <c r="H43" s="12" t="n"/>
      <c r="I43" s="18" t="n"/>
      <c r="J43" s="11" t="n"/>
    </row>
    <row r="44">
      <c r="A44" s="11" t="n"/>
      <c r="B44" s="11" t="n"/>
      <c r="C44" s="11" t="n"/>
      <c r="D44" s="11" t="n"/>
      <c r="E44" s="11" t="n"/>
      <c r="F44" s="12" t="n"/>
      <c r="G44" s="12" t="n"/>
      <c r="H44" s="12" t="n"/>
      <c r="I44" s="18" t="n"/>
      <c r="J44" s="11" t="n"/>
    </row>
    <row r="45">
      <c r="A45" s="11" t="n"/>
      <c r="B45" s="11" t="n"/>
      <c r="C45" s="11" t="n"/>
      <c r="D45" s="11" t="n"/>
      <c r="E45" s="11" t="n"/>
      <c r="F45" s="12" t="n"/>
      <c r="G45" s="12" t="n"/>
      <c r="H45" s="12" t="n"/>
      <c r="I45" s="18" t="n"/>
      <c r="J45" s="11" t="n"/>
    </row>
  </sheetData>
  <autoFilter ref="A1:J45"/>
  <dataValidations count="1">
    <dataValidation sqref="I2:I45"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8"/>
  <sheetViews>
    <sheetView workbookViewId="0">
      <pane xSplit="3" ySplit="1" topLeftCell="D2" activePane="bottomRight" state="frozen"/>
      <selection pane="topRight" activeCell="A1" sqref="A1"/>
      <selection pane="bottomLeft" activeCell="A1" sqref="A1"/>
      <selection pane="bottomRight" activeCell="C4" sqref="C4"/>
    </sheetView>
  </sheetViews>
  <sheetFormatPr baseColWidth="8" defaultRowHeight="13.5"/>
  <cols>
    <col width="8" customWidth="1" min="1" max="9"/>
    <col width="12" customWidth="1" min="2" max="2"/>
    <col width="46" customWidth="1" min="3" max="3"/>
    <col width="24" customWidth="1" min="4" max="4"/>
    <col width="24" customWidth="1" min="5" max="5"/>
    <col width="24" customWidth="1" min="6" max="6"/>
    <col width="24" customWidth="1" min="7" max="7"/>
    <col width="12" customWidth="1" min="8" max="8"/>
    <col width="34" customWidth="1" min="9" max="9"/>
  </cols>
  <sheetData>
    <row r="1" ht="15" customHeight="1">
      <c r="A1" s="8" t="inlineStr">
        <is>
          <t>No</t>
        </is>
      </c>
      <c r="B1" s="8" t="inlineStr">
        <is>
          <t>区分(赤枠/青枠)</t>
        </is>
      </c>
      <c r="C1" s="8" t="inlineStr">
        <is>
          <t>ヒアリング内容</t>
        </is>
      </c>
      <c r="D1" s="8" t="inlineStr">
        <is>
          <t>設計書該当箇所</t>
        </is>
      </c>
      <c r="E1" s="8" t="inlineStr">
        <is>
          <t>マスタSQL</t>
        </is>
      </c>
      <c r="F1" s="8" t="inlineStr">
        <is>
          <t>設定ファイル</t>
        </is>
      </c>
      <c r="G1" s="8" t="inlineStr">
        <is>
          <t>実機DB確認</t>
        </is>
      </c>
      <c r="H1" s="8" t="inlineStr">
        <is>
          <t>判定(○/△/×)</t>
        </is>
      </c>
      <c r="I1" s="8" t="inlineStr">
        <is>
          <t>備考</t>
        </is>
      </c>
    </row>
    <row r="2">
      <c r="A2" s="11" t="inlineStr">
        <is>
          <t>B-01</t>
        </is>
      </c>
      <c r="B2" s="11" t="inlineStr">
        <is>
          <t>赤枠</t>
        </is>
      </c>
      <c r="C2" s="11" t="inlineStr">
        <is>
          <t>横浜サーバへの2ファイルは別々に送信し、HULFT-IDをシステム毎に設定する</t>
        </is>
      </c>
      <c r="D2" s="12" t="n"/>
      <c r="E2" s="12" t="n"/>
      <c r="F2" s="12" t="n"/>
      <c r="G2" s="12" t="n"/>
      <c r="H2" s="12" t="n"/>
      <c r="I2" s="11" t="inlineStr">
        <is>
          <t>A-01 と対応（ヒアリングシート1部 4-1）</t>
        </is>
      </c>
    </row>
    <row r="3">
      <c r="A3" s="11" t="inlineStr">
        <is>
          <t>B-02</t>
        </is>
      </c>
      <c r="B3" s="11" t="inlineStr">
        <is>
          <t>赤枠</t>
        </is>
      </c>
      <c r="C3" s="11" t="inlineStr">
        <is>
          <t>U2KJX001（顧客開設・変更情報）の配信周期を「四半期」、連携時刻を「12:30:00」とする</t>
        </is>
      </c>
      <c r="D3" s="12" t="n"/>
      <c r="E3" s="12" t="n"/>
      <c r="F3" s="12" t="n"/>
      <c r="G3" s="12" t="n"/>
      <c r="H3" s="12" t="n"/>
      <c r="I3" s="11" t="inlineStr">
        <is>
          <t>A-02 と対応（ヒアリングシート1部 4-1）</t>
        </is>
      </c>
    </row>
    <row r="4">
      <c r="A4" s="11" t="inlineStr">
        <is>
          <t>B-03</t>
        </is>
      </c>
      <c r="B4" s="11" t="inlineStr">
        <is>
          <t>赤枠</t>
        </is>
      </c>
      <c r="C4" s="11" t="inlineStr">
        <is>
          <t>U2KJX002（顧客開設・変更情報）の配信周期を「四半期」、連携時刻を「12:30:00」とする</t>
        </is>
      </c>
      <c r="D4" s="12" t="n"/>
      <c r="E4" s="12" t="n"/>
      <c r="F4" s="12" t="n"/>
      <c r="G4" s="12" t="n"/>
      <c r="H4" s="12" t="n"/>
      <c r="I4" s="11" t="inlineStr">
        <is>
          <t>A-03 と対応（ヒアリングシート1部 4-1）</t>
        </is>
      </c>
    </row>
    <row r="5">
      <c r="A5" s="11" t="inlineStr">
        <is>
          <t>B-04</t>
        </is>
      </c>
      <c r="B5" s="11" t="inlineStr">
        <is>
          <t>赤枠</t>
        </is>
      </c>
      <c r="C5" s="11" t="inlineStr">
        <is>
          <t>横浜銀行事務部では、BFILE_CINFOを除く対象リストを利用する</t>
        </is>
      </c>
      <c r="D5" s="12" t="n"/>
      <c r="E5" s="12" t="n"/>
      <c r="F5" s="12" t="n"/>
      <c r="G5" s="12" t="n"/>
      <c r="H5" s="12" t="n"/>
      <c r="I5" s="11" t="inlineStr">
        <is>
          <t>A-04 と対応（ヒアリングシート2部 3-2-3）
★確認先の候補（部店コードシートのマスタ定義より）
  5_部店マスタ／25_部店フィルタリング設定／26_CIFファイルフィルタリング設定</t>
        </is>
      </c>
    </row>
    <row r="6">
      <c r="A6" s="11" t="inlineStr">
        <is>
          <t>B-05</t>
        </is>
      </c>
      <c r="B6" s="11" t="inlineStr">
        <is>
          <t>赤枠</t>
        </is>
      </c>
      <c r="C6" s="11" t="inlineStr">
        <is>
          <t>L&amp;F横浜店では、MOF、JPI、DJ_SHIPSを除く対象リストを利用する</t>
        </is>
      </c>
      <c r="D6" s="12" t="n"/>
      <c r="E6" s="12" t="n"/>
      <c r="F6" s="12" t="n"/>
      <c r="G6" s="12" t="n"/>
      <c r="H6" s="12" t="n"/>
      <c r="I6" s="11" t="inlineStr">
        <is>
          <t>A-05 と対応（ヒアリングシート2部 3-2-3）
★確認先の候補（部店コードシートのマスタ定義より）
  5_部店マスタ／25_部店フィルタリング設定／26_CIFファイルフィルタリング設定</t>
        </is>
      </c>
    </row>
    <row r="7">
      <c r="A7" s="11" t="inlineStr">
        <is>
          <t>B-06</t>
        </is>
      </c>
      <c r="B7" s="11" t="inlineStr">
        <is>
          <t>赤枠</t>
        </is>
      </c>
      <c r="C7" s="14" t="inlineStr">
        <is>
          <t>部店ごとのフィルタリング対象リストの使い分けは行わない</t>
        </is>
      </c>
      <c r="D7" s="12" t="n"/>
      <c r="E7" s="12" t="n"/>
      <c r="F7" s="12" t="n"/>
      <c r="G7" s="12" t="n"/>
      <c r="H7" s="12" t="n"/>
      <c r="I7" s="11" t="inlineStr">
        <is>
          <t>A-06 と対応（ヒアリングシート2部 3-2-3）
★確認の向きが逆：部店別の設定が【入っていないこと】を確認する
★確認先の候補（部店コードシートのマスタ定義より）
  5_部店マスタ／25_部店フィルタリング設定／26_CIFファイルフィルタリング設定</t>
        </is>
      </c>
    </row>
    <row r="8">
      <c r="A8" s="11" t="inlineStr">
        <is>
          <t>B-07</t>
        </is>
      </c>
      <c r="B8" s="11" t="inlineStr">
        <is>
          <t>赤枠</t>
        </is>
      </c>
      <c r="C8" s="11" t="inlineStr">
        <is>
          <t>判定情報のプルダウンに表示する補助コメントおよび表示順を設定する</t>
        </is>
      </c>
      <c r="D8" s="12" t="n"/>
      <c r="E8" s="12" t="n"/>
      <c r="F8" s="12" t="n"/>
      <c r="G8" s="12" t="n"/>
      <c r="H8" s="12" t="n"/>
      <c r="I8" s="11" t="inlineStr">
        <is>
          <t>A-07 と対応（ヒアリングシート2部 3-2-4）</t>
        </is>
      </c>
    </row>
    <row r="9">
      <c r="A9" s="11" t="inlineStr">
        <is>
          <t>B-08</t>
        </is>
      </c>
      <c r="B9" s="11" t="inlineStr">
        <is>
          <t>赤枠</t>
        </is>
      </c>
      <c r="C9" s="11" t="inlineStr">
        <is>
          <t>ファイル記号O～Tでは、MOF、JP、DJ_SHIPSを除く対象リストを利用する</t>
        </is>
      </c>
      <c r="D9" s="12" t="n"/>
      <c r="E9" s="12" t="n"/>
      <c r="F9" s="12" t="n"/>
      <c r="G9" s="12" t="n"/>
      <c r="H9" s="12" t="n"/>
      <c r="I9" s="11" t="inlineStr">
        <is>
          <t>A-08 と対応（ヒアリングシート2部 3-3-3）</t>
        </is>
      </c>
    </row>
    <row r="10">
      <c r="A10" s="11" t="inlineStr">
        <is>
          <t>B-09</t>
        </is>
      </c>
      <c r="B10" s="11" t="inlineStr">
        <is>
          <t>赤字変更箇所</t>
        </is>
      </c>
      <c r="C10" s="11" t="inlineStr">
        <is>
          <t>対象業務では前回判定を自動的に適用する</t>
        </is>
      </c>
      <c r="D10" s="12" t="n"/>
      <c r="E10" s="12" t="n"/>
      <c r="F10" s="12" t="n"/>
      <c r="G10" s="12" t="n"/>
      <c r="H10" s="12" t="n"/>
      <c r="I10" s="11" t="inlineStr">
        <is>
          <t>A-09 と対応（ヒアリングシート2部 3-5-5）</t>
        </is>
      </c>
    </row>
    <row r="11">
      <c r="A11" s="11" t="inlineStr">
        <is>
          <t>B-10</t>
        </is>
      </c>
      <c r="B11" s="11" t="n"/>
      <c r="C11" s="11" t="inlineStr">
        <is>
          <t>Oculus-monitorに連携するモニタリング画面表示リスト名を設定する</t>
        </is>
      </c>
      <c r="D11" s="12" t="n"/>
      <c r="E11" s="12" t="n"/>
      <c r="F11" s="12" t="n"/>
      <c r="G11" s="12" t="n"/>
      <c r="H11" s="12" t="n"/>
      <c r="I11" s="11" t="inlineStr">
        <is>
          <t>A-10 と対応（ヒアリングシート2部 3-7）</t>
        </is>
      </c>
    </row>
    <row r="12">
      <c r="A12" s="11" t="inlineStr">
        <is>
          <t>B-11</t>
        </is>
      </c>
      <c r="B12" s="11" t="inlineStr">
        <is>
          <t>赤枠</t>
        </is>
      </c>
      <c r="C12" s="11" t="inlineStr">
        <is>
          <t>L&amp;Fで使用するCIF情報ファイルのファイル記号O～Tを、各業務のファイル属性として設定する</t>
        </is>
      </c>
      <c r="D12" s="12" t="n"/>
      <c r="E12" s="12" t="n"/>
      <c r="F12" s="12" t="n"/>
      <c r="G12" s="12" t="n"/>
      <c r="H12" s="12" t="n"/>
      <c r="I12" s="11" t="inlineStr">
        <is>
          <t>A-11 と対応（ヒアリングシート2部 4-1-4）</t>
        </is>
      </c>
    </row>
    <row r="13">
      <c r="A13" s="11" t="inlineStr">
        <is>
          <t>B-12</t>
        </is>
      </c>
      <c r="B13" s="11" t="inlineStr">
        <is>
          <t>赤枠</t>
        </is>
      </c>
      <c r="C13" s="14" t="inlineStr">
        <is>
          <t>本人確認等で使用するID情報の表示文字列および表示順は既存設定を使用し、L&amp;Fでの追加設定は行わない</t>
        </is>
      </c>
      <c r="D13" s="12" t="n"/>
      <c r="E13" s="12" t="n"/>
      <c r="F13" s="12" t="n"/>
      <c r="G13" s="12" t="n"/>
      <c r="H13" s="12" t="n"/>
      <c r="I13" s="11" t="inlineStr">
        <is>
          <t>A-12 と対応（ヒアリングシート2部 4-1-4）
★確認の向きが逆：L&amp;F用の追加設定が【されていないこと】を確認する</t>
        </is>
      </c>
    </row>
    <row r="14">
      <c r="A14" s="11" t="inlineStr">
        <is>
          <t>B-13</t>
        </is>
      </c>
      <c r="B14" s="11" t="inlineStr">
        <is>
          <t>赤枠</t>
        </is>
      </c>
      <c r="C14" s="21" t="inlineStr">
        <is>
          <t>BFILE_CINFO（BファイルC情報）のリスト基本情報を設定する</t>
        </is>
      </c>
      <c r="D14" s="12" t="n"/>
      <c r="E14" s="12" t="n"/>
      <c r="F14" s="12" t="n"/>
      <c r="G14" s="12" t="n"/>
      <c r="H14" s="12" t="n"/>
      <c r="I14" s="11" t="inlineStr">
        <is>
          <t>A-13 と対応（ヒアリングシート2部_フィルタリング設定（オンライン））
★設定の中身は B-13-01〜B-13-17 に展開した（ヒアリングシート2部_フィルタリング設定（オンライン））。
  横ぐし確認は細目の行で行う。</t>
        </is>
      </c>
    </row>
    <row r="15">
      <c r="A15" s="22" t="inlineStr">
        <is>
          <t>B-13-01</t>
        </is>
      </c>
      <c r="B15" s="22" t="inlineStr">
        <is>
          <t>リスト項目（照合設定）</t>
        </is>
      </c>
      <c r="C15" s="11" t="inlineStr">
        <is>
          <t>【BファイルC情報(BC)】フリガナ／別称（フリガナ） → 名称及び別称
LSE ／ 閾値 88</t>
        </is>
      </c>
      <c r="D15" s="12" t="n"/>
      <c r="E15" s="12" t="n"/>
      <c r="F15" s="12" t="n"/>
      <c r="G15" s="12" t="n"/>
      <c r="H15" s="12" t="n"/>
      <c r="I15" s="11" t="inlineStr">
        <is>
          <t>ヒアリングシート2部_フィルタリング設定（オンライン） より。B-13 の細目。
※コメント &lt;20260518 MDLC&gt;「L&amp;F様利用リスト『BファイルC情報』の
  設定内容を記載ください」期限 6/19 に対する回答欄。</t>
        </is>
      </c>
    </row>
    <row r="16">
      <c r="A16" s="22" t="inlineStr">
        <is>
          <t>B-13-02</t>
        </is>
      </c>
      <c r="B16" s="22" t="inlineStr">
        <is>
          <t>リスト項目（照合設定）</t>
        </is>
      </c>
      <c r="C16" s="11" t="inlineStr">
        <is>
          <t>【BファイルC情報(BC)】名称／別称（名称） → 名称及び別称
LSE ／ 閾値 88</t>
        </is>
      </c>
      <c r="D16" s="12" t="n"/>
      <c r="E16" s="12" t="n"/>
      <c r="F16" s="12" t="n"/>
      <c r="G16" s="12" t="n"/>
      <c r="H16" s="12" t="n"/>
      <c r="I16" s="11" t="inlineStr">
        <is>
          <t>ヒアリングシート2部_フィルタリング設定（オンライン） より。B-13 の細目。
※コメント &lt;20260518 MDLC&gt;「L&amp;F様利用リスト『BファイルC情報』の
  設定内容を記載ください」期限 6/19 に対する回答欄。</t>
        </is>
      </c>
    </row>
    <row r="17">
      <c r="A17" s="22" t="inlineStr">
        <is>
          <t>B-13-03</t>
        </is>
      </c>
      <c r="B17" s="22" t="inlineStr">
        <is>
          <t>リスト項目（照合設定）</t>
        </is>
      </c>
      <c r="C17" s="11" t="inlineStr">
        <is>
          <t>【BファイルC情報(BC)】英字名称／別称（英字名称） → 名称及び別称
NGE ／ 閾値 79</t>
        </is>
      </c>
      <c r="D17" s="12" t="n"/>
      <c r="E17" s="12" t="n"/>
      <c r="F17" s="12" t="n"/>
      <c r="G17" s="12" t="n"/>
      <c r="H17" s="12" t="n"/>
      <c r="I17" s="11" t="inlineStr">
        <is>
          <t>ヒアリングシート2部_フィルタリング設定（オンライン） より。B-13 の細目。
※コメント &lt;20260518 MDLC&gt;「L&amp;F様利用リスト『BファイルC情報』の
  設定内容を記載ください」期限 6/19 に対する回答欄。</t>
        </is>
      </c>
    </row>
    <row r="18">
      <c r="A18" s="22" t="inlineStr">
        <is>
          <t>B-13-04</t>
        </is>
      </c>
      <c r="B18" s="22" t="inlineStr">
        <is>
          <t>リスト項目（照合設定）</t>
        </is>
      </c>
      <c r="C18" s="11" t="inlineStr">
        <is>
          <t>【BファイルC情報(BC)】電話番号 → その他ID情報
FME ／ 閾値 100</t>
        </is>
      </c>
      <c r="D18" s="12" t="n"/>
      <c r="E18" s="12" t="n"/>
      <c r="F18" s="12" t="n"/>
      <c r="G18" s="12" t="n"/>
      <c r="H18" s="12" t="n"/>
      <c r="I18" s="11" t="inlineStr">
        <is>
          <t>ヒアリングシート2部_フィルタリング設定（オンライン） より。B-13 の細目。
※コメント &lt;20260518 MDLC&gt;「L&amp;F様利用リスト『BファイルC情報』の
  設定内容を記載ください」期限 6/19 に対する回答欄。</t>
        </is>
      </c>
    </row>
    <row r="19">
      <c r="A19" s="22" t="inlineStr">
        <is>
          <t>B-13-05</t>
        </is>
      </c>
      <c r="B19" s="22" t="inlineStr">
        <is>
          <t>リスト項目（照合設定）</t>
        </is>
      </c>
      <c r="C19" s="11" t="inlineStr">
        <is>
          <t>【BファイルC情報(BC)】ID情報／ID情報2 → ID情報
FME ／ 閾値 100</t>
        </is>
      </c>
      <c r="D19" s="12" t="n"/>
      <c r="E19" s="12" t="n"/>
      <c r="F19" s="12" t="n"/>
      <c r="G19" s="12" t="n"/>
      <c r="H19" s="12" t="n"/>
      <c r="I19" s="11" t="inlineStr">
        <is>
          <t>ヒアリングシート2部_フィルタリング設定（オンライン） より。B-13 の細目。
※コメント &lt;20260518 MDLC&gt;「L&amp;F様利用リスト『BファイルC情報』の
  設定内容を記載ください」期限 6/19 に対する回答欄。</t>
        </is>
      </c>
    </row>
    <row r="20">
      <c r="A20" s="22" t="inlineStr">
        <is>
          <t>B-13-06</t>
        </is>
      </c>
      <c r="B20" s="22" t="inlineStr">
        <is>
          <t>リスト項目（照合設定）</t>
        </is>
      </c>
      <c r="C20" s="11" t="inlineStr">
        <is>
          <t>【BファイルC情報(BC)】ID情報／ID情報2 → パスポート番号
FME ／ 閾値 100</t>
        </is>
      </c>
      <c r="D20" s="12" t="n"/>
      <c r="E20" s="12" t="n"/>
      <c r="F20" s="12" t="n"/>
      <c r="G20" s="12" t="n"/>
      <c r="H20" s="12" t="n"/>
      <c r="I20" s="11" t="inlineStr">
        <is>
          <t>ヒアリングシート2部_フィルタリング設定（オンライン） より。B-13 の細目。
※コメント &lt;20260518 MDLC&gt;「L&amp;F様利用リスト『BファイルC情報』の
  設定内容を記載ください」期限 6/19 に対する回答欄。</t>
        </is>
      </c>
    </row>
    <row r="21">
      <c r="A21" s="22" t="inlineStr">
        <is>
          <t>B-13-07</t>
        </is>
      </c>
      <c r="B21" s="22" t="inlineStr">
        <is>
          <t>リスト項目（照合設定）</t>
        </is>
      </c>
      <c r="C21" s="11" t="inlineStr">
        <is>
          <t>【BファイルC情報(BC)】ID情報／ID情報2 → その他ID情報
FME ／ 閾値 100</t>
        </is>
      </c>
      <c r="D21" s="12" t="n"/>
      <c r="E21" s="12" t="n"/>
      <c r="F21" s="12" t="n"/>
      <c r="G21" s="12" t="n"/>
      <c r="H21" s="12" t="n"/>
      <c r="I21" s="11" t="inlineStr">
        <is>
          <t>ヒアリングシート2部_フィルタリング設定（オンライン） より。B-13 の細目。
※コメント &lt;20260518 MDLC&gt;「L&amp;F様利用リスト『BファイルC情報』の
  設定内容を記載ください」期限 6/19 に対する回答欄。</t>
        </is>
      </c>
    </row>
    <row r="22">
      <c r="A22" s="22" t="inlineStr">
        <is>
          <t>B-13-08</t>
        </is>
      </c>
      <c r="B22" s="22" t="inlineStr">
        <is>
          <t>リスト項目（照合設定）</t>
        </is>
      </c>
      <c r="C22" s="11" t="inlineStr">
        <is>
          <t>【BファイルC情報(BC)】ID情報／ID情報2 → BIC
FME ／ 閾値 100</t>
        </is>
      </c>
      <c r="D22" s="12" t="n"/>
      <c r="E22" s="12" t="n"/>
      <c r="F22" s="12" t="n"/>
      <c r="G22" s="12" t="n"/>
      <c r="H22" s="12" t="n"/>
      <c r="I22" s="11" t="inlineStr">
        <is>
          <t>ヒアリングシート2部_フィルタリング設定（オンライン） より。B-13 の細目。
※コメント &lt;20260518 MDLC&gt;「L&amp;F様利用リスト『BファイルC情報』の
  設定内容を記載ください」期限 6/19 に対する回答欄。</t>
        </is>
      </c>
    </row>
    <row r="23">
      <c r="A23" s="22" t="inlineStr">
        <is>
          <t>B-13-09</t>
        </is>
      </c>
      <c r="B23" s="22" t="inlineStr">
        <is>
          <t>リスト項目（照合設定）</t>
        </is>
      </c>
      <c r="C23" s="11" t="inlineStr">
        <is>
          <t>【BファイルC情報(BC)】国内住所 → 住所・都市・国
LSE ／ 閾値 88</t>
        </is>
      </c>
      <c r="D23" s="12" t="n"/>
      <c r="E23" s="12" t="n"/>
      <c r="F23" s="12" t="n"/>
      <c r="G23" s="12" t="n"/>
      <c r="H23" s="12" t="n"/>
      <c r="I23" s="11" t="inlineStr">
        <is>
          <t>ヒアリングシート2部_フィルタリング設定（オンライン） より。B-13 の細目。
※コメント &lt;20260518 MDLC&gt;「L&amp;F様利用リスト『BファイルC情報』の
  設定内容を記載ください」期限 6/19 に対する回答欄。</t>
        </is>
      </c>
    </row>
    <row r="24">
      <c r="A24" s="22" t="inlineStr">
        <is>
          <t>B-13-10</t>
        </is>
      </c>
      <c r="B24" s="22" t="inlineStr">
        <is>
          <t>リスト項目（照合設定）</t>
        </is>
      </c>
      <c r="C24" s="11" t="inlineStr">
        <is>
          <t>【BファイルC情報(BC)】国内郵便番号
設定なし（全項目 −）</t>
        </is>
      </c>
      <c r="D24" s="12" t="n"/>
      <c r="E24" s="12" t="n"/>
      <c r="F24" s="12" t="n"/>
      <c r="G24" s="12" t="n"/>
      <c r="H24" s="12" t="n"/>
      <c r="I24" s="11" t="inlineStr">
        <is>
          <t>ヒアリングシート2部_フィルタリング設定（オンライン） より。B-13 の細目。
※コメント &lt;20260518 MDLC&gt;「L&amp;F様利用リスト『BファイルC情報』の
  設定内容を記載ください」期限 6/19 に対する回答欄。</t>
        </is>
      </c>
    </row>
    <row r="25">
      <c r="A25" s="22" t="inlineStr">
        <is>
          <t>B-13-11</t>
        </is>
      </c>
      <c r="B25" s="22" t="inlineStr">
        <is>
          <t>リスト項目（照合設定）</t>
        </is>
      </c>
      <c r="C25" s="11" t="inlineStr">
        <is>
          <t>【BファイルC情報(BC)】英文住所
設定なし（全項目 −）</t>
        </is>
      </c>
      <c r="D25" s="12" t="n"/>
      <c r="E25" s="12" t="n"/>
      <c r="F25" s="12" t="n"/>
      <c r="G25" s="12" t="n"/>
      <c r="H25" s="12" t="n"/>
      <c r="I25" s="11" t="inlineStr">
        <is>
          <t>ヒアリングシート2部_フィルタリング設定（オンライン） より。B-13 の細目。
※コメント &lt;20260518 MDLC&gt;「L&amp;F様利用リスト『BファイルC情報』の
  設定内容を記載ください」期限 6/19 に対する回答欄。</t>
        </is>
      </c>
    </row>
    <row r="26">
      <c r="A26" s="22" t="inlineStr">
        <is>
          <t>B-13-12</t>
        </is>
      </c>
      <c r="B26" s="22" t="inlineStr">
        <is>
          <t>Hit絞り込み（複合AND）</t>
        </is>
      </c>
      <c r="C26" s="11" t="inlineStr">
        <is>
          <t>【BファイルC情報(BC)】名称＋フリガナ
○（AND条件）
※ × の場合は名称とフリガナがそれぞれ OR 条件でヒットする
※1 除外条件（①②）は取消線で消されている＝選択していない</t>
        </is>
      </c>
      <c r="D26" s="12" t="n"/>
      <c r="E26" s="12" t="n"/>
      <c r="F26" s="12" t="n"/>
      <c r="G26" s="12" t="n"/>
      <c r="H26" s="12" t="n"/>
      <c r="I26" s="11" t="inlineStr">
        <is>
          <t>ヒアリングシート2部_フィルタリング設定（オンライン） より。B-13 の細目。
※コメント &lt;20260518 MDLC&gt;「L&amp;F様利用リスト『BファイルC情報』の
  設定内容を記載ください」期限 6/19 に対する回答欄。</t>
        </is>
      </c>
    </row>
    <row r="27">
      <c r="A27" s="22" t="inlineStr">
        <is>
          <t>B-13-13</t>
        </is>
      </c>
      <c r="B27" s="22" t="inlineStr">
        <is>
          <t>Hit絞り込み（単項目AND）</t>
        </is>
      </c>
      <c r="C27" s="11" t="inlineStr">
        <is>
          <t>【BファイルC情報(BC)】設立／生年月日
○</t>
        </is>
      </c>
      <c r="D27" s="12" t="n"/>
      <c r="E27" s="12" t="n"/>
      <c r="F27" s="12" t="n"/>
      <c r="G27" s="12" t="n"/>
      <c r="H27" s="12" t="n"/>
      <c r="I27" s="11" t="inlineStr">
        <is>
          <t>ヒアリングシート2部_フィルタリング設定（オンライン） より。B-13 の細目。
※コメント &lt;20260518 MDLC&gt;「L&amp;F様利用リスト『BファイルC情報』の
  設定内容を記載ください」期限 6/19 に対する回答欄。</t>
        </is>
      </c>
    </row>
    <row r="28">
      <c r="A28" s="22" t="inlineStr">
        <is>
          <t>B-13-14</t>
        </is>
      </c>
      <c r="B28" s="22" t="inlineStr">
        <is>
          <t>Hit絞り込み（単項目AND）</t>
        </is>
      </c>
      <c r="C28" s="11" t="inlineStr">
        <is>
          <t>【BファイルC情報(BC)】住所
×</t>
        </is>
      </c>
      <c r="D28" s="12" t="n"/>
      <c r="E28" s="12" t="n"/>
      <c r="F28" s="12" t="n"/>
      <c r="G28" s="12" t="n"/>
      <c r="H28" s="12" t="n"/>
      <c r="I28" s="11" t="inlineStr">
        <is>
          <t>ヒアリングシート2部_フィルタリング設定（オンライン） より。B-13 の細目。
※コメント &lt;20260518 MDLC&gt;「L&amp;F様利用リスト『BファイルC情報』の
  設定内容を記載ください」期限 6/19 に対する回答欄。</t>
        </is>
      </c>
    </row>
    <row r="29">
      <c r="A29" s="22" t="inlineStr">
        <is>
          <t>B-13-15</t>
        </is>
      </c>
      <c r="B29" s="22" t="inlineStr">
        <is>
          <t>Hit絞り込み（単項目AND）</t>
        </is>
      </c>
      <c r="C29" s="11" t="inlineStr">
        <is>
          <t>【BファイルC情報(BC)】国籍
×</t>
        </is>
      </c>
      <c r="D29" s="12" t="n"/>
      <c r="E29" s="12" t="n"/>
      <c r="F29" s="12" t="n"/>
      <c r="G29" s="12" t="n"/>
      <c r="H29" s="12" t="n"/>
      <c r="I29" s="11" t="inlineStr">
        <is>
          <t>ヒアリングシート2部_フィルタリング設定（オンライン） より。B-13 の細目。
※コメント &lt;20260518 MDLC&gt;「L&amp;F様利用リスト『BファイルC情報』の
  設定内容を記載ください」期限 6/19 に対する回答欄。</t>
        </is>
      </c>
    </row>
    <row r="30">
      <c r="A30" s="22" t="inlineStr">
        <is>
          <t>B-13-16</t>
        </is>
      </c>
      <c r="B30" s="22" t="inlineStr">
        <is>
          <t>Hit絞り込み（単項目AND）</t>
        </is>
      </c>
      <c r="C30" s="11" t="inlineStr">
        <is>
          <t>【BファイルC情報(BC)】性別
×</t>
        </is>
      </c>
      <c r="D30" s="12" t="n"/>
      <c r="E30" s="12" t="n"/>
      <c r="F30" s="12" t="n"/>
      <c r="G30" s="12" t="n"/>
      <c r="H30" s="12" t="n"/>
      <c r="I30" s="11" t="inlineStr">
        <is>
          <t>ヒアリングシート2部_フィルタリング設定（オンライン） より。B-13 の細目。
※コメント &lt;20260518 MDLC&gt;「L&amp;F様利用リスト『BファイルC情報』の
  設定内容を記載ください」期限 6/19 に対する回答欄。</t>
        </is>
      </c>
    </row>
    <row r="31">
      <c r="A31" s="22" t="inlineStr">
        <is>
          <t>B-13-17</t>
        </is>
      </c>
      <c r="B31" s="22" t="inlineStr">
        <is>
          <t>Hit絞り込み（単項目AND）</t>
        </is>
      </c>
      <c r="C31" s="11" t="inlineStr">
        <is>
          <t>【BファイルC情報(BC)】タイプ
×</t>
        </is>
      </c>
      <c r="D31" s="12" t="n"/>
      <c r="E31" s="12" t="n"/>
      <c r="F31" s="12" t="n"/>
      <c r="G31" s="12" t="n"/>
      <c r="H31" s="12" t="n"/>
      <c r="I31" s="11" t="inlineStr">
        <is>
          <t>ヒアリングシート2部_フィルタリング設定（オンライン） より。B-13 の細目。
※コメント &lt;20260518 MDLC&gt;「L&amp;F様利用リスト『BファイルC情報』の
  設定内容を記載ください」期限 6/19 に対する回答欄。</t>
        </is>
      </c>
    </row>
    <row r="32">
      <c r="A32" s="11" t="inlineStr">
        <is>
          <t>B-14</t>
        </is>
      </c>
      <c r="B32" s="11" t="inlineStr">
        <is>
          <t>赤枠</t>
        </is>
      </c>
      <c r="C32" s="11" t="inlineStr">
        <is>
          <t>L&amp;F管理者（リスク管理部）の権限を設定する</t>
        </is>
      </c>
      <c r="D32" s="12" t="n"/>
      <c r="E32" s="12" t="n"/>
      <c r="F32" s="12" t="n"/>
      <c r="G32" s="12" t="n"/>
      <c r="H32" s="12" t="n"/>
      <c r="I32" s="11" t="inlineStr">
        <is>
          <t>A-14 と対応（ヒアリングシート2部_プロファイル設定）</t>
        </is>
      </c>
    </row>
    <row r="33">
      <c r="A33" s="11" t="inlineStr">
        <is>
          <t>B-15</t>
        </is>
      </c>
      <c r="B33" s="11" t="inlineStr">
        <is>
          <t>赤枠</t>
        </is>
      </c>
      <c r="C33" s="23" t="inlineStr">
        <is>
          <t>【部店コード】L&amp;Fの部店を LF001〜LF025 の25件で設定する
LF001  一括照合用               5
LF002  監査部                 3
LF003  経営企画部               5
LF004  業務改革室               5
LF005  人財部                 3
LF006  リスク管理部              6
LF007  財務経理部               5
LF008  ITソリューション部         10
LF009  営業戦略部               5
LF010  営業推進部               5
LF011  与信企画室               5
LF012  融資第一部               5
LF013  融資第二部               5
LF014  債権管理部               5
LF015  本店営業第一部             7
LF016  本店営業第二部             7
LF017  本店営業第四部             7
LF018  新宿支店                4
LF019  池袋支店                4
LF020  横浜支店                4
LF021  大阪支店                4
LF022  名古屋支店               5
LF023  仙台支店                4
LF024  福岡支店                4
LF025  広島営業部               5</t>
        </is>
      </c>
      <c r="D33" s="12" t="inlineStr">
        <is>
          <t>マスタ定義（ヒアリングシート記載）
  5_部店マスタ
  25_部店フィルタリング設定
  26_CIFファイルフィルタリング設定</t>
        </is>
      </c>
      <c r="E33" s="12" t="n"/>
      <c r="F33" s="12" t="n"/>
      <c r="G33" s="12" t="n"/>
      <c r="H33" s="12" t="n"/>
      <c r="I33" s="11" t="inlineStr">
        <is>
          <t>出典：ヒアリングシート_部店コード（2026/05/11 L&amp;F様部店）
期限：部店数・部店コードは6/19、部店名の変更は7/1まで
★D列の数値（5/3/6/10/7/4 等）の意味は未確認。
  ユーザ数か何かと思われる。要確認。
★この3つのマスタは A-04/A-05/A-06 の確認先にもなる。</t>
        </is>
      </c>
    </row>
    <row r="34">
      <c r="A34" s="11" t="inlineStr">
        <is>
          <t>B-16</t>
        </is>
      </c>
      <c r="B34" s="11" t="n"/>
      <c r="C34" s="11" t="n"/>
      <c r="D34" s="12" t="n"/>
      <c r="E34" s="12" t="n"/>
      <c r="F34" s="12" t="n"/>
      <c r="G34" s="12" t="n"/>
      <c r="H34" s="12" t="n"/>
      <c r="I34" s="11" t="n"/>
    </row>
    <row r="35">
      <c r="A35" s="11" t="inlineStr">
        <is>
          <t>B-17</t>
        </is>
      </c>
      <c r="B35" s="11" t="n"/>
      <c r="C35" s="11" t="n"/>
      <c r="D35" s="12" t="n"/>
      <c r="E35" s="12" t="n"/>
      <c r="F35" s="12" t="n"/>
      <c r="G35" s="12" t="n"/>
      <c r="H35" s="12" t="n"/>
      <c r="I35" s="11" t="n"/>
    </row>
    <row r="36">
      <c r="A36" s="11" t="inlineStr">
        <is>
          <t>B-18</t>
        </is>
      </c>
      <c r="B36" s="11" t="n"/>
      <c r="C36" s="11" t="n"/>
      <c r="D36" s="12" t="n"/>
      <c r="E36" s="12" t="n"/>
      <c r="F36" s="12" t="n"/>
      <c r="G36" s="12" t="n"/>
      <c r="H36" s="12" t="n"/>
      <c r="I36" s="11" t="n"/>
    </row>
    <row r="37">
      <c r="A37" s="11" t="inlineStr">
        <is>
          <t>B-19</t>
        </is>
      </c>
      <c r="B37" s="11" t="n"/>
      <c r="C37" s="11" t="n"/>
      <c r="D37" s="12" t="n"/>
      <c r="E37" s="12" t="n"/>
      <c r="F37" s="12" t="n"/>
      <c r="G37" s="12" t="n"/>
      <c r="H37" s="12" t="n"/>
      <c r="I37" s="11" t="n"/>
    </row>
    <row r="38">
      <c r="A38" s="11" t="inlineStr">
        <is>
          <t>B-20</t>
        </is>
      </c>
      <c r="B38" s="11" t="n"/>
      <c r="C38" s="11" t="n"/>
      <c r="D38" s="12" t="n"/>
      <c r="E38" s="12" t="n"/>
      <c r="F38" s="12" t="n"/>
      <c r="G38" s="12" t="n"/>
      <c r="H38" s="12" t="n"/>
      <c r="I38" s="11" t="n"/>
    </row>
  </sheetData>
  <autoFilter ref="A1:I38"/>
  <dataValidations count="2">
    <dataValidation sqref="H2:H21" showDropDown="0" showInputMessage="0" showErrorMessage="0" allowBlank="1" type="list">
      <formula1>"○,△,×,－"</formula1>
    </dataValidation>
    <dataValidation sqref="H2:H38"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孫 キ超/Sun, Qichao (ndlc)</dc:creator>
  <dcterms:created xmlns:dcterms="http://purl.org/dc/terms/" xmlns:xsi="http://www.w3.org/2001/XMLSchema-instance" xsi:type="dcterms:W3CDTF">2026-10-09T05:54:11Z</dcterms:created>
  <dcterms:modified xmlns:dcterms="http://purl.org/dc/terms/" xmlns:xsi="http://www.w3.org/2001/XMLSchema-instance" xsi:type="dcterms:W3CDTF">2026-10-15T14:53:03Z</dcterms:modified>
  <cp:lastModifiedBy>孫 キ超/Sun, Qichao (ndlc)</cp:lastModifiedBy>
</cp:coreProperties>
</file>