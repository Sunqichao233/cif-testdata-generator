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heet0_サマリー" sheetId="1" state="visible" r:id="rId1"/>
    <sheet xmlns:r="http://schemas.openxmlformats.org/officeDocument/2006/relationships" name="Sheet1_試験追跡" sheetId="2" state="visible" r:id="rId2"/>
    <sheet xmlns:r="http://schemas.openxmlformats.org/officeDocument/2006/relationships" name="Sheet2_資材追跡" sheetId="3" state="visible" r:id="rId3"/>
  </sheets>
  <definedNames>
    <definedName name="_xlnm._FilterDatabase" localSheetId="1" hidden="1">'Sheet1_試験追跡'!$A$1:$J$45</definedName>
    <definedName name="_xlnm._FilterDatabase" localSheetId="2" hidden="1">'Sheet2_資材追跡'!$A$1:$I$21</definedName>
  </definedNames>
  <calcPr calcId="191028" fullCalcOnLoad="1"/>
</workbook>
</file>

<file path=xl/styles.xml><?xml version="1.0" encoding="utf-8"?>
<styleSheet xmlns="http://schemas.openxmlformats.org/spreadsheetml/2006/main">
  <numFmts count="0"/>
  <fonts count="8">
    <font>
      <name val="ＭＳ Ｐゴシック"/>
      <family val="2"/>
      <color theme="1"/>
      <sz val="11"/>
      <scheme val="minor"/>
    </font>
    <font>
      <name val="Calibri"/>
      <family val="2"/>
      <b val="1"/>
      <color rgb="FFFFFFFF"/>
      <sz val="11"/>
    </font>
    <font>
      <name val="ＭＳ Ｐゴシック"/>
      <charset val="128"/>
      <family val="3"/>
      <sz val="6"/>
      <scheme val="minor"/>
    </font>
    <font>
      <name val="Segoe UI"/>
      <family val="2"/>
      <color theme="1"/>
      <sz val="11"/>
    </font>
    <font>
      <name val="Noto Sans JP"/>
      <charset val="134"/>
      <family val="2"/>
      <color theme="1"/>
      <sz val="11"/>
    </font>
    <font>
      <name val="ＭＳ ゴシック"/>
      <charset val="128"/>
      <family val="3"/>
      <color theme="1"/>
      <sz val="11"/>
    </font>
    <font>
      <name val="ＭＳ ゴシック"/>
      <charset val="128"/>
      <family val="3"/>
      <b val="1"/>
      <color rgb="FFFFFFFF"/>
      <sz val="11"/>
    </font>
    <font>
      <b val="1"/>
    </font>
  </fonts>
  <fills count="10">
    <fill>
      <patternFill/>
    </fill>
    <fill>
      <patternFill patternType="gray125"/>
    </fill>
    <fill>
      <patternFill patternType="solid">
        <fgColor rgb="FF4472C4"/>
      </patternFill>
    </fill>
    <fill>
      <patternFill patternType="solid">
        <fgColor rgb="FF5B9BD5"/>
      </patternFill>
    </fill>
    <fill>
      <patternFill patternType="solid">
        <fgColor rgb="FF70AD47"/>
      </patternFill>
    </fill>
    <fill>
      <patternFill patternType="solid">
        <fgColor rgb="00FCE4D6"/>
      </patternFill>
    </fill>
    <fill>
      <patternFill patternType="solid">
        <fgColor rgb="00D9E1F2"/>
      </patternFill>
    </fill>
    <fill>
      <patternFill patternType="solid">
        <fgColor rgb="00FFF2CC"/>
      </patternFill>
    </fill>
    <fill>
      <patternFill patternType="solid">
        <fgColor rgb="00C6EFCE"/>
      </patternFill>
    </fill>
    <fill>
      <patternFill patternType="solid">
        <fgColor rgb="00FFEB9C"/>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21">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0" fillId="0" borderId="0" applyAlignment="1" pivotButton="0" quotePrefix="0" xfId="0">
      <alignment vertical="top" wrapText="1"/>
    </xf>
    <xf numFmtId="0" fontId="3" fillId="0" borderId="0" applyAlignment="1" pivotButton="0" quotePrefix="0" xfId="0">
      <alignment vertical="center"/>
    </xf>
    <xf numFmtId="0" fontId="0" fillId="0" borderId="0" applyAlignment="1" pivotButton="0" quotePrefix="0" xfId="0">
      <alignment wrapText="1"/>
    </xf>
    <xf numFmtId="0" fontId="6" fillId="3" borderId="0" pivotButton="0" quotePrefix="0" xfId="0"/>
    <xf numFmtId="0" fontId="7" fillId="6"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horizontal="center"/>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3" fillId="0" borderId="1" applyAlignment="1" pivotButton="0" quotePrefix="0" xfId="0">
      <alignment horizontal="left" vertical="top" wrapText="1"/>
    </xf>
    <xf numFmtId="0" fontId="0" fillId="5" borderId="1" applyAlignment="1" pivotButton="0" quotePrefix="0" xfId="0">
      <alignment horizontal="left" vertical="top" wrapText="1"/>
    </xf>
    <xf numFmtId="0" fontId="0" fillId="7" borderId="1" applyAlignment="1" pivotButton="0" quotePrefix="0" xfId="0">
      <alignment horizontal="center" vertical="center"/>
    </xf>
    <xf numFmtId="0" fontId="7" fillId="8" borderId="1" applyAlignment="1" pivotButton="0" quotePrefix="0" xfId="0">
      <alignment horizontal="center" vertical="center"/>
    </xf>
    <xf numFmtId="0" fontId="7" fillId="9" borderId="1" applyAlignment="1" pivotButton="0" quotePrefix="0" xfId="0">
      <alignment horizontal="center" vertical="center"/>
    </xf>
    <xf numFmtId="0" fontId="0" fillId="0" borderId="1" applyAlignment="1" pivotButton="0" quotePrefix="0" xfId="0">
      <alignment horizontal="center" vertical="center"/>
    </xf>
    <xf numFmtId="0" fontId="7" fillId="0" borderId="0" pivotButton="0" quotePrefix="0" xfId="0"/>
    <xf numFmtId="0" fontId="0" fillId="0" borderId="0" applyAlignment="1" pivotButton="0" quotePrefix="0" xfId="0">
      <alignment horizontal="lef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3.5"/>
  <cols>
    <col width="22" customWidth="1" min="1" max="3"/>
    <col width="100" customWidth="1" min="2" max="2"/>
    <col width="46" customWidth="1" min="3" max="3"/>
  </cols>
  <sheetData>
    <row r="1" ht="15" customHeight="1">
      <c r="A1" s="8" t="inlineStr">
        <is>
          <t>区分</t>
        </is>
      </c>
      <c r="B1" s="8" t="inlineStr">
        <is>
          <t>件数</t>
        </is>
      </c>
      <c r="C1" s="8" t="inlineStr">
        <is>
          <t>備考</t>
        </is>
      </c>
    </row>
    <row r="2">
      <c r="A2" s="9" t="inlineStr">
        <is>
          <t>ヒアリング項目総数</t>
        </is>
      </c>
      <c r="B2" s="10">
        <f>COUNTA(Sheet1_試験追跡!C2:C45)</f>
        <v/>
      </c>
      <c r="C2" s="9" t="inlineStr">
        <is>
          <t>Sheet1 のヒアリング項目の数</t>
        </is>
      </c>
    </row>
    <row r="3">
      <c r="A3" s="9" t="inlineStr">
        <is>
          <t>試験確認済</t>
        </is>
      </c>
      <c r="B3" s="10">
        <f>COUNTIF(Sheet1_試験追跡!I2:I45,"○")</f>
        <v/>
      </c>
      <c r="C3" s="9" t="inlineStr">
        <is>
          <t>A 判定が ○</t>
        </is>
      </c>
    </row>
    <row r="4">
      <c r="A4" s="9" t="inlineStr">
        <is>
          <t>試験漏れ</t>
        </is>
      </c>
      <c r="B4" s="10">
        <f>COUNTIF(Sheet1_試験追跡!I2:I45,"×")</f>
        <v/>
      </c>
      <c r="C4" s="9" t="inlineStr">
        <is>
          <t>A 判定が ×（試験項目なし／結果相違）</t>
        </is>
      </c>
    </row>
    <row r="5">
      <c r="A5" s="9" t="inlineStr">
        <is>
          <t>資材一致</t>
        </is>
      </c>
      <c r="B5" s="10">
        <f>COUNTIF(Sheet2_資材追跡!H2:H21,"○")</f>
        <v/>
      </c>
      <c r="C5" s="9" t="inlineStr">
        <is>
          <t>B 判定が ○</t>
        </is>
      </c>
    </row>
    <row r="6">
      <c r="A6" s="9" t="inlineStr">
        <is>
          <t>要確認</t>
        </is>
      </c>
      <c r="B6" s="10">
        <f>COUNTIF(Sheet1_試験追跡!I2:I45,"△")+COUNTIF(Sheet2_資材追跡!H2:H21,"△")</f>
        <v/>
      </c>
      <c r="C6" s="9" t="inlineStr">
        <is>
          <t>A・B の △ 合計</t>
        </is>
      </c>
    </row>
    <row r="7">
      <c r="A7" s="9" t="inlineStr">
        <is>
          <t>A 未判定</t>
        </is>
      </c>
      <c r="B7" s="10">
        <f>COUNTA(Sheet1_試験追跡!C2:C45)-COUNTA(Sheet1_試験追跡!I2:I45)</f>
        <v/>
      </c>
      <c r="C7" s="9" t="inlineStr">
        <is>
          <t>判定が空のもの</t>
        </is>
      </c>
    </row>
    <row r="8">
      <c r="A8" s="9" t="inlineStr">
        <is>
          <t>B 未判定</t>
        </is>
      </c>
      <c r="B8" s="10">
        <f>COUNTA(Sheet2_資材追跡!C2:C21)-COUNTA(Sheet2_資材追跡!H2:H21)</f>
        <v/>
      </c>
      <c r="C8" s="9" t="inlineStr">
        <is>
          <t>判定が空のもの</t>
        </is>
      </c>
    </row>
    <row r="9">
      <c r="A9" t="inlineStr">
        <is>
          <t>SCL確認状況</t>
        </is>
      </c>
      <c r="B9" t="inlineStr">
        <is>
          <t>93/93 読了</t>
        </is>
      </c>
      <c r="C9" t="inlineStr">
        <is>
          <t>SCL_変更機能検証_本人確認。★他のSCLは未着手</t>
        </is>
      </c>
    </row>
    <row r="11">
      <c r="A11" s="19" t="inlineStr">
        <is>
          <t>■ 指摘候補（SCL側）</t>
        </is>
      </c>
    </row>
    <row r="12">
      <c r="A12" t="inlineStr">
        <is>
          <t>①</t>
        </is>
      </c>
      <c r="B12" s="20" t="inlineStr">
        <is>
          <t>ケース74 に「DJ OFAC/企業リスト」の記載が無い。51・58・62 にはある → 反映漏れの可能性</t>
        </is>
      </c>
    </row>
    <row r="13">
      <c r="A13" t="inlineStr">
        <is>
          <t>②</t>
        </is>
      </c>
      <c r="B13" s="20" t="inlineStr">
        <is>
          <t>『リスク管理部』と『リスク管理部以外』で試験内容が完全に同一。権限差分が未検証</t>
        </is>
      </c>
    </row>
    <row r="14">
      <c r="A14" t="inlineStr">
        <is>
          <t>③</t>
        </is>
      </c>
      <c r="B14" s="20" t="inlineStr">
        <is>
          <t>ケース75 が「※手順不可」。実施件数の −3 のうちの1件。理由と代替確認を要確認</t>
        </is>
      </c>
    </row>
    <row r="15">
      <c r="A15" t="inlineStr">
        <is>
          <t>④</t>
        </is>
      </c>
      <c r="B15" s="20" t="inlineStr">
        <is>
          <t>A-12（本人確認で使うID情報の表示文字列・表示順）が、検証ポイント「本人確認」の SCL に無い</t>
        </is>
      </c>
    </row>
    <row r="16">
      <c r="A16" t="inlineStr">
        <is>
          <t>⑤</t>
        </is>
      </c>
      <c r="B16" s="20" t="inlineStr">
        <is>
          <t>ヒアリングは L&amp;F管理者（リスク管理部）のみだが、SCL は L&amp;Fプロファイル3種を検証。ヒアリングシートの項目漏れでは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5"/>
  <sheetViews>
    <sheetView tabSelected="1" topLeftCell="A8" workbookViewId="0">
      <pane xSplit="3" ySplit="1" topLeftCell="D2" activePane="bottomRight" state="frozen"/>
      <selection pane="topRight" activeCell="A1" sqref="A1"/>
      <selection pane="bottomLeft" activeCell="A1" sqref="A1"/>
      <selection pane="bottomRight" activeCell="D14" sqref="D14"/>
    </sheetView>
  </sheetViews>
  <sheetFormatPr baseColWidth="8" defaultRowHeight="13.5"/>
  <cols>
    <col width="8" customWidth="1" min="1" max="2"/>
    <col width="12" customWidth="1" min="2" max="2"/>
    <col width="46" customWidth="1" min="3" max="3"/>
    <col width="22" customWidth="1" min="4" max="4"/>
    <col width="40" customWidth="1" min="5" max="5"/>
    <col width="12" customWidth="1" min="6" max="9"/>
    <col width="40" customWidth="1" min="7" max="7"/>
    <col width="16" customWidth="1" min="8" max="8"/>
    <col width="12" customWidth="1" min="9" max="9"/>
    <col width="52" customWidth="1" min="10" max="10"/>
  </cols>
  <sheetData>
    <row r="1" ht="15" customHeight="1">
      <c r="A1" s="8" t="inlineStr">
        <is>
          <t>No</t>
        </is>
      </c>
      <c r="B1" s="8" t="inlineStr">
        <is>
          <t>区分(赤枠/青枠)</t>
        </is>
      </c>
      <c r="C1" s="8" t="inlineStr">
        <is>
          <t>ヒアリング項目</t>
        </is>
      </c>
      <c r="D1" s="8" t="inlineStr">
        <is>
          <t>ヒアリングシート該当箇所</t>
        </is>
      </c>
      <c r="E1" s="8" t="inlineStr">
        <is>
          <t>備考</t>
        </is>
      </c>
      <c r="F1" s="8" t="inlineStr">
        <is>
          <t>試験項目No</t>
        </is>
      </c>
      <c r="G1" s="8" t="inlineStr">
        <is>
          <t>試験項目内容</t>
        </is>
      </c>
      <c r="H1" s="8" t="inlineStr">
        <is>
          <t>試験結果</t>
        </is>
      </c>
      <c r="I1" s="8" t="inlineStr">
        <is>
          <t>判定(○/△/×)</t>
        </is>
      </c>
      <c r="J1" s="8" t="inlineStr">
        <is>
          <t>確認メモ</t>
        </is>
      </c>
    </row>
    <row r="2">
      <c r="A2" s="11" t="inlineStr">
        <is>
          <t>A-01</t>
        </is>
      </c>
      <c r="B2" s="11" t="inlineStr">
        <is>
          <t>赤枠</t>
        </is>
      </c>
      <c r="C2" s="11" t="inlineStr">
        <is>
          <t>横浜サーバへの2ファイルは別々に送信し、HULFT-IDをシステム毎に設定する</t>
        </is>
      </c>
      <c r="D2" s="11" t="inlineStr">
        <is>
          <t>ヒアリングシート1部 4-1</t>
        </is>
      </c>
      <c r="E2" s="11" t="inlineStr">
        <is>
          <t>対象ファイルID：U2KJX001、U2KJX002。4/27 Mtgで、弊社→横浜サーバへ2ファイルを別々に送信し、HULFT-IDはシステム毎に設定したい旨を確認。</t>
        </is>
      </c>
      <c r="F2" s="12" t="n"/>
      <c r="G2" s="12" t="n"/>
      <c r="H2" s="12" t="n"/>
      <c r="I2" s="18" t="n"/>
      <c r="J2" s="11" t="inlineStr">
        <is>
          <t>【未発見】
SCL_変更機能検証_本人確認（93ケース読了）には該当する試験項目が見当たらない。
★ SCL は複数あるため、他の SCL を確認するまで「漏れ」と判断しない。</t>
        </is>
      </c>
    </row>
    <row r="3">
      <c r="A3" s="11" t="inlineStr">
        <is>
          <t>A-02</t>
        </is>
      </c>
      <c r="B3" s="11" t="inlineStr">
        <is>
          <t>赤枠</t>
        </is>
      </c>
      <c r="C3" s="11" t="inlineStr">
        <is>
          <t>U2KJX001（顧客開設・変更情報）の配信周期を「四半期」、連携時刻を「12:30:00」とする</t>
        </is>
      </c>
      <c r="D3" s="11" t="inlineStr">
        <is>
          <t>ヒアリングシート1部 4-1</t>
        </is>
      </c>
      <c r="E3" s="11" t="inlineStr">
        <is>
          <t>対象ファイルID：U2KJX001。3) HULFT連携時間／バッチフィルタリングインターフェース。</t>
        </is>
      </c>
      <c r="F3" s="12" t="n"/>
      <c r="G3" s="12" t="n"/>
      <c r="H3" s="12" t="n"/>
      <c r="I3" s="18" t="n"/>
      <c r="J3" s="11" t="inlineStr">
        <is>
          <t>【未発見】
SCL_変更機能検証_本人確認（93ケース読了）には該当する試験項目が見当たらない。
★ SCL は複数あるため、他の SCL を確認するまで「漏れ」と判断しない。</t>
        </is>
      </c>
    </row>
    <row r="4">
      <c r="A4" s="11" t="inlineStr">
        <is>
          <t>A-03</t>
        </is>
      </c>
      <c r="B4" s="11" t="inlineStr">
        <is>
          <t>赤枠</t>
        </is>
      </c>
      <c r="C4" s="11" t="inlineStr">
        <is>
          <t>U2KJX002（顧客開設・変更情報）の配信周期を「四半期」、連携時刻を「12:30:00」とする</t>
        </is>
      </c>
      <c r="D4" s="11" t="inlineStr">
        <is>
          <t>ヒアリングシート1部 4-1</t>
        </is>
      </c>
      <c r="E4" s="11" t="inlineStr">
        <is>
          <t>対象ファイルID：U2KJX002。3) HULFT連携時間／バッチフィルタリングインターフェース。</t>
        </is>
      </c>
      <c r="F4" s="12" t="n"/>
      <c r="G4" s="12" t="n"/>
      <c r="H4" s="12" t="n"/>
      <c r="I4" s="18" t="n"/>
      <c r="J4" s="11" t="inlineStr">
        <is>
          <t>【未発見】
SCL_変更機能検証_本人確認（93ケース読了）には該当する試験項目が見当たらない。
★ SCL は複数あるため、他の SCL を確認するまで「漏れ」と判断しない。</t>
        </is>
      </c>
    </row>
    <row r="5">
      <c r="A5" s="11" t="inlineStr">
        <is>
          <t>A-04</t>
        </is>
      </c>
      <c r="B5" s="11" t="inlineStr">
        <is>
          <t>赤枠</t>
        </is>
      </c>
      <c r="C5" s="11" t="inlineStr">
        <is>
          <t>横浜銀行事務部では、BFILE_CINFOを除く対象リストを利用する</t>
        </is>
      </c>
      <c r="D5" s="11" t="inlineStr">
        <is>
          <t>ヒアリングシート2部 3-2-3</t>
        </is>
      </c>
      <c r="E5" s="11" t="n"/>
      <c r="F5" s="12" t="inlineStr">
        <is>
          <t>SCL_変更機能検証_本人確認（93ケース読了）
横浜側 09・12・17・20
L&amp;F側 26・39・51・58・62・74・81・85</t>
        </is>
      </c>
      <c r="G5" s="12" t="inlineStr">
        <is>
          <t>《横浜側＝出ないこと》
09・12（YOKOHAMA_OTHER_ADMIN）／17・20（YOKOHAMA_OTHER）
「横浜花子」でフィルタリング → 該当リスト一覧に
  『BファイルC情報』は表示されないこと。
《L&amp;F側＝出ること》
26・39・51（LF_ADMIN_RISK）「えるえふ太郎」→
  該当リスト一覧に『BファイルC情報』が表示されること。</t>
        </is>
      </c>
      <c r="H5" s="12" t="inlineStr">
        <is>
          <t>OK（2026/9/28 実施・再鑑とも OK／7ケース）</t>
        </is>
      </c>
      <c r="I5" s="16" t="inlineStr">
        <is>
          <t>○</t>
        </is>
      </c>
      <c r="J5" s="11" t="inlineStr">
        <is>
          <t>◎ 落とし込み済み。横浜2プロファイル×2ルートで「出ない」、
L&amp;Fプロファイル3ルートで「出る」。裏表そろっている。
【追記】5つのプロファイルすべてで確認されている。
横浜2種で「出ない」、L&amp;F2種で「出る」。
【追記・93ケース読了】6プロファイルすべてで確認。</t>
        </is>
      </c>
    </row>
    <row r="6">
      <c r="A6" s="11" t="inlineStr">
        <is>
          <t>A-05</t>
        </is>
      </c>
      <c r="B6" s="11" t="inlineStr">
        <is>
          <t>赤枠</t>
        </is>
      </c>
      <c r="C6" s="11" t="inlineStr">
        <is>
          <t>L&amp;F横浜店では、MOF、JPI、DJ_SHIPSを除く対象リストを利用する</t>
        </is>
      </c>
      <c r="D6" s="11" t="inlineStr">
        <is>
          <t>ヒアリングシート2部 3-2-3</t>
        </is>
      </c>
      <c r="E6" s="11" t="n"/>
      <c r="F6" s="12" t="inlineStr">
        <is>
          <t>SCL_変更機能検証_本人確認（93ケース読了）
ケース26・39・51・58・62・74・81・85</t>
        </is>
      </c>
      <c r="G6" s="12" t="inlineStr">
        <is>
          <t>LF_ADMIN_RISK で法人「えるえふ太郎」をフィルタリング。
想定結果の『下記は表示されないこと』に
  ・財務省
  ・JCIF PEPs
  ・DJ 船舶リスト
が明記されている（3ルートで確認）。</t>
        </is>
      </c>
      <c r="H6" s="12" t="inlineStr">
        <is>
          <t>OK（2026/9/28 実施・再鑑とも OK／3ケース）</t>
        </is>
      </c>
      <c r="I6" s="16" t="inlineStr">
        <is>
          <t>○</t>
        </is>
      </c>
      <c r="J6" s="11" t="inlineStr">
        <is>
          <t>◎ ヒアリングと完全一致。
  MOF → 財務省 ／ JPI → JCIF PEPs ／ DJ_SHIPS → DJ 船舶リスト
【追記】LF_ADMIN_RISK（26・39・51）と
LF_ADMIN_RISK_EXC（58・62・74）の両方で確認済み。
★ただしケース74 に「DJ OFAC/企業リスト」の記載が無い。
  ケース51・58・62 にはある。SCL の反映漏れの可能性あり（要確認）。
【追記・93ケース読了】L&amp;F3プロファイル（管理者2種＋担当者）で確認。</t>
        </is>
      </c>
    </row>
    <row r="7">
      <c r="A7" s="11" t="inlineStr">
        <is>
          <t>A-06</t>
        </is>
      </c>
      <c r="B7" s="11" t="inlineStr">
        <is>
          <t>赤枠</t>
        </is>
      </c>
      <c r="C7" s="11" t="inlineStr">
        <is>
          <t>部店ごとのフィルタリング対象リストの使い分けは行わない</t>
        </is>
      </c>
      <c r="D7" s="11" t="inlineStr">
        <is>
          <t>ヒアリングシート2部 3-2-3</t>
        </is>
      </c>
      <c r="E7" s="11" t="n"/>
      <c r="F7" s="12" t="n"/>
      <c r="G7" s="12" t="n"/>
      <c r="H7" s="12" t="n"/>
      <c r="I7" s="18" t="n"/>
      <c r="J7" s="11" t="inlineStr">
        <is>
          <t>【未発見】
SCL_変更機能検証_本人確認（93ケース読了）には該当する試験項目が見当たらない。
★ SCL は複数あるため、他の SCL を確認するまで「漏れ」と判断しない。
※ケース11・19・37・48 に『自部店のみ／他部店は表示されないこと』が
  あるが、これはデータの表示範囲（部店スコープ）であり、
  ヒアリングの『リストの使い分けを行わない』とは別件。混同しないこと。
※プロファイルごとにヒットするリストが違う（A-04/A-05）のは
  “部店ごとの使い分け”ではなく“会社・プロファイルごとの設定”。
  この整理で合っているか阿部さんに確認したい。</t>
        </is>
      </c>
    </row>
    <row r="8">
      <c r="A8" s="11" t="inlineStr">
        <is>
          <t>A-07</t>
        </is>
      </c>
      <c r="B8" s="11" t="inlineStr">
        <is>
          <t>赤枠</t>
        </is>
      </c>
      <c r="C8" s="11" t="inlineStr">
        <is>
          <t>判定情報のプルダウンに表示する補助コメントおよび表示順を設定する</t>
        </is>
      </c>
      <c r="D8" s="11" t="inlineStr">
        <is>
          <t>ヒアリングシート2部 3-2-4</t>
        </is>
      </c>
      <c r="E8" s="11" t="inlineStr">
        <is>
          <t>表示内容および表示順は以下の通り。
 1：該当あり（コンプラ先）
 2：該当あり（マーク先）
 3：該当あり（C情報）
 4：該当あり（その他）
 5：該当なし
 6：取消し</t>
        </is>
      </c>
      <c r="F8" s="12" t="inlineStr">
        <is>
          <t>SCL_変更機能検証_本人確認
ケース40・63（主）
ケース43・45・66・68</t>
        </is>
      </c>
      <c r="G8" s="12" t="inlineStr">
        <is>
          <t>40 補助コメント
  補助コメントのプルダウンに下記が表示されること
    該当あり（コンプラ先）
    該当あり（マーク先）
    該当あり（C情報）      ←赤字で3番目に移動
    該当あり（その他）
    該当なし
    取消し
  ※SCL上「並び順修正」として、C情報 を6番目から3番目へ変更した跡あり。
43 判定実施（プルダウン選択）
  選択した補助コメントが判定済み照会画面に表示されること。</t>
        </is>
      </c>
      <c r="H8" s="12" t="inlineStr">
        <is>
          <t>OK（2026/9/28 実施・再鑑とも OK）</t>
        </is>
      </c>
      <c r="I8" s="16" t="inlineStr">
        <is>
          <t>○</t>
        </is>
      </c>
      <c r="J8" s="11" t="inlineStr">
        <is>
          <t>◎ ヒアリング備考の 1〜6 の並びと完全一致。
  1 該当あり（コンプラ先）／2 該当あり（マーク先）／3 該当あり（C情報）
  4 該当あり（その他）／5 該当なし／6 取消し
表示内容だけでなく**表示順まで**試験項目に落ちている。
しかも SCL 側で並び順の誤りが修正されており、是正済みの状態。
【追記】ケース63 で2つ目のL&amp;Fプロファイルでも確認。
判定実施は 43/45/66/68 の4ケースで
「チェック有無 × プルダウン／テキスト」の4通りを網羅している。</t>
        </is>
      </c>
    </row>
    <row r="9">
      <c r="A9" s="11" t="inlineStr">
        <is>
          <t>A-08</t>
        </is>
      </c>
      <c r="B9" s="11" t="inlineStr">
        <is>
          <t>赤枠</t>
        </is>
      </c>
      <c r="C9" s="11" t="inlineStr">
        <is>
          <t>ファイル記号O～Tでは、MOF、JP、DJ_SHIPSを除く対象リストを利用する</t>
        </is>
      </c>
      <c r="D9" s="11" t="inlineStr">
        <is>
          <t>ヒアリングシート2部 3-3-3</t>
        </is>
      </c>
      <c r="E9" s="11" t="inlineStr">
        <is>
          <t>備考：
 ファイル記号O～Tのリスト利用設定：
OFAC：○
MOF：×
JP：×
NPA：○
NPC：○
NPI：○
ASI：○
ASC：○
DJ_SEISAI：○
DJ_SHIPS：×
DJ_GAIKOKU_PEPS：○
DJ_KOKUNAI_PEPS：○
ZENGIN_SEIHO：○
ZENGIN_SONPO：○
ORIGINAL：○
BFILE_CINFO：○</t>
        </is>
      </c>
      <c r="F9" s="12" t="n"/>
      <c r="G9" s="12" t="n"/>
      <c r="H9" s="12" t="n"/>
      <c r="I9" s="18" t="n"/>
      <c r="J9" s="11" t="inlineStr">
        <is>
          <t>【未発見】
SCL_変更機能検証_本人確認（93ケース読了）には該当する試験項目が見当たらない。
★ SCL は複数あるため、他の SCL を確認するまで「漏れ」と判断しない。</t>
        </is>
      </c>
    </row>
    <row r="10">
      <c r="A10" s="11" t="inlineStr">
        <is>
          <t>A-09</t>
        </is>
      </c>
      <c r="B10" s="11" t="inlineStr">
        <is>
          <t>赤字変更箇所</t>
        </is>
      </c>
      <c r="C10" s="11" t="inlineStr">
        <is>
          <t>対象業務では前回判定を自動的に適用する</t>
        </is>
      </c>
      <c r="D10" s="11" t="inlineStr">
        <is>
          <t>ヒアリングシート2部 3-5-5</t>
        </is>
      </c>
      <c r="E10" s="11" t="inlineStr">
        <is>
          <t>前回判定適用設定はいずれも「有」。
BFZ：バッチフィルタリング（全銀）
BFS：バッチフィルタリング（差分）
DSF：DMその他（一括フィルタリング）
SHF：新規顧客開設・届出情報変更</t>
        </is>
      </c>
      <c r="F10" s="12" t="n"/>
      <c r="G10" s="12" t="n"/>
      <c r="H10" s="12" t="n"/>
      <c r="I10" s="18" t="n"/>
      <c r="J10" s="11" t="inlineStr">
        <is>
          <t>【未発見】
SCL_変更機能検証_本人確認（93ケース読了）には該当する試験項目が見当たらない。
★ SCL は複数あるため、他の SCL を確認するまで「漏れ」と判断しない。</t>
        </is>
      </c>
    </row>
    <row r="11">
      <c r="A11" s="11" t="inlineStr">
        <is>
          <t>A-10</t>
        </is>
      </c>
      <c r="B11" s="11" t="n"/>
      <c r="C11" s="11" t="inlineStr">
        <is>
          <t>Oculus-monitorに連携するモニタリング画面表示リスト名を設定する</t>
        </is>
      </c>
      <c r="D11" s="11" t="inlineStr">
        <is>
          <t>ヒアリングシート2部 3-7</t>
        </is>
      </c>
      <c r="E11" s="13" t="inlineStr">
        <is>
          <t>BファイルC情報はモニタリング画面表示リストへの追加不要</t>
        </is>
      </c>
      <c r="F11" s="12" t="n"/>
      <c r="G11" s="12" t="n"/>
      <c r="H11" s="12" t="n"/>
      <c r="I11" s="18" t="n"/>
      <c r="J11" s="13" t="inlineStr">
        <is>
          <t>【未発見】
SCL_変更機能検証_本人確認（93ケース読了）には該当する試験項目が見当たらない。
★ SCL は複数あるため、他の SCL を確認するまで「漏れ」と判断しない。</t>
        </is>
      </c>
    </row>
    <row r="12">
      <c r="A12" s="11" t="inlineStr">
        <is>
          <t>A-11</t>
        </is>
      </c>
      <c r="B12" s="13" t="inlineStr">
        <is>
          <t>赤枠</t>
        </is>
      </c>
      <c r="C12" s="11" t="inlineStr">
        <is>
          <t>L&amp;Fで使用するCIF情報ファイルのファイル記号O～Tを、各業務のファイル属性として設定する</t>
        </is>
      </c>
      <c r="D12" s="11" t="inlineStr">
        <is>
          <t>ヒアリングシート2部 4-1-4</t>
        </is>
      </c>
      <c r="E12" s="11" t="inlineStr">
        <is>
          <t>O：LF-LOANS+
P：LF-OLION
Q：LF-NEON
R：LF-試着先以外
S：LF-損害金
T：LF-DM送付先一覧</t>
        </is>
      </c>
      <c r="F12" s="12" t="n"/>
      <c r="G12" s="12" t="n"/>
      <c r="H12" s="12" t="n"/>
      <c r="I12" s="18" t="n"/>
      <c r="J12" s="11" t="inlineStr">
        <is>
          <t>【未発見】
SCL_変更機能検証_本人確認（93ケース読了）には該当する試験項目が見当たらない。
★ SCL は複数あるため、他の SCL を確認するまで「漏れ」と判断しない。</t>
        </is>
      </c>
    </row>
    <row r="13">
      <c r="A13" s="11" t="inlineStr">
        <is>
          <t>A-12</t>
        </is>
      </c>
      <c r="B13" s="13" t="inlineStr">
        <is>
          <t>赤枠</t>
        </is>
      </c>
      <c r="C13" s="11" t="inlineStr">
        <is>
          <t>本人確認等で使用するID情報の表示文字列および表示順は既存設定を使用し、L&amp;Fでの追加設定は行わない</t>
        </is>
      </c>
      <c r="D13" s="11" t="inlineStr">
        <is>
          <t>ヒアリングシート2部 4-1-4</t>
        </is>
      </c>
      <c r="E13" s="13" t="inlineStr">
        <is>
          <t>L&amp;Fでの追加設定はなし</t>
        </is>
      </c>
      <c r="F13" s="12" t="n"/>
      <c r="G13" s="12" t="n"/>
      <c r="H13" s="12" t="n"/>
      <c r="I13" s="18" t="n"/>
      <c r="J13" s="13" t="inlineStr">
        <is>
          <t>【未発見】
SCL_変更機能検証_本人確認（93ケース読了）には該当する試験項目が見当たらない。
★ SCL は複数あるため、他の SCL を確認するまで「漏れ」と判断しない。
★この SCL の検証ポイントは「本人確認」なので、
  A-12『本人確認等で使用するID情報』は本来ここにあるはず。
  残り42ケースで探す。見つからなければ他の SCL を確認する。
※ケース40 は『補助コメント』であって『ID情報』ではない。混同しないこと。</t>
        </is>
      </c>
    </row>
    <row r="14">
      <c r="A14" s="11" t="inlineStr">
        <is>
          <t>A-13</t>
        </is>
      </c>
      <c r="B14" s="13" t="inlineStr">
        <is>
          <t>赤枠</t>
        </is>
      </c>
      <c r="C14" s="11" t="inlineStr">
        <is>
          <t>BFILE_CINFO（BファイルC情報）のリスト基本情報を設定する</t>
        </is>
      </c>
      <c r="D14" s="11" t="inlineStr">
        <is>
          <t>ヒアリングシート2部_リスト設定</t>
        </is>
      </c>
      <c r="E14" s="11" t="n"/>
      <c r="F14" s="12" t="inlineStr">
        <is>
          <t>SCL_変更機能検証_本人確認
ケース03・26・27〜35</t>
        </is>
      </c>
      <c r="G14" s="12" t="inlineStr">
        <is>
          <t>03 リストアップロード－L&amp;F … BファイルC情報.csv を登録
26 フィルタリング実行（有） … 該当リスト一覧に表示されること
27〜35 フィルタリング結果確認（9ケース）
  各レコードで赤字＋太字で強調される照合項目を確認
    LF00000001 名称／フリガナ／生年月日
    LF00000002 名称／生年月日
    LF00000003 名称／生年月日
    LF00000004 生年月日
    LF00000007 フリガナ／生年月日
    LF00000019 名称／フリガナ
    LF00000020 名称
    LF00000021 名称
    LF00000025 フリガナ</t>
        </is>
      </c>
      <c r="H14" s="12" t="inlineStr">
        <is>
          <t>OK（2026/9/28 実施・再鑑とも OK／11ケース）</t>
        </is>
      </c>
      <c r="I14" s="16" t="inlineStr">
        <is>
          <t>○</t>
        </is>
      </c>
      <c r="J14" s="11" t="inlineStr">
        <is>
          <t>◎ 登録・表示・照合の3段階。照合項目（名称・フリガナ・生年月日）の
組み合わせを9パターンで網羅している。
※設定値そのもの（マスタSQL・実機DB）は B 側で確認する。</t>
        </is>
      </c>
    </row>
    <row r="15">
      <c r="A15" s="11" t="inlineStr">
        <is>
          <t>A-14</t>
        </is>
      </c>
      <c r="B15" s="13" t="inlineStr">
        <is>
          <t>赤枠</t>
        </is>
      </c>
      <c r="C15" s="11" t="inlineStr">
        <is>
          <t>L&amp;F管理者（リスク管理部）の権限を設定する</t>
        </is>
      </c>
      <c r="D15" s="11" t="inlineStr">
        <is>
          <t>ヒアリングシート2部_プロファイル設定</t>
        </is>
      </c>
      <c r="E15" s="11" t="n"/>
      <c r="F15" s="12" t="inlineStr">
        <is>
          <t>SCL_変更機能検証_本人確認（93ケース読了）
メニュー確認 23・55・78
権限差分 81・85・86・91・92
ログイン 22・54・77</t>
        </is>
      </c>
      <c r="G15" s="12" t="inlineStr">
        <is>
          <t>23 メニュー確認／LF_ADMIN_RISK  ★主たる確認
  左メニュー「本人確認」配下に下記が表示されていること
    ・本人確認
    ・本人確認仕掛照会
    ・判定履歴照会
47 判定履歴照会 … 実際に遷移でき、一覧画面が表示されること
22 ログイン／03 リスト登録 … 同ユーザで操作できること</t>
        </is>
      </c>
      <c r="H15" s="12" t="inlineStr">
        <is>
          <t>OK（2026/9/28 実施・再鑑とも OK）</t>
        </is>
      </c>
      <c r="I15" s="16" t="inlineStr">
        <is>
          <t>○</t>
        </is>
      </c>
      <c r="J15" s="11" t="inlineStr">
        <is>
          <t>◎ 権限＝利用できるメニューを列挙して確認し、
さらに各メニューに実際に遷移できることまで確認している。
SCL上も「L&amp;F社様新規プロファイル：L&amp;F管理者（リスク管理部）」として
章立てされている。
※残課題：ケース02 の指摘で、警察庁（個人）のアップロード実施者が
  「リスク管理部門（役席）」ではなく「L&amp;F管理者（リスク管理）」だった件。
  権限の割り当て自体は B 側で要確認。
【追記】ケース55 で LF_ADMIN_RISK_EXC（リスク管理部以外）も確認。
★ただし想定結果は「**『本人確認』に**下記が表示されていること」であり、
  本人確認グループの3メニューしか見ていない。
  LF_ADMIN_RISK はケース03 でリスト管理も使っているが、
  リスト管理など他グループのメニューがプロファイルごとに
  どう違うかは試験項目に落ちていない。
  → 権限の差分確認が漏れている可能性。阿部さんに確認する。
【追記・93ケース読了】所見を一部訂正。
○ 管理者 ⇔ 担当者 の差分は検証されている（ケース81・85・91）
   ・リスト情報が表示されないこと（ヒット箇所が不明なこと）
   ・判定ボタンが表示されないこと
   ・ボタン名が「判定」→「判定表示」になること
   → メニューではなく画面要素で権限差分を見ている。
★ ただし『リスク管理部』と『リスク管理部以外』の差分は未検証。
  ケース22〜51 と 54〜76 は想定結果がまったく同じ。
  リストアップロードは LF_ADMIN_RISK（ケース03）だけが実施しており、
  LF_ADMIN_RISK_EXC で「できないこと」を確認する項目が無い。
  → 差があるなら漏れ、差が無いなら分ける理由が不明。要確認。
★ ヒアリングは A-14『L&amp;F管理者（リスク管理部）の権限』の1件のみだが、
  SCL は L&amp;Fプロファイルを3種類検証している。
  ヒアリングシートに他プロファイルの項目が無いか要確認
  （Sheet1 の A-15〜A-20 が空欄のため）。</t>
        </is>
      </c>
    </row>
    <row r="16">
      <c r="A16" s="11" t="inlineStr">
        <is>
          <t>A-15</t>
        </is>
      </c>
      <c r="B16" s="11" t="n"/>
      <c r="C16" s="11" t="n"/>
      <c r="D16" s="11" t="n"/>
      <c r="E16" s="11" t="n"/>
      <c r="F16" s="12" t="n"/>
      <c r="G16" s="12" t="n"/>
      <c r="H16" s="12" t="n"/>
      <c r="I16" s="11" t="n"/>
      <c r="J16" s="11" t="n"/>
    </row>
    <row r="17">
      <c r="A17" s="11" t="inlineStr">
        <is>
          <t>A-16</t>
        </is>
      </c>
      <c r="B17" s="11" t="n"/>
      <c r="C17" s="11" t="n"/>
      <c r="D17" s="11" t="n"/>
      <c r="E17" s="11" t="n"/>
      <c r="F17" s="12" t="n"/>
      <c r="G17" s="12" t="n"/>
      <c r="H17" s="12" t="n"/>
      <c r="I17" s="11" t="n"/>
      <c r="J17" s="11" t="n"/>
    </row>
    <row r="18">
      <c r="A18" s="11" t="inlineStr">
        <is>
          <t>A-17</t>
        </is>
      </c>
      <c r="B18" s="11" t="n"/>
      <c r="C18" s="11" t="n"/>
      <c r="D18" s="11" t="n"/>
      <c r="E18" s="11" t="n"/>
      <c r="F18" s="12" t="n"/>
      <c r="G18" s="12" t="n"/>
      <c r="H18" s="12" t="n"/>
      <c r="I18" s="11" t="n"/>
      <c r="J18" s="11" t="n"/>
    </row>
    <row r="19">
      <c r="A19" s="11" t="inlineStr">
        <is>
          <t>A-18</t>
        </is>
      </c>
      <c r="B19" s="11" t="n"/>
      <c r="C19" s="11" t="n"/>
      <c r="D19" s="11" t="n"/>
      <c r="E19" s="11" t="n"/>
      <c r="F19" s="12" t="n"/>
      <c r="G19" s="12" t="n"/>
      <c r="H19" s="12" t="n"/>
      <c r="I19" s="11" t="n"/>
      <c r="J19" s="11" t="n"/>
    </row>
    <row r="20">
      <c r="A20" s="11" t="inlineStr">
        <is>
          <t>A-19</t>
        </is>
      </c>
      <c r="B20" s="11" t="n"/>
      <c r="C20" s="11" t="n"/>
      <c r="D20" s="11" t="n"/>
      <c r="E20" s="11" t="n"/>
      <c r="F20" s="12" t="n"/>
      <c r="G20" s="12" t="n"/>
      <c r="H20" s="12" t="n"/>
      <c r="I20" s="11" t="n"/>
      <c r="J20" s="11" t="n"/>
    </row>
    <row r="21">
      <c r="A21" s="11" t="inlineStr">
        <is>
          <t>A-20</t>
        </is>
      </c>
      <c r="B21" s="11" t="n"/>
      <c r="C21" s="11" t="n"/>
      <c r="D21" s="11" t="n"/>
      <c r="E21" s="11" t="n"/>
      <c r="F21" s="12" t="n"/>
      <c r="G21" s="12" t="n"/>
      <c r="H21" s="12" t="n"/>
      <c r="I21" s="11" t="n"/>
      <c r="J21" s="11" t="n"/>
    </row>
    <row r="22">
      <c r="A22" s="11" t="n"/>
      <c r="B22" s="11" t="n"/>
      <c r="C22" s="11" t="n"/>
      <c r="D22" s="11" t="n"/>
      <c r="E22" s="11" t="n"/>
      <c r="F22" s="12" t="n"/>
      <c r="G22" s="12" t="n"/>
      <c r="H22" s="12" t="n"/>
      <c r="I22" s="11" t="n"/>
      <c r="J22" s="11" t="n"/>
    </row>
    <row r="23">
      <c r="A23" s="11" t="n"/>
      <c r="B23" s="11" t="n"/>
      <c r="C23" s="11" t="n"/>
      <c r="D23" s="11" t="n"/>
      <c r="E23" s="11" t="n"/>
      <c r="F23" s="12" t="n"/>
      <c r="G23" s="12" t="n"/>
      <c r="H23" s="12" t="n"/>
      <c r="I23" s="11" t="n"/>
      <c r="J23" s="11" t="n"/>
    </row>
    <row r="24">
      <c r="A24" s="11" t="n"/>
      <c r="B24" s="11" t="n"/>
      <c r="C24" s="11" t="n"/>
      <c r="D24" s="11" t="n"/>
      <c r="E24" s="11" t="n"/>
      <c r="F24" s="12" t="n"/>
      <c r="G24" s="12" t="n"/>
      <c r="H24" s="12" t="n"/>
      <c r="I24" s="11" t="n"/>
      <c r="J24" s="11" t="n"/>
    </row>
    <row r="25">
      <c r="A25" s="11" t="n"/>
      <c r="B25" s="11" t="n"/>
      <c r="C25" s="11" t="n"/>
      <c r="D25" s="11" t="n"/>
      <c r="E25" s="11" t="n"/>
      <c r="F25" s="12" t="n"/>
      <c r="G25" s="12" t="n"/>
      <c r="H25" s="12" t="n"/>
      <c r="I25" s="11" t="n"/>
      <c r="J25" s="11" t="n"/>
    </row>
    <row r="26">
      <c r="A26" s="11" t="n"/>
      <c r="B26" s="11" t="n"/>
      <c r="C26" s="11" t="n"/>
      <c r="D26" s="11" t="n"/>
      <c r="E26" s="11" t="n"/>
      <c r="F26" s="12" t="n"/>
      <c r="G26" s="12" t="n"/>
      <c r="H26" s="12" t="n"/>
      <c r="I26" s="11" t="n"/>
      <c r="J26" s="11" t="n"/>
    </row>
    <row r="27">
      <c r="A27" s="11" t="n"/>
      <c r="B27" s="11" t="n"/>
      <c r="C27" s="11" t="n"/>
      <c r="D27" s="11" t="n"/>
      <c r="E27" s="11" t="n"/>
      <c r="F27" s="12" t="n"/>
      <c r="G27" s="12" t="n"/>
      <c r="H27" s="12" t="n"/>
      <c r="I27" s="11" t="n"/>
      <c r="J27" s="11" t="n"/>
    </row>
    <row r="28">
      <c r="A28" s="11" t="n"/>
      <c r="B28" s="11" t="n"/>
      <c r="C28" s="11" t="n"/>
      <c r="D28" s="11" t="n"/>
      <c r="E28" s="11" t="n"/>
      <c r="F28" s="12" t="n"/>
      <c r="G28" s="12" t="n"/>
      <c r="H28" s="12" t="n"/>
      <c r="I28" s="11" t="n"/>
      <c r="J28" s="11" t="n"/>
    </row>
    <row r="29">
      <c r="A29" s="11" t="n"/>
      <c r="B29" s="11" t="n"/>
      <c r="C29" s="11" t="n"/>
      <c r="D29" s="11" t="n"/>
      <c r="E29" s="11" t="n"/>
      <c r="F29" s="12" t="n"/>
      <c r="G29" s="12" t="n"/>
      <c r="H29" s="12" t="n"/>
      <c r="I29" s="11" t="n"/>
      <c r="J29" s="11" t="n"/>
    </row>
    <row r="30">
      <c r="A30" s="11" t="n"/>
      <c r="B30" s="11" t="n"/>
      <c r="C30" s="11" t="n"/>
      <c r="D30" s="11" t="n"/>
      <c r="E30" s="11" t="n"/>
      <c r="F30" s="12" t="n"/>
      <c r="G30" s="12" t="n"/>
      <c r="H30" s="12" t="n"/>
      <c r="I30" s="11" t="n"/>
      <c r="J30" s="11" t="n"/>
    </row>
    <row r="31">
      <c r="A31" s="11" t="n"/>
      <c r="B31" s="11" t="n"/>
      <c r="C31" s="11" t="n"/>
      <c r="D31" s="11" t="n"/>
      <c r="E31" s="11" t="n"/>
      <c r="F31" s="12" t="n"/>
      <c r="G31" s="12" t="n"/>
      <c r="H31" s="12" t="n"/>
      <c r="I31" s="11" t="n"/>
      <c r="J31" s="11" t="n"/>
    </row>
    <row r="32">
      <c r="A32" s="11" t="n"/>
      <c r="B32" s="11" t="n"/>
      <c r="C32" s="11" t="n"/>
      <c r="D32" s="11" t="n"/>
      <c r="E32" s="11" t="n"/>
      <c r="F32" s="12" t="n"/>
      <c r="G32" s="12" t="n"/>
      <c r="H32" s="12" t="n"/>
      <c r="I32" s="11" t="n"/>
      <c r="J32" s="11" t="n"/>
    </row>
    <row r="33">
      <c r="A33" s="11" t="n"/>
      <c r="B33" s="11" t="n"/>
      <c r="C33" s="11" t="n"/>
      <c r="D33" s="11" t="n"/>
      <c r="E33" s="11" t="n"/>
      <c r="F33" s="12" t="n"/>
      <c r="G33" s="12" t="n"/>
      <c r="H33" s="12" t="n"/>
      <c r="I33" s="11" t="n"/>
      <c r="J33" s="11" t="n"/>
    </row>
    <row r="34">
      <c r="A34" s="11" t="n"/>
      <c r="B34" s="11" t="n"/>
      <c r="C34" s="11" t="n"/>
      <c r="D34" s="11" t="n"/>
      <c r="E34" s="11" t="n"/>
      <c r="F34" s="12" t="n"/>
      <c r="G34" s="12" t="n"/>
      <c r="H34" s="12" t="n"/>
      <c r="I34" s="11" t="n"/>
      <c r="J34" s="11" t="n"/>
    </row>
    <row r="35">
      <c r="A35" s="11" t="n"/>
      <c r="B35" s="11" t="n"/>
      <c r="C35" s="11" t="n"/>
      <c r="D35" s="11" t="n"/>
      <c r="E35" s="11" t="n"/>
      <c r="F35" s="12" t="n"/>
      <c r="G35" s="12" t="n"/>
      <c r="H35" s="12" t="n"/>
      <c r="I35" s="11" t="n"/>
      <c r="J35" s="11" t="n"/>
    </row>
    <row r="36">
      <c r="A36" s="11" t="n"/>
      <c r="B36" s="11" t="n"/>
      <c r="C36" s="11" t="n"/>
      <c r="D36" s="11" t="n"/>
      <c r="E36" s="11" t="n"/>
      <c r="F36" s="12" t="n"/>
      <c r="G36" s="12" t="n"/>
      <c r="H36" s="12" t="n"/>
      <c r="I36" s="11" t="n"/>
      <c r="J36" s="11" t="n"/>
    </row>
    <row r="37">
      <c r="A37" s="11" t="n"/>
      <c r="B37" s="11" t="n"/>
      <c r="C37" s="11" t="n"/>
      <c r="D37" s="11" t="n"/>
      <c r="E37" s="11" t="n"/>
      <c r="F37" s="12" t="n"/>
      <c r="G37" s="12" t="n"/>
      <c r="H37" s="12" t="n"/>
      <c r="I37" s="11" t="n"/>
      <c r="J37" s="11" t="n"/>
    </row>
    <row r="38">
      <c r="A38" s="11" t="n"/>
      <c r="B38" s="11" t="n"/>
      <c r="C38" s="11" t="n"/>
      <c r="D38" s="11" t="n"/>
      <c r="E38" s="11" t="n"/>
      <c r="F38" s="12" t="n"/>
      <c r="G38" s="12" t="n"/>
      <c r="H38" s="12" t="n"/>
      <c r="I38" s="11" t="n"/>
      <c r="J38" s="11" t="n"/>
    </row>
    <row r="39">
      <c r="A39" s="11" t="n"/>
      <c r="B39" s="11" t="n"/>
      <c r="C39" s="11" t="n"/>
      <c r="D39" s="11" t="n"/>
      <c r="E39" s="11" t="n"/>
      <c r="F39" s="12" t="n"/>
      <c r="G39" s="12" t="n"/>
      <c r="H39" s="12" t="n"/>
      <c r="I39" s="11" t="n"/>
      <c r="J39" s="11" t="n"/>
    </row>
    <row r="40">
      <c r="A40" s="11" t="n"/>
      <c r="B40" s="11" t="n"/>
      <c r="C40" s="11" t="n"/>
      <c r="D40" s="11" t="n"/>
      <c r="E40" s="11" t="n"/>
      <c r="F40" s="12" t="n"/>
      <c r="G40" s="12" t="n"/>
      <c r="H40" s="12" t="n"/>
      <c r="I40" s="11" t="n"/>
      <c r="J40" s="11" t="n"/>
    </row>
    <row r="41">
      <c r="A41" s="11" t="n"/>
      <c r="B41" s="11" t="n"/>
      <c r="C41" s="11" t="n"/>
      <c r="D41" s="11" t="n"/>
      <c r="E41" s="11" t="n"/>
      <c r="F41" s="12" t="n"/>
      <c r="G41" s="12" t="n"/>
      <c r="H41" s="12" t="n"/>
      <c r="I41" s="11" t="n"/>
      <c r="J41" s="11" t="n"/>
    </row>
    <row r="42">
      <c r="A42" s="11" t="n"/>
      <c r="B42" s="11" t="n"/>
      <c r="C42" s="11" t="n"/>
      <c r="D42" s="11" t="n"/>
      <c r="E42" s="11" t="n"/>
      <c r="F42" s="12" t="n"/>
      <c r="G42" s="12" t="n"/>
      <c r="H42" s="12" t="n"/>
      <c r="I42" s="11" t="n"/>
      <c r="J42" s="11" t="n"/>
    </row>
    <row r="43">
      <c r="A43" s="11" t="n"/>
      <c r="B43" s="11" t="n"/>
      <c r="C43" s="11" t="n"/>
      <c r="D43" s="11" t="n"/>
      <c r="E43" s="11" t="n"/>
      <c r="F43" s="12" t="n"/>
      <c r="G43" s="12" t="n"/>
      <c r="H43" s="12" t="n"/>
      <c r="I43" s="11" t="n"/>
      <c r="J43" s="11" t="n"/>
    </row>
    <row r="44">
      <c r="A44" s="11" t="n"/>
      <c r="B44" s="11" t="n"/>
      <c r="C44" s="11" t="n"/>
      <c r="D44" s="11" t="n"/>
      <c r="E44" s="11" t="n"/>
      <c r="F44" s="12" t="n"/>
      <c r="G44" s="12" t="n"/>
      <c r="H44" s="12" t="n"/>
      <c r="I44" s="11" t="n"/>
      <c r="J44" s="11" t="n"/>
    </row>
    <row r="45">
      <c r="A45" s="11" t="n"/>
      <c r="B45" s="11" t="n"/>
      <c r="C45" s="11" t="n"/>
      <c r="D45" s="11" t="n"/>
      <c r="E45" s="11" t="n"/>
      <c r="F45" s="12" t="n"/>
      <c r="G45" s="12" t="n"/>
      <c r="H45" s="12" t="n"/>
      <c r="I45" s="11" t="n"/>
      <c r="J45" s="11" t="n"/>
    </row>
  </sheetData>
  <autoFilter ref="A1:J45"/>
  <dataValidations count="1">
    <dataValidation sqref="I2:I45"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workbookViewId="0">
      <pane xSplit="3" ySplit="1" topLeftCell="D2" activePane="bottomRight" state="frozen"/>
      <selection pane="topRight" activeCell="A1" sqref="A1"/>
      <selection pane="bottomLeft" activeCell="A1" sqref="A1"/>
      <selection pane="bottomRight" activeCell="C4" sqref="C4"/>
    </sheetView>
  </sheetViews>
  <sheetFormatPr baseColWidth="8" defaultRowHeight="13.5"/>
  <cols>
    <col width="8" customWidth="1" min="1" max="9"/>
    <col width="12" customWidth="1" min="2" max="2"/>
    <col width="46" customWidth="1" min="3" max="3"/>
    <col width="24" customWidth="1" min="4" max="4"/>
    <col width="24" customWidth="1" min="5" max="5"/>
    <col width="24" customWidth="1" min="6" max="6"/>
    <col width="24" customWidth="1" min="7" max="7"/>
    <col width="12" customWidth="1" min="8" max="8"/>
    <col width="34" customWidth="1" min="9" max="9"/>
  </cols>
  <sheetData>
    <row r="1" ht="15" customHeight="1">
      <c r="A1" s="8" t="inlineStr">
        <is>
          <t>No</t>
        </is>
      </c>
      <c r="B1" s="8" t="inlineStr">
        <is>
          <t>区分(赤枠/青枠)</t>
        </is>
      </c>
      <c r="C1" s="8" t="inlineStr">
        <is>
          <t>ヒアリング内容</t>
        </is>
      </c>
      <c r="D1" s="8" t="inlineStr">
        <is>
          <t>設計書該当箇所</t>
        </is>
      </c>
      <c r="E1" s="8" t="inlineStr">
        <is>
          <t>マスタSQL</t>
        </is>
      </c>
      <c r="F1" s="8" t="inlineStr">
        <is>
          <t>設定ファイル</t>
        </is>
      </c>
      <c r="G1" s="8" t="inlineStr">
        <is>
          <t>実機DB確認</t>
        </is>
      </c>
      <c r="H1" s="8" t="inlineStr">
        <is>
          <t>判定(○/△/×)</t>
        </is>
      </c>
      <c r="I1" s="8" t="inlineStr">
        <is>
          <t>備考</t>
        </is>
      </c>
    </row>
    <row r="2">
      <c r="A2" s="11" t="inlineStr">
        <is>
          <t>B-01</t>
        </is>
      </c>
      <c r="B2" s="11" t="inlineStr">
        <is>
          <t>赤枠</t>
        </is>
      </c>
      <c r="C2" s="11" t="inlineStr">
        <is>
          <t>横浜サーバへの2ファイルは別々に送信し、HULFT-IDをシステム毎に設定する</t>
        </is>
      </c>
      <c r="D2" s="12" t="n"/>
      <c r="E2" s="12" t="n"/>
      <c r="F2" s="12" t="n"/>
      <c r="G2" s="12" t="n"/>
      <c r="H2" s="12" t="n"/>
      <c r="I2" s="11" t="inlineStr">
        <is>
          <t>A-01 と対応（ヒアリングシート1部 4-1）</t>
        </is>
      </c>
    </row>
    <row r="3">
      <c r="A3" s="11" t="inlineStr">
        <is>
          <t>B-02</t>
        </is>
      </c>
      <c r="B3" s="11" t="inlineStr">
        <is>
          <t>赤枠</t>
        </is>
      </c>
      <c r="C3" s="11" t="inlineStr">
        <is>
          <t>U2KJX001（顧客開設・変更情報）の配信周期を「四半期」、連携時刻を「12:30:00」とする</t>
        </is>
      </c>
      <c r="D3" s="12" t="n"/>
      <c r="E3" s="12" t="n"/>
      <c r="F3" s="12" t="n"/>
      <c r="G3" s="12" t="n"/>
      <c r="H3" s="12" t="n"/>
      <c r="I3" s="11" t="inlineStr">
        <is>
          <t>A-02 と対応（ヒアリングシート1部 4-1）</t>
        </is>
      </c>
    </row>
    <row r="4">
      <c r="A4" s="11" t="inlineStr">
        <is>
          <t>B-03</t>
        </is>
      </c>
      <c r="B4" s="11" t="inlineStr">
        <is>
          <t>赤枠</t>
        </is>
      </c>
      <c r="C4" s="11" t="inlineStr">
        <is>
          <t>U2KJX002（顧客開設・変更情報）の配信周期を「四半期」、連携時刻を「12:30:00」とする</t>
        </is>
      </c>
      <c r="D4" s="12" t="n"/>
      <c r="E4" s="12" t="n"/>
      <c r="F4" s="12" t="n"/>
      <c r="G4" s="12" t="n"/>
      <c r="H4" s="12" t="n"/>
      <c r="I4" s="11" t="inlineStr">
        <is>
          <t>A-03 と対応（ヒアリングシート1部 4-1）</t>
        </is>
      </c>
    </row>
    <row r="5">
      <c r="A5" s="11" t="inlineStr">
        <is>
          <t>B-04</t>
        </is>
      </c>
      <c r="B5" s="11" t="inlineStr">
        <is>
          <t>赤枠</t>
        </is>
      </c>
      <c r="C5" s="11" t="inlineStr">
        <is>
          <t>横浜銀行事務部では、BFILE_CINFOを除く対象リストを利用する</t>
        </is>
      </c>
      <c r="D5" s="12" t="n"/>
      <c r="E5" s="12" t="n"/>
      <c r="F5" s="12" t="n"/>
      <c r="G5" s="12" t="n"/>
      <c r="H5" s="12" t="n"/>
      <c r="I5" s="11" t="inlineStr">
        <is>
          <t>A-04 と対応（ヒアリングシート2部 3-2-3）</t>
        </is>
      </c>
    </row>
    <row r="6">
      <c r="A6" s="11" t="inlineStr">
        <is>
          <t>B-05</t>
        </is>
      </c>
      <c r="B6" s="11" t="inlineStr">
        <is>
          <t>赤枠</t>
        </is>
      </c>
      <c r="C6" s="11" t="inlineStr">
        <is>
          <t>L&amp;F横浜店では、MOF、JPI、DJ_SHIPSを除く対象リストを利用する</t>
        </is>
      </c>
      <c r="D6" s="12" t="n"/>
      <c r="E6" s="12" t="n"/>
      <c r="F6" s="12" t="n"/>
      <c r="G6" s="12" t="n"/>
      <c r="H6" s="12" t="n"/>
      <c r="I6" s="11" t="inlineStr">
        <is>
          <t>A-05 と対応（ヒアリングシート2部 3-2-3）</t>
        </is>
      </c>
    </row>
    <row r="7">
      <c r="A7" s="11" t="inlineStr">
        <is>
          <t>B-06</t>
        </is>
      </c>
      <c r="B7" s="11" t="inlineStr">
        <is>
          <t>赤枠</t>
        </is>
      </c>
      <c r="C7" s="14" t="inlineStr">
        <is>
          <t>部店ごとのフィルタリング対象リストの使い分けは行わない</t>
        </is>
      </c>
      <c r="D7" s="12" t="n"/>
      <c r="E7" s="12" t="n"/>
      <c r="F7" s="12" t="n"/>
      <c r="G7" s="12" t="n"/>
      <c r="H7" s="12" t="n"/>
      <c r="I7" s="11" t="inlineStr">
        <is>
          <t>A-06 と対応（ヒアリングシート2部 3-2-3）
★確認の向きが逆：部店別の設定が【入っていないこと】を確認する</t>
        </is>
      </c>
    </row>
    <row r="8">
      <c r="A8" s="11" t="inlineStr">
        <is>
          <t>B-07</t>
        </is>
      </c>
      <c r="B8" s="11" t="inlineStr">
        <is>
          <t>赤枠</t>
        </is>
      </c>
      <c r="C8" s="11" t="inlineStr">
        <is>
          <t>判定情報のプルダウンに表示する補助コメントおよび表示順を設定する</t>
        </is>
      </c>
      <c r="D8" s="12" t="n"/>
      <c r="E8" s="12" t="n"/>
      <c r="F8" s="12" t="n"/>
      <c r="G8" s="12" t="n"/>
      <c r="H8" s="12" t="n"/>
      <c r="I8" s="11" t="inlineStr">
        <is>
          <t>A-07 と対応（ヒアリングシート2部 3-2-4）</t>
        </is>
      </c>
    </row>
    <row r="9">
      <c r="A9" s="11" t="inlineStr">
        <is>
          <t>B-08</t>
        </is>
      </c>
      <c r="B9" s="11" t="inlineStr">
        <is>
          <t>赤枠</t>
        </is>
      </c>
      <c r="C9" s="11" t="inlineStr">
        <is>
          <t>ファイル記号O～Tでは、MOF、JP、DJ_SHIPSを除く対象リストを利用する</t>
        </is>
      </c>
      <c r="D9" s="12" t="n"/>
      <c r="E9" s="12" t="n"/>
      <c r="F9" s="12" t="n"/>
      <c r="G9" s="12" t="n"/>
      <c r="H9" s="12" t="n"/>
      <c r="I9" s="11" t="inlineStr">
        <is>
          <t>A-08 と対応（ヒアリングシート2部 3-3-3）</t>
        </is>
      </c>
    </row>
    <row r="10">
      <c r="A10" s="11" t="inlineStr">
        <is>
          <t>B-09</t>
        </is>
      </c>
      <c r="B10" s="11" t="inlineStr">
        <is>
          <t>赤字変更箇所</t>
        </is>
      </c>
      <c r="C10" s="11" t="inlineStr">
        <is>
          <t>対象業務では前回判定を自動的に適用する</t>
        </is>
      </c>
      <c r="D10" s="12" t="n"/>
      <c r="E10" s="12" t="n"/>
      <c r="F10" s="12" t="n"/>
      <c r="G10" s="12" t="n"/>
      <c r="H10" s="12" t="n"/>
      <c r="I10" s="11" t="inlineStr">
        <is>
          <t>A-09 と対応（ヒアリングシート2部 3-5-5）</t>
        </is>
      </c>
    </row>
    <row r="11">
      <c r="A11" s="11" t="inlineStr">
        <is>
          <t>B-10</t>
        </is>
      </c>
      <c r="B11" s="11" t="n"/>
      <c r="C11" s="11" t="inlineStr">
        <is>
          <t>Oculus-monitorに連携するモニタリング画面表示リスト名を設定する</t>
        </is>
      </c>
      <c r="D11" s="12" t="n"/>
      <c r="E11" s="12" t="n"/>
      <c r="F11" s="12" t="n"/>
      <c r="G11" s="12" t="n"/>
      <c r="H11" s="12" t="n"/>
      <c r="I11" s="11" t="inlineStr">
        <is>
          <t>A-10 と対応（ヒアリングシート2部 3-7）</t>
        </is>
      </c>
    </row>
    <row r="12">
      <c r="A12" s="11" t="inlineStr">
        <is>
          <t>B-11</t>
        </is>
      </c>
      <c r="B12" s="11" t="inlineStr">
        <is>
          <t>赤枠</t>
        </is>
      </c>
      <c r="C12" s="11" t="inlineStr">
        <is>
          <t>L&amp;Fで使用するCIF情報ファイルのファイル記号O～Tを、各業務のファイル属性として設定する</t>
        </is>
      </c>
      <c r="D12" s="12" t="n"/>
      <c r="E12" s="12" t="n"/>
      <c r="F12" s="12" t="n"/>
      <c r="G12" s="12" t="n"/>
      <c r="H12" s="12" t="n"/>
      <c r="I12" s="11" t="inlineStr">
        <is>
          <t>A-11 と対応（ヒアリングシート2部 4-1-4）</t>
        </is>
      </c>
    </row>
    <row r="13">
      <c r="A13" s="11" t="inlineStr">
        <is>
          <t>B-12</t>
        </is>
      </c>
      <c r="B13" s="11" t="inlineStr">
        <is>
          <t>赤枠</t>
        </is>
      </c>
      <c r="C13" s="14" t="inlineStr">
        <is>
          <t>本人確認等で使用するID情報の表示文字列および表示順は既存設定を使用し、L&amp;Fでの追加設定は行わない</t>
        </is>
      </c>
      <c r="D13" s="12" t="n"/>
      <c r="E13" s="12" t="n"/>
      <c r="F13" s="12" t="n"/>
      <c r="G13" s="12" t="n"/>
      <c r="H13" s="12" t="n"/>
      <c r="I13" s="11" t="inlineStr">
        <is>
          <t>A-12 と対応（ヒアリングシート2部 4-1-4）
★確認の向きが逆：L&amp;F用の追加設定が【されていないこと】を確認する</t>
        </is>
      </c>
    </row>
    <row r="14">
      <c r="A14" s="11" t="inlineStr">
        <is>
          <t>B-13</t>
        </is>
      </c>
      <c r="B14" s="11" t="inlineStr">
        <is>
          <t>赤枠</t>
        </is>
      </c>
      <c r="C14" s="11" t="inlineStr">
        <is>
          <t>BFILE_CINFO（BファイルC情報）のリスト基本情報を設定する</t>
        </is>
      </c>
      <c r="D14" s="12" t="n"/>
      <c r="E14" s="12" t="n"/>
      <c r="F14" s="12" t="n"/>
      <c r="G14" s="12" t="n"/>
      <c r="H14" s="12" t="n"/>
      <c r="I14" s="11" t="inlineStr">
        <is>
          <t>A-13 と対応（ヒアリングシート2部_リスト設定）</t>
        </is>
      </c>
    </row>
    <row r="15">
      <c r="A15" s="11" t="inlineStr">
        <is>
          <t>B-14</t>
        </is>
      </c>
      <c r="B15" s="11" t="inlineStr">
        <is>
          <t>赤枠</t>
        </is>
      </c>
      <c r="C15" s="11" t="inlineStr">
        <is>
          <t>L&amp;F管理者（リスク管理部）の権限を設定する</t>
        </is>
      </c>
      <c r="D15" s="12" t="n"/>
      <c r="E15" s="12" t="n"/>
      <c r="F15" s="12" t="n"/>
      <c r="G15" s="12" t="n"/>
      <c r="H15" s="12" t="n"/>
      <c r="I15" s="11" t="inlineStr">
        <is>
          <t>A-14 と対応（ヒアリングシート2部_プロファイル設定）</t>
        </is>
      </c>
    </row>
    <row r="16">
      <c r="A16" s="11" t="inlineStr">
        <is>
          <t>B-15</t>
        </is>
      </c>
      <c r="B16" s="11" t="n"/>
      <c r="C16" s="11" t="n"/>
      <c r="D16" s="12" t="n"/>
      <c r="E16" s="12" t="n"/>
      <c r="F16" s="12" t="n"/>
      <c r="G16" s="12" t="n"/>
      <c r="H16" s="12" t="n"/>
      <c r="I16" s="11" t="n"/>
    </row>
    <row r="17">
      <c r="A17" s="11" t="inlineStr">
        <is>
          <t>B-16</t>
        </is>
      </c>
      <c r="B17" s="11" t="n"/>
      <c r="C17" s="11" t="n"/>
      <c r="D17" s="12" t="n"/>
      <c r="E17" s="12" t="n"/>
      <c r="F17" s="12" t="n"/>
      <c r="G17" s="12" t="n"/>
      <c r="H17" s="12" t="n"/>
      <c r="I17" s="11" t="n"/>
    </row>
    <row r="18">
      <c r="A18" s="11" t="inlineStr">
        <is>
          <t>B-17</t>
        </is>
      </c>
      <c r="B18" s="11" t="n"/>
      <c r="C18" s="11" t="n"/>
      <c r="D18" s="12" t="n"/>
      <c r="E18" s="12" t="n"/>
      <c r="F18" s="12" t="n"/>
      <c r="G18" s="12" t="n"/>
      <c r="H18" s="12" t="n"/>
      <c r="I18" s="11" t="n"/>
    </row>
    <row r="19">
      <c r="A19" s="11" t="inlineStr">
        <is>
          <t>B-18</t>
        </is>
      </c>
      <c r="B19" s="11" t="n"/>
      <c r="C19" s="11" t="n"/>
      <c r="D19" s="12" t="n"/>
      <c r="E19" s="12" t="n"/>
      <c r="F19" s="12" t="n"/>
      <c r="G19" s="12" t="n"/>
      <c r="H19" s="12" t="n"/>
      <c r="I19" s="11" t="n"/>
    </row>
    <row r="20">
      <c r="A20" s="11" t="inlineStr">
        <is>
          <t>B-19</t>
        </is>
      </c>
      <c r="B20" s="11" t="n"/>
      <c r="C20" s="11" t="n"/>
      <c r="D20" s="12" t="n"/>
      <c r="E20" s="12" t="n"/>
      <c r="F20" s="12" t="n"/>
      <c r="G20" s="12" t="n"/>
      <c r="H20" s="12" t="n"/>
      <c r="I20" s="11" t="n"/>
    </row>
    <row r="21">
      <c r="A21" s="11" t="inlineStr">
        <is>
          <t>B-20</t>
        </is>
      </c>
      <c r="B21" s="11" t="n"/>
      <c r="C21" s="11" t="n"/>
      <c r="D21" s="12" t="n"/>
      <c r="E21" s="12" t="n"/>
      <c r="F21" s="12" t="n"/>
      <c r="G21" s="12" t="n"/>
      <c r="H21" s="12" t="n"/>
      <c r="I21" s="11" t="n"/>
    </row>
  </sheetData>
  <autoFilter ref="A1:I21"/>
  <dataValidations count="1">
    <dataValidation sqref="H2:H21"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孫 キ超/Sun, Qichao (ndlc)</dc:creator>
  <dcterms:created xmlns:dcterms="http://purl.org/dc/terms/" xmlns:xsi="http://www.w3.org/2001/XMLSchema-instance" xsi:type="dcterms:W3CDTF">2026-10-09T05:54:11Z</dcterms:created>
  <dcterms:modified xmlns:dcterms="http://purl.org/dc/terms/" xmlns:xsi="http://www.w3.org/2001/XMLSchema-instance" xsi:type="dcterms:W3CDTF">2026-10-12T11:10:42Z</dcterms:modified>
  <cp:lastModifiedBy>孫 キ超/Sun, Qichao (ndlc)</cp:lastModifiedBy>
</cp:coreProperties>
</file>