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0_サマリー" sheetId="1" state="visible" r:id="rId1"/>
    <sheet xmlns:r="http://schemas.openxmlformats.org/officeDocument/2006/relationships" name="Sheet1_試験追跡" sheetId="2" state="visible" r:id="rId2"/>
    <sheet xmlns:r="http://schemas.openxmlformats.org/officeDocument/2006/relationships" name="Sheet2_資材追跡" sheetId="3" state="visible" r:id="rId3"/>
    <sheet xmlns:r="http://schemas.openxmlformats.org/officeDocument/2006/relationships" name="Sheet3_試験ケース" sheetId="4" state="visible" r:id="rId4"/>
  </sheets>
  <definedNames>
    <definedName name="_xlnm._FilterDatabase" localSheetId="1" hidden="1">'Sheet1_試験追跡'!$A$1:$J$45</definedName>
    <definedName name="_xlnm._FilterDatabase" localSheetId="2" hidden="1">'Sheet2_資材追跡'!$A$1:$I$38</definedName>
    <definedName name="_xlnm._FilterDatabase" localSheetId="3" hidden="1">'Sheet3_試験ケース'!$A$1:$J$253</definedName>
  </definedNames>
  <calcPr calcId="191028" fullCalcOnLoad="1"/>
</workbook>
</file>

<file path=xl/styles.xml><?xml version="1.0" encoding="utf-8"?>
<styleSheet xmlns="http://schemas.openxmlformats.org/spreadsheetml/2006/main">
  <numFmts count="0"/>
  <fonts count="10">
    <font>
      <name val="ＭＳ Ｐゴシック"/>
      <family val="2"/>
      <color theme="1"/>
      <sz val="11"/>
      <scheme val="minor"/>
    </font>
    <font>
      <name val="Calibri"/>
      <family val="2"/>
      <b val="1"/>
      <color rgb="FFFFFFFF"/>
      <sz val="11"/>
    </font>
    <font>
      <name val="ＭＳ Ｐゴシック"/>
      <charset val="128"/>
      <family val="3"/>
      <sz val="6"/>
      <scheme val="minor"/>
    </font>
    <font>
      <name val="Segoe UI"/>
      <family val="2"/>
      <color theme="1"/>
      <sz val="11"/>
    </font>
    <font>
      <name val="Noto Sans JP"/>
      <charset val="134"/>
      <family val="2"/>
      <color theme="1"/>
      <sz val="11"/>
    </font>
    <font>
      <name val="ＭＳ ゴシック"/>
      <charset val="128"/>
      <family val="3"/>
      <color theme="1"/>
      <sz val="11"/>
    </font>
    <font>
      <name val="ＭＳ ゴシック"/>
      <charset val="128"/>
      <family val="3"/>
      <b val="1"/>
      <color rgb="FFFFFFFF"/>
      <sz val="11"/>
    </font>
    <font>
      <b val="1"/>
    </font>
    <font>
      <name val="游ゴシック"/>
      <b val="1"/>
      <sz val="9"/>
    </font>
    <font>
      <name val="游ゴシック"/>
      <sz val="9"/>
    </font>
  </fonts>
  <fills count="18">
    <fill>
      <patternFill/>
    </fill>
    <fill>
      <patternFill patternType="gray125"/>
    </fill>
    <fill>
      <patternFill patternType="solid">
        <fgColor rgb="FF4472C4"/>
      </patternFill>
    </fill>
    <fill>
      <patternFill patternType="solid">
        <fgColor rgb="FF5B9BD5"/>
      </patternFill>
    </fill>
    <fill>
      <patternFill patternType="solid">
        <fgColor rgb="FF70AD47"/>
      </patternFill>
    </fill>
    <fill>
      <patternFill patternType="solid">
        <fgColor rgb="00FCE4D6"/>
      </patternFill>
    </fill>
    <fill>
      <patternFill patternType="solid">
        <fgColor rgb="00D9E1F2"/>
      </patternFill>
    </fill>
    <fill>
      <patternFill patternType="solid">
        <fgColor rgb="00FFF2CC"/>
      </patternFill>
    </fill>
    <fill>
      <patternFill patternType="solid">
        <fgColor rgb="00C6EFCE"/>
      </patternFill>
    </fill>
    <fill>
      <patternFill patternType="solid">
        <fgColor rgb="00FFEB9C"/>
      </patternFill>
    </fill>
    <fill>
      <patternFill patternType="solid">
        <fgColor rgb="00EDEDED"/>
      </patternFill>
    </fill>
    <fill>
      <patternFill patternType="solid">
        <fgColor rgb="00DDEBF7"/>
      </patternFill>
    </fill>
    <fill>
      <patternFill patternType="solid">
        <fgColor rgb="00E2EFDA"/>
      </patternFill>
    </fill>
    <fill>
      <patternFill patternType="solid">
        <fgColor rgb="00FFC7CE"/>
      </patternFill>
    </fill>
    <fill>
      <patternFill patternType="solid">
        <fgColor rgb="FFDDEBF7"/>
      </patternFill>
    </fill>
    <fill>
      <patternFill patternType="solid">
        <fgColor rgb="FFFFFF99"/>
      </patternFill>
    </fill>
    <fill>
      <patternFill patternType="solid">
        <fgColor rgb="FFF2F2F2"/>
      </patternFill>
    </fill>
    <fill>
      <patternFill patternType="solid">
        <fgColor rgb="FFFFC7CE"/>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FFBFBFBF"/>
      </left>
      <right style="thin">
        <color rgb="FFBFBFBF"/>
      </right>
      <top style="thin">
        <color rgb="FFBFBFBF"/>
      </top>
      <bottom style="thin">
        <color rgb="FFBFBFBF"/>
      </bottom>
    </border>
  </borders>
  <cellStyleXfs count="1">
    <xf numFmtId="0" fontId="0" fillId="0" borderId="0"/>
  </cellStyleXfs>
  <cellXfs count="41">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0" borderId="0" applyAlignment="1" pivotButton="0" quotePrefix="0" xfId="0">
      <alignment vertical="top" wrapText="1"/>
    </xf>
    <xf numFmtId="0" fontId="3" fillId="0" borderId="0" applyAlignment="1" pivotButton="0" quotePrefix="0" xfId="0">
      <alignment vertical="center"/>
    </xf>
    <xf numFmtId="0" fontId="0" fillId="0" borderId="0" applyAlignment="1" pivotButton="0" quotePrefix="0" xfId="0">
      <alignment wrapText="1"/>
    </xf>
    <xf numFmtId="0" fontId="6" fillId="3" borderId="0" pivotButton="0" quotePrefix="0" xfId="0"/>
    <xf numFmtId="0" fontId="7" fillId="6"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vertical="top" wrapText="1"/>
    </xf>
    <xf numFmtId="0" fontId="0" fillId="7" borderId="1" applyAlignment="1" pivotButton="0" quotePrefix="0" xfId="0">
      <alignment horizontal="left" vertical="top" wrapText="1"/>
    </xf>
    <xf numFmtId="0" fontId="3" fillId="0" borderId="1" applyAlignment="1" pivotButton="0" quotePrefix="0" xfId="0">
      <alignment horizontal="left" vertical="top" wrapText="1"/>
    </xf>
    <xf numFmtId="0" fontId="0" fillId="5" borderId="1" applyAlignment="1" pivotButton="0" quotePrefix="0" xfId="0">
      <alignment horizontal="left" vertical="top" wrapText="1"/>
    </xf>
    <xf numFmtId="0" fontId="0" fillId="7" borderId="1" applyAlignment="1" pivotButton="0" quotePrefix="0" xfId="0">
      <alignment horizontal="center" vertical="center"/>
    </xf>
    <xf numFmtId="0" fontId="7" fillId="8" borderId="1" applyAlignment="1" pivotButton="0" quotePrefix="0" xfId="0">
      <alignment horizontal="center" vertical="center"/>
    </xf>
    <xf numFmtId="0" fontId="7" fillId="9" borderId="1" applyAlignment="1" pivotButton="0" quotePrefix="0" xfId="0">
      <alignment horizontal="center" vertical="center"/>
    </xf>
    <xf numFmtId="0" fontId="0" fillId="0" borderId="1" applyAlignment="1" pivotButton="0" quotePrefix="0" xfId="0">
      <alignment horizontal="center" vertical="center"/>
    </xf>
    <xf numFmtId="0" fontId="7" fillId="0" borderId="0" pivotButton="0" quotePrefix="0" xfId="0"/>
    <xf numFmtId="0" fontId="0" fillId="0" borderId="0" applyAlignment="1" pivotButton="0" quotePrefix="0" xfId="0">
      <alignment horizontal="left" vertical="top" wrapText="1"/>
    </xf>
    <xf numFmtId="0" fontId="0" fillId="11" borderId="1" applyAlignment="1" pivotButton="0" quotePrefix="0" xfId="0">
      <alignment horizontal="left" vertical="top" wrapText="1"/>
    </xf>
    <xf numFmtId="0" fontId="0" fillId="10" borderId="1" applyAlignment="1" pivotButton="0" quotePrefix="0" xfId="0">
      <alignment horizontal="left" vertical="top" wrapText="1"/>
    </xf>
    <xf numFmtId="0" fontId="0" fillId="12" borderId="1" applyAlignment="1" pivotButton="0" quotePrefix="0" xfId="0">
      <alignment horizontal="left" vertical="top" wrapText="1"/>
    </xf>
    <xf numFmtId="0" fontId="0" fillId="8" borderId="0" applyAlignment="1" pivotButton="0" quotePrefix="0" xfId="0">
      <alignment horizontal="left" vertical="top" wrapText="1"/>
    </xf>
    <xf numFmtId="0" fontId="7" fillId="13" borderId="0" applyAlignment="1" pivotButton="0" quotePrefix="0" xfId="0">
      <alignment horizontal="left" vertical="top" wrapText="1"/>
    </xf>
    <xf numFmtId="0" fontId="0" fillId="13" borderId="0" applyAlignment="1" pivotButton="0" quotePrefix="0" xfId="0">
      <alignment horizontal="left" vertical="top" wrapText="1"/>
    </xf>
    <xf numFmtId="0" fontId="7" fillId="13" borderId="1" applyAlignment="1" pivotButton="0" quotePrefix="0" xfId="0">
      <alignment horizontal="center" vertical="center"/>
    </xf>
    <xf numFmtId="0" fontId="8" fillId="0" borderId="0" pivotButton="0" quotePrefix="0" xfId="0"/>
    <xf numFmtId="0" fontId="9" fillId="0" borderId="0" pivotButton="0" quotePrefix="0" xfId="0"/>
    <xf numFmtId="0" fontId="8" fillId="14" borderId="2" applyAlignment="1" pivotButton="0" quotePrefix="0" xfId="0">
      <alignment horizontal="center" vertical="center" wrapText="1"/>
    </xf>
    <xf numFmtId="0" fontId="9" fillId="0" borderId="2" applyAlignment="1" pivotButton="0" quotePrefix="0" xfId="0">
      <alignment vertical="center"/>
    </xf>
    <xf numFmtId="0" fontId="9" fillId="0" borderId="2" applyAlignment="1" pivotButton="0" quotePrefix="0" xfId="0">
      <alignment vertical="center" wrapText="1"/>
    </xf>
    <xf numFmtId="0" fontId="9" fillId="17" borderId="2" applyAlignment="1" pivotButton="0" quotePrefix="0" xfId="0">
      <alignment vertical="center"/>
    </xf>
    <xf numFmtId="0" fontId="9" fillId="0" borderId="2" applyAlignment="1" pivotButton="0" quotePrefix="0" xfId="0">
      <alignment vertical="top"/>
    </xf>
    <xf numFmtId="49" fontId="9" fillId="0" borderId="2" applyAlignment="1" pivotButton="0" quotePrefix="0" xfId="0">
      <alignment vertical="top"/>
    </xf>
    <xf numFmtId="49" fontId="9" fillId="0" borderId="2" applyAlignment="1" pivotButton="0" quotePrefix="0" xfId="0">
      <alignment vertical="top" wrapText="1"/>
    </xf>
    <xf numFmtId="49" fontId="9" fillId="15" borderId="2" applyAlignment="1" pivotButton="0" quotePrefix="0" xfId="0">
      <alignment vertical="top"/>
    </xf>
    <xf numFmtId="0" fontId="9" fillId="16" borderId="2" applyAlignment="1" pivotButton="0" quotePrefix="0" xfId="0">
      <alignment vertical="top"/>
    </xf>
    <xf numFmtId="49" fontId="9" fillId="16" borderId="2" applyAlignment="1" pivotButton="0" quotePrefix="0" xfId="0">
      <alignment vertical="top"/>
    </xf>
    <xf numFmtId="49" fontId="9" fillId="16" borderId="2"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3.5"/>
  <cols>
    <col width="22" customWidth="1" min="1" max="3"/>
    <col width="100" customWidth="1" min="2" max="2"/>
    <col width="46" customWidth="1" min="3" max="3"/>
  </cols>
  <sheetData>
    <row r="1" ht="15" customHeight="1">
      <c r="A1" s="8" t="inlineStr">
        <is>
          <t>区分</t>
        </is>
      </c>
      <c r="B1" s="8" t="inlineStr">
        <is>
          <t>件数</t>
        </is>
      </c>
      <c r="C1" s="8" t="inlineStr">
        <is>
          <t>備考</t>
        </is>
      </c>
    </row>
    <row r="2">
      <c r="A2" s="9" t="inlineStr">
        <is>
          <t>ヒアリング項目総数</t>
        </is>
      </c>
      <c r="B2" s="10">
        <f>COUNTA(Sheet1_試験追跡!C2:C200)</f>
        <v/>
      </c>
      <c r="C2" s="9" t="inlineStr">
        <is>
          <t>Sheet1 のヒアリング項目の数</t>
        </is>
      </c>
    </row>
    <row r="3">
      <c r="A3" s="9" t="inlineStr">
        <is>
          <t>試験確認済</t>
        </is>
      </c>
      <c r="B3" s="10">
        <f>COUNTIF(Sheet1_試験追跡!I2:I200,"○")</f>
        <v/>
      </c>
      <c r="C3" s="9" t="inlineStr">
        <is>
          <t>A 判定が ○</t>
        </is>
      </c>
    </row>
    <row r="4">
      <c r="A4" s="9" t="inlineStr">
        <is>
          <t>試験漏れ</t>
        </is>
      </c>
      <c r="B4" s="10">
        <f>COUNTIF(Sheet1_試験追跡!I2:I200,"×")</f>
        <v/>
      </c>
      <c r="C4" s="9" t="inlineStr">
        <is>
          <t>A 判定が ×（試験項目なし／結果相違）</t>
        </is>
      </c>
    </row>
    <row r="5">
      <c r="A5" s="9" t="inlineStr">
        <is>
          <t>資材一致</t>
        </is>
      </c>
      <c r="B5" s="10">
        <f>COUNTIF(Sheet2_資材追跡!H2:H200,"○")</f>
        <v/>
      </c>
      <c r="C5" s="9" t="inlineStr">
        <is>
          <t>B 判定が ○</t>
        </is>
      </c>
    </row>
    <row r="6">
      <c r="A6" s="9" t="inlineStr">
        <is>
          <t>要確認</t>
        </is>
      </c>
      <c r="B6" s="10">
        <f>COUNTIF(Sheet1_試験追跡!I2:I200,"△")+COUNTIF(Sheet2_資材追跡!H2:H200,"△")</f>
        <v/>
      </c>
      <c r="C6" s="9" t="inlineStr">
        <is>
          <t>A・B の △ 合計</t>
        </is>
      </c>
    </row>
    <row r="7">
      <c r="A7" s="9" t="inlineStr">
        <is>
          <t>A 未判定</t>
        </is>
      </c>
      <c r="B7" s="10">
        <f>COUNTA(Sheet1_試験追跡!C2:C200)-COUNTA(Sheet1_試験追跡!I2:I200)</f>
        <v/>
      </c>
      <c r="C7" s="9" t="inlineStr">
        <is>
          <t>判定が空のもの</t>
        </is>
      </c>
    </row>
    <row r="8">
      <c r="A8" s="9" t="inlineStr">
        <is>
          <t>B 未判定</t>
        </is>
      </c>
      <c r="B8" s="10">
        <f>COUNTA(Sheet2_資材追跡!C2:C200)-COUNTA(Sheet2_資材追跡!H2:H200)</f>
        <v/>
      </c>
      <c r="C8" s="9" t="inlineStr">
        <is>
          <t>判定が空のもの</t>
        </is>
      </c>
    </row>
    <row r="9">
      <c r="A9" t="inlineStr">
        <is>
          <t>SCL確認状況</t>
        </is>
      </c>
      <c r="B9" t="inlineStr">
        <is>
          <t>5本すべて読了</t>
        </is>
      </c>
      <c r="C9" t="inlineStr">
        <is>
          <t>#1 93/93・#2 33/33・#3 25/25・#4 28/28・#5 73/73</t>
        </is>
      </c>
    </row>
    <row r="10">
      <c r="A10" s="28" t="inlineStr">
        <is>
          <t>試験ケース総数</t>
        </is>
      </c>
      <c r="B10" s="29">
        <f>COUNTA(Sheet3_試験ケース!C2:C400)</f>
        <v/>
      </c>
      <c r="C10" s="29" t="inlineStr">
        <is>
          <t>Sheet3 の行数（SCL5本の合計）</t>
        </is>
      </c>
    </row>
    <row r="11">
      <c r="A11" s="28" t="inlineStr">
        <is>
          <t>ヒアリングに紐づけ済</t>
        </is>
      </c>
      <c r="B11" s="29">
        <f>COUNTIF(Sheet1_試験追跡!M2:M200,"あり")</f>
        <v/>
      </c>
      <c r="C11" s="29" t="inlineStr">
        <is>
          <t>Sheet1 の M 判定が「あり」</t>
        </is>
      </c>
    </row>
    <row r="12">
      <c r="A12" s="28" t="inlineStr">
        <is>
          <t>試験項目なし（式判定）</t>
        </is>
      </c>
      <c r="B12" s="29">
        <f>COUNTIF(Sheet1_試験追跡!M2:M200,"試験項目なし")</f>
        <v/>
      </c>
      <c r="C12" s="29" t="inlineStr">
        <is>
          <t>Sheet3 に対応ケースが1件も無いヒアリング項目</t>
        </is>
      </c>
    </row>
    <row r="13"/>
    <row r="14">
      <c r="A14" s="19" t="inlineStr">
        <is>
          <t>■ 指摘候補（SCL側）</t>
        </is>
      </c>
    </row>
    <row r="15">
      <c r="A15" t="inlineStr">
        <is>
          <t>①</t>
        </is>
      </c>
      <c r="B15" s="20" t="inlineStr">
        <is>
          <t>ケース74 に「DJ OFAC/企業リスト」の記載が無い。51・58・62 にはある → 反映漏れの可能性</t>
        </is>
      </c>
    </row>
    <row r="16">
      <c r="A16" t="inlineStr">
        <is>
          <t>②【解消】</t>
        </is>
      </c>
      <c r="B16" s="24" t="inlineStr">
        <is>
          <t>『リスク管理部』と『リスク管理部以外』の権限差分 → SCL#2 ケース25・30 で検証済。管理メニューが リスク管理部=3つ／それ以外・担当者=パスワード変更のみ</t>
        </is>
      </c>
    </row>
    <row r="17">
      <c r="A17" t="inlineStr">
        <is>
          <t>③</t>
        </is>
      </c>
      <c r="B17" s="20" t="inlineStr">
        <is>
          <t>ケース75 が「※手順不可」。実施件数の −3 のうちの1件。理由と代替確認を要確認</t>
        </is>
      </c>
    </row>
    <row r="18">
      <c r="A18" t="inlineStr">
        <is>
          <t>④</t>
        </is>
      </c>
      <c r="B18" s="20" t="inlineStr">
        <is>
          <t>A-12（本人確認で使うID情報の表示文字列・表示順）が、検証ポイント「本人確認」の SCL に無い</t>
        </is>
      </c>
    </row>
    <row r="19">
      <c r="A19" t="inlineStr">
        <is>
          <t>⑤</t>
        </is>
      </c>
      <c r="B19" s="20" t="inlineStr">
        <is>
          <t>ヒアリングは L&amp;F管理者（リスク管理部）のみだが、SCL は L&amp;Fプロファイル3種を検証。ヒアリングシートの項目漏れでは</t>
        </is>
      </c>
    </row>
    <row r="20">
      <c r="A20" t="inlineStr">
        <is>
          <t>⑥</t>
        </is>
      </c>
      <c r="B20" s="20" t="inlineStr">
        <is>
          <t>SCL は検証ポイントごとに別ファイル。1本だけ見て「漏れ」と判断しない（#1の所見2が#2で解消した実例）</t>
        </is>
      </c>
    </row>
    <row r="21">
      <c r="A21" t="inlineStr">
        <is>
          <t>⑦</t>
        </is>
      </c>
      <c r="B21" s="20" t="inlineStr">
        <is>
          <t>管理機能は会社をまたいで見える（SCL#2 ケース09「★横浜ユーザも表示される」）。本人確認では分離。意図どおりか要確認</t>
        </is>
      </c>
    </row>
    <row r="22">
      <c r="A22" t="inlineStr">
        <is>
          <t>⑧</t>
        </is>
      </c>
      <c r="B22" s="20" t="inlineStr">
        <is>
          <t>ヒアリングのBC照合設定（英字名称NGE79／電話番号FME100／ID情報FME100／国内住所LSE88）がSCL#1ケース27〜35で未確認。名称・フリガナ・生年月日のみ</t>
        </is>
      </c>
    </row>
    <row r="23">
      <c r="A23" t="inlineStr">
        <is>
          <t>⑨</t>
        </is>
      </c>
      <c r="B23" s="20" t="inlineStr">
        <is>
          <t>★強化：2026/06廃止の「警察庁（IB）」が #1 でしか取消されていない。#3（更新対象リスト）#4（該当リスト一覧 ケース05・09）には残存。3本中2本で未反映</t>
        </is>
      </c>
    </row>
    <row r="24">
      <c r="A24" t="inlineStr">
        <is>
          <t>⑩</t>
        </is>
      </c>
      <c r="B24" s="20" t="inlineStr">
        <is>
          <t>SCL#3 ケース08「取消」の想定結果が『処理状態が取込済になること』。ケース10（タスク実行）と同一文。取消なら「取込済」にはならないはず。コピペミスの可能性</t>
        </is>
      </c>
    </row>
    <row r="25"/>
    <row r="26">
      <c r="A26" t="inlineStr">
        <is>
          <t>権限マトリクス</t>
        </is>
      </c>
      <c r="B26" s="24" t="inlineStr">
        <is>
          <t>管理者(ﾘｽｸ管理部)=全部可／管理者(それ以外)=本人確認の判定のみ可／担当者=閲覧のみ。3つのSCLを合わせて確定</t>
        </is>
      </c>
    </row>
    <row r="27">
      <c r="A27" t="inlineStr">
        <is>
          <t>⑪</t>
        </is>
      </c>
      <c r="B27" s="20" t="inlineStr">
        <is>
          <t>SCL#4（SOAP）は実施日・結果が空欄に見える。未実施の可能性。結果が無いと「試験結果はヒアシ通りか」を確認できない</t>
        </is>
      </c>
    </row>
    <row r="28">
      <c r="A28" t="inlineStr">
        <is>
          <t>⑫【解消】</t>
        </is>
      </c>
      <c r="B28" s="24" t="inlineStr">
        <is>
          <t>SCL#4 のメニュー確認 → ケース21・24・27 にあった。L&amp;F3プロファイルとも「未判定照会（連動）」が表示されないこと</t>
        </is>
      </c>
    </row>
    <row r="29">
      <c r="A29" t="inlineStr">
        <is>
          <t>⑬</t>
        </is>
      </c>
      <c r="B29" s="20" t="inlineStr">
        <is>
          <t>L&amp;Fがリアルフィルタリング（連動）を使わないことが、ヒアリング項目に見当たらない。⑤・A-15と同じ拾い漏れパターンの可能性</t>
        </is>
      </c>
    </row>
    <row r="30">
      <c r="A30" t="inlineStr">
        <is>
          <t>⑭★最重要</t>
        </is>
      </c>
      <c r="B30" s="25" t="inlineStr">
        <is>
          <t>SCL#1 のレビュー修正が他のSCLに展開されていない。**7点**：①ユーザ情報ファイル ②警察庁(IB)廃止 ③TaskTarget→TaskTrg ④行内要注意情報 ⑤LF00000004のフリガナ ⑥補助コメントの並び順 ⑦保留実施。②は#3・#4にも未反映。→『SCL間で記述が同期していない』1本の指摘にまとめる</t>
        </is>
      </c>
    </row>
    <row r="31">
      <c r="A31" t="inlineStr">
        <is>
          <t>⑮</t>
        </is>
      </c>
      <c r="B31" s="20" t="inlineStr">
        <is>
          <t>SCL#5 の横浜セクション（ケース11・20）がメニューを「リアルフィルタリング」と記載。L&amp;Fセクション（26・46）は「バッチフィルタリング」。同一SCL内で食い違い。#4(SOAP)からのコピペの可能性</t>
        </is>
      </c>
    </row>
    <row r="32">
      <c r="A32" t="inlineStr">
        <is>
          <t>⑯</t>
        </is>
      </c>
      <c r="B32" s="20" t="inlineStr">
        <is>
          <t>SCL#5 ケース25 のメニュー一覧（未判定照会/判定済照会/ファイル処理状況照会/検索対象者一覧アップロード）に「判定履歴照会」が無いが、ケース46 で使用している。記載漏れの可能性</t>
        </is>
      </c>
    </row>
    <row r="33">
      <c r="A33" t="inlineStr">
        <is>
          <t>⑰★</t>
        </is>
      </c>
      <c r="B33" s="26" t="inlineStr">
        <is>
          <t>SCL#5 ケース58 の補助コメントの並び順がヒアリング(A-07)と不一致。#1 では修正済み。このまま試験すると正しい画面を NG 判定してしまう。**是正必要**</t>
        </is>
      </c>
    </row>
    <row r="34">
      <c r="A34" t="inlineStr">
        <is>
          <t>⑱</t>
        </is>
      </c>
      <c r="B34" s="26" t="inlineStr">
        <is>
          <t>A-08／A-09／A-11／A-12 は5本すべてに試験項目が無い。**落とし込み漏れの可能性が高い**。特に A-12 は検証ポイント「本人確認」のSCLにあるべき項目</t>
        </is>
      </c>
    </row>
    <row r="35">
      <c r="A35" t="inlineStr">
        <is>
          <t>⑲</t>
        </is>
      </c>
      <c r="B35" s="20" t="inlineStr">
        <is>
          <t>バッチフィルタリングだけ「リスク管理部以外」も全4メニュー使える（ケース53）。管理・リスト管理では差があった。機能ごとに権限設計が違うが意図どおりか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tabSelected="1" topLeftCell="A8" workbookViewId="0">
      <pane xSplit="3" ySplit="1" topLeftCell="D2" activePane="bottomRight" state="frozen"/>
      <selection pane="topRight"/>
      <selection pane="bottomLeft"/>
      <selection pane="bottomRight" activeCell="A1" sqref="A1"/>
      <selection pane="bottomLeft" activeCell="A1" sqref="A1"/>
      <selection pane="bottomRight" activeCell="D14" sqref="D14"/>
    </sheetView>
  </sheetViews>
  <sheetFormatPr baseColWidth="8" defaultRowHeight="13.5"/>
  <cols>
    <col width="8" customWidth="1" min="1" max="2"/>
    <col width="12" customWidth="1" min="2" max="2"/>
    <col width="46" customWidth="1" min="3" max="3"/>
    <col width="22" customWidth="1" min="4" max="4"/>
    <col width="40" customWidth="1" min="5" max="5"/>
    <col width="12" customWidth="1" min="6" max="9"/>
    <col width="40" customWidth="1" min="7" max="7"/>
    <col width="16" customWidth="1" min="8" max="8"/>
    <col width="12" customWidth="1" min="9" max="9"/>
    <col width="52" customWidth="1" min="10" max="10"/>
    <col width="11" customWidth="1" min="11" max="11"/>
    <col width="30" customWidth="1" min="12" max="12"/>
    <col width="14" customWidth="1" min="13" max="13"/>
  </cols>
  <sheetData>
    <row r="1" ht="15" customHeight="1">
      <c r="A1" s="8" t="inlineStr">
        <is>
          <t>No</t>
        </is>
      </c>
      <c r="B1" s="8" t="inlineStr">
        <is>
          <t>区分(赤枠/青枠)</t>
        </is>
      </c>
      <c r="C1" s="8" t="inlineStr">
        <is>
          <t>ヒアリング項目</t>
        </is>
      </c>
      <c r="D1" s="8" t="inlineStr">
        <is>
          <t>ヒアリングシート該当箇所</t>
        </is>
      </c>
      <c r="E1" s="8" t="inlineStr">
        <is>
          <t>備考</t>
        </is>
      </c>
      <c r="F1" s="8" t="inlineStr">
        <is>
          <t>試験項目No</t>
        </is>
      </c>
      <c r="G1" s="8" t="inlineStr">
        <is>
          <t>試験項目内容</t>
        </is>
      </c>
      <c r="H1" s="8" t="inlineStr">
        <is>
          <t>試験結果</t>
        </is>
      </c>
      <c r="I1" s="8" t="inlineStr">
        <is>
          <t>判定(○/△/×)</t>
        </is>
      </c>
      <c r="J1" s="8" t="inlineStr">
        <is>
          <t>確認メモ</t>
        </is>
      </c>
      <c r="K1" s="30" t="inlineStr">
        <is>
          <t>紐づく試験ケース数</t>
        </is>
      </c>
      <c r="L1" s="30" t="inlineStr">
        <is>
          <t>紐づく試験ケース</t>
        </is>
      </c>
      <c r="M1" s="30" t="inlineStr">
        <is>
          <t>落とし込み判定</t>
        </is>
      </c>
    </row>
    <row r="2" ht="45" customHeight="1">
      <c r="A2" s="11" t="inlineStr">
        <is>
          <t>A-01</t>
        </is>
      </c>
      <c r="B2" s="11" t="inlineStr">
        <is>
          <t>赤枠</t>
        </is>
      </c>
      <c r="C2" s="11" t="inlineStr">
        <is>
          <t>横浜サーバへの2ファイルは別々に送信し、HULFT-IDをシステム毎に設定する</t>
        </is>
      </c>
      <c r="D2" s="11" t="inlineStr">
        <is>
          <t>ヒアリングシート1部 4-1</t>
        </is>
      </c>
      <c r="E2" s="11" t="inlineStr">
        <is>
          <t>対象ファイルID：U2KJX001、U2KJX002。4/27 Mtgで、弊社→横浜サーバへ2ファイルを別々に送信し、HULFT-IDはシステム毎に設定したい旨を確認。</t>
        </is>
      </c>
      <c r="F2" s="12" t="n"/>
      <c r="G2" s="12" t="n"/>
      <c r="H2" s="12" t="n"/>
      <c r="I2" s="17" t="inlineStr">
        <is>
          <t>△</t>
        </is>
      </c>
      <c r="J2" s="11" t="inlineStr">
        <is>
          <t>【SCL 5本（本人確認93／管理33／リスト管理25／SOAP28／バッチ73）すべて読了 した結果】
HULFT の連携設定。画面試験ではなく**設定ファイル側で確認する性質**。
A側（試験）に項目が無いのは妥当な可能性が高い。
→ B（資材追跡）で HULFT 設定を確認する。</t>
        </is>
      </c>
      <c r="K2" s="31">
        <f>COUNTIF(Sheet3_試験ケース!$H:$H,"*"&amp;$A2&amp;"*")</f>
        <v/>
      </c>
      <c r="L2" s="32" t="inlineStr"/>
      <c r="M2" s="33">
        <f>IF(K2=0,"試験項目なし","あり")</f>
        <v/>
      </c>
    </row>
    <row r="3" ht="45" customHeight="1">
      <c r="A3" s="11" t="inlineStr">
        <is>
          <t>A-02</t>
        </is>
      </c>
      <c r="B3" s="11" t="inlineStr">
        <is>
          <t>赤枠</t>
        </is>
      </c>
      <c r="C3" s="11" t="inlineStr">
        <is>
          <t>U2KJX001（顧客開設・変更情報）の配信周期を「四半期」、連携時刻を「12:30:00」とする</t>
        </is>
      </c>
      <c r="D3" s="11" t="inlineStr">
        <is>
          <t>ヒアリングシート1部 4-1</t>
        </is>
      </c>
      <c r="E3" s="11" t="inlineStr">
        <is>
          <t>対象ファイルID：U2KJX001。3) HULFT連携時間／バッチフィルタリングインターフェース。</t>
        </is>
      </c>
      <c r="F3" s="12" t="n"/>
      <c r="G3" s="12" t="n"/>
      <c r="H3" s="12" t="n"/>
      <c r="I3" s="17" t="inlineStr">
        <is>
          <t>△</t>
        </is>
      </c>
      <c r="J3" s="11" t="inlineStr">
        <is>
          <t>【SCL 5本（本人確認93／管理33／リスト管理25／SOAP28／バッチ73）すべて読了 した結果】
同上。配信周期「四半期」・連携時刻「12:30:00」は HULFT の設定値。
→ B（資材追跡）で確認する。</t>
        </is>
      </c>
      <c r="K3" s="31">
        <f>COUNTIF(Sheet3_試験ケース!$H:$H,"*"&amp;$A3&amp;"*")</f>
        <v/>
      </c>
      <c r="L3" s="32" t="inlineStr"/>
      <c r="M3" s="33">
        <f>IF(K3=0,"試験項目なし","あり")</f>
        <v/>
      </c>
    </row>
    <row r="4" ht="45" customHeight="1">
      <c r="A4" s="11" t="inlineStr">
        <is>
          <t>A-03</t>
        </is>
      </c>
      <c r="B4" s="11" t="inlineStr">
        <is>
          <t>赤枠</t>
        </is>
      </c>
      <c r="C4" s="11" t="inlineStr">
        <is>
          <t>U2KJX002（顧客開設・変更情報）の配信周期を「四半期」、連携時刻を「12:30:00」とする</t>
        </is>
      </c>
      <c r="D4" s="11" t="inlineStr">
        <is>
          <t>ヒアリングシート1部 4-1</t>
        </is>
      </c>
      <c r="E4" s="11" t="inlineStr">
        <is>
          <t>対象ファイルID：U2KJX002。3) HULFT連携時間／バッチフィルタリングインターフェース。</t>
        </is>
      </c>
      <c r="F4" s="12" t="n"/>
      <c r="G4" s="12" t="n"/>
      <c r="H4" s="12" t="n"/>
      <c r="I4" s="17" t="inlineStr">
        <is>
          <t>△</t>
        </is>
      </c>
      <c r="J4" s="11" t="inlineStr">
        <is>
          <t>【SCL 5本（本人確認93／管理33／リスト管理25／SOAP28／バッチ73）すべて読了 した結果】
同上（U2KJX002）。→ B（資材追跡）で確認する。</t>
        </is>
      </c>
      <c r="K4" s="31">
        <f>COUNTIF(Sheet3_試験ケース!$H:$H,"*"&amp;$A4&amp;"*")</f>
        <v/>
      </c>
      <c r="L4" s="32" t="inlineStr"/>
      <c r="M4" s="33">
        <f>IF(K4=0,"試験項目なし","あり")</f>
        <v/>
      </c>
    </row>
    <row r="5" ht="45" customHeight="1">
      <c r="A5" s="11" t="inlineStr">
        <is>
          <t>A-04</t>
        </is>
      </c>
      <c r="B5" s="11" t="inlineStr">
        <is>
          <t>赤枠</t>
        </is>
      </c>
      <c r="C5" s="11" t="inlineStr">
        <is>
          <t>横浜銀行事務部では、BFILE_CINFOを除く対象リストを利用する</t>
        </is>
      </c>
      <c r="D5" s="11" t="inlineStr">
        <is>
          <t>ヒアリングシート2部 3-2-3</t>
        </is>
      </c>
      <c r="E5" s="11" t="n"/>
      <c r="F5" s="12" t="inlineStr">
        <is>
          <t>SCL_変更機能検証_本人確認（93ケース読了）
横浜側 09・12・17・20
L&amp;F側 26・39・51・58・62・74・81・85
SCL_変更機能検証_SOAP ケース05・09（横浜側／L&amp;F側は未確認）
SCL_変更機能検証_バッチフィルタリング ケース09・13
SCL_変更機能検証_バッチフィルタリング ケース18・22（横浜）・29（L&amp;F）</t>
        </is>
      </c>
      <c r="G5" s="12" t="inlineStr">
        <is>
          <t>《横浜側＝出ないこと》
09・12（YOKOHAMA_OTHER_ADMIN）／17・20（YOKOHAMA_OTHER）
「横浜花子」でフィルタリング → 該当リスト一覧に
  『BファイルC情報』は表示されないこと。
《L&amp;F側＝出ること》
26・39・51（LF_ADMIN_RISK）「えるえふ太郎」→
  該当リスト一覧に『BファイルC情報』が表示されること。</t>
        </is>
      </c>
      <c r="H5" s="12" t="inlineStr">
        <is>
          <t>OK（2026/9/28 実施・再鑑とも OK／7ケース）</t>
        </is>
      </c>
      <c r="I5" s="16" t="inlineStr">
        <is>
          <t>○</t>
        </is>
      </c>
      <c r="J5" s="11" t="inlineStr">
        <is>
          <t>◎ 落とし込み済み。横浜2プロファイル×2ルートで「出ない」、
L&amp;Fプロファイル3ルートで「出る」。裏表そろっている。
【追記】5つのプロファイルすべてで確認されている。
横浜2種で「出ない」、L&amp;F2種で「出る」。
【追記・93ケース読了】6プロファイルすべてで確認。
【追記・SCL#4（SOAP）】
SOAP連携（リアルフィルタリング）でも横浜プロファイルの
該当リスト一覧が確認されている（ケース05・09）。
★ただし「BファイルC情報は表示されないこと」の記載があるかは
  画面で切れており未確認。L&amp;Fプロファイル分も未確認。
★SCL#4 は実施日・結果が空欄に見える（未実施の可能性）。
【訂正・SCL#4 読了】
SOAP経路（リアルフィルタリング）は **横浜銀行専用**で、
L&amp;F の3プロファイルすべてで「未判定照会（連動）」が
表示されない（ケース21・24・27）。
→ A-04/A-05 は SOAP経路には適用されない。
【追記・SCL#5（バッチ）】
バッチ経路でも横浜側で BファイルC情報 が表示されないことを確認
（ケース09・13）。
【追記・SCL#5（バッチ）】バッチ経路でも裏表そろって確認されている。
  横浜側（18・22）… BファイルC情報 は表示されないこと
  L&amp;F側（29）    … BファイルC情報 が表示されること</t>
        </is>
      </c>
      <c r="K5" s="31">
        <f>COUNTIF(Sheet3_試験ケース!$H:$H,"*"&amp;$A5&amp;"*")</f>
        <v/>
      </c>
      <c r="L5" s="32" t="inlineStr">
        <is>
          <t>01#09 01#12 01#17 01#20 01#26 01#39 01#51 01#58 01#62 01#74 01#81 01#85 04#05 04#09 05#09 05#13 05#18 05#22 05#29 05#69</t>
        </is>
      </c>
      <c r="M5" s="31">
        <f>IF(K5=0,"試験項目なし","あり")</f>
        <v/>
      </c>
    </row>
    <row r="6" ht="45" customHeight="1">
      <c r="A6" s="11" t="inlineStr">
        <is>
          <t>A-05</t>
        </is>
      </c>
      <c r="B6" s="11" t="inlineStr">
        <is>
          <t>赤枠</t>
        </is>
      </c>
      <c r="C6" s="11" t="inlineStr">
        <is>
          <t>L&amp;F横浜店では、MOF、JPI、DJ_SHIPSを除く対象リストを利用する</t>
        </is>
      </c>
      <c r="D6" s="11" t="inlineStr">
        <is>
          <t>ヒアリングシート2部 3-2-3</t>
        </is>
      </c>
      <c r="E6" s="11" t="n"/>
      <c r="F6" s="12" t="inlineStr">
        <is>
          <t>SCL_変更機能検証_本人確認（93ケース読了）
ケース26・39・51・58・62・74・81・85
SCL_変更機能検証_バッチフィルタリング ケース29</t>
        </is>
      </c>
      <c r="G6" s="12" t="inlineStr">
        <is>
          <t>LF_ADMIN_RISK で法人「えるえふ太郎」をフィルタリング。
想定結果の『下記は表示されないこと』に
  ・財務省
  ・JCIF PEPs
  ・DJ 船舶リスト
が明記されている（3ルートで確認）。</t>
        </is>
      </c>
      <c r="H6" s="12" t="inlineStr">
        <is>
          <t>OK（2026/9/28 実施・再鑑とも OK／3ケース）</t>
        </is>
      </c>
      <c r="I6" s="16" t="inlineStr">
        <is>
          <t>○</t>
        </is>
      </c>
      <c r="J6" s="11" t="inlineStr">
        <is>
          <t>◎ ヒアリングと完全一致。
  MOF → 財務省 ／ JPI → JCIF PEPs ／ DJ_SHIPS → DJ 船舶リスト
【追記】LF_ADMIN_RISK（26・39・51）と
LF_ADMIN_RISK_EXC（58・62・74）の両方で確認済み。
★ただしケース74 に「DJ OFAC/企業リスト」の記載が無い。
  ケース51・58・62 にはある。SCL の反映漏れの可能性あり（要確認）。
【追記・93ケース読了】L&amp;F3プロファイル（管理者2種＋担当者）で確認。
【追記・SCL#5（バッチ）】★バッチ経路でも確認されていた。
ケース29（LF_ADMIN_RISK）の『下記は表示されないこと』に
  ・財務省（MOF）
  ・JCIF PEPs（JPI）
  ・DJ 船舶リスト（DJ_SHIPS）
→ 本人確認（#1）とバッチ（#5）の両経路で確認済み。</t>
        </is>
      </c>
      <c r="K6" s="31">
        <f>COUNTIF(Sheet3_試験ケース!$H:$H,"*"&amp;$A6&amp;"*")</f>
        <v/>
      </c>
      <c r="L6" s="32" t="inlineStr">
        <is>
          <t>01#09 01#12 01#17 01#20 01#26 01#39 01#51 01#58 01#62 01#74 01#81 01#85 05#29 05#69</t>
        </is>
      </c>
      <c r="M6" s="31">
        <f>IF(K6=0,"試験項目なし","あり")</f>
        <v/>
      </c>
    </row>
    <row r="7" ht="45" customHeight="1">
      <c r="A7" s="11" t="inlineStr">
        <is>
          <t>A-06</t>
        </is>
      </c>
      <c r="B7" s="11" t="inlineStr">
        <is>
          <t>赤枠</t>
        </is>
      </c>
      <c r="C7" s="11" t="inlineStr">
        <is>
          <t>部店ごとのフィルタリング対象リストの使い分けは行わない</t>
        </is>
      </c>
      <c r="D7" s="11" t="inlineStr">
        <is>
          <t>ヒアリングシート2部 3-2-3</t>
        </is>
      </c>
      <c r="E7" s="11" t="n"/>
      <c r="F7" s="12" t="n"/>
      <c r="G7" s="12" t="n"/>
      <c r="H7" s="12" t="n"/>
      <c r="I7" s="17" t="inlineStr">
        <is>
          <t>△</t>
        </is>
      </c>
      <c r="J7" s="11" t="inlineStr">
        <is>
          <t>【SCL 5本（本人確認93／管理33／リスト管理25／SOAP28／バッチ73）すべて読了 した結果】
「使い分けを行わない」＝**ないことの確認**。試験項目にしにくい性質。
→ B（資材追跡）で 25_部店フィルタリング設定 を見て、
  全部店が同一設定であることを確認するのが自然。</t>
        </is>
      </c>
      <c r="K7" s="31">
        <f>COUNTIF(Sheet3_試験ケース!$H:$H,"*"&amp;$A7&amp;"*")</f>
        <v/>
      </c>
      <c r="L7" s="32" t="inlineStr">
        <is>
          <t>01#11</t>
        </is>
      </c>
      <c r="M7" s="31">
        <f>IF(K7=0,"試験項目なし","あり")</f>
        <v/>
      </c>
    </row>
    <row r="8" ht="45" customHeight="1">
      <c r="A8" s="11" t="inlineStr">
        <is>
          <t>A-07</t>
        </is>
      </c>
      <c r="B8" s="11" t="inlineStr">
        <is>
          <t>赤枠</t>
        </is>
      </c>
      <c r="C8" s="11" t="inlineStr">
        <is>
          <t>判定情報のプルダウンに表示する補助コメントおよび表示順を設定する</t>
        </is>
      </c>
      <c r="D8" s="11" t="inlineStr">
        <is>
          <t>ヒアリングシート2部 3-2-4</t>
        </is>
      </c>
      <c r="E8" s="11" t="inlineStr">
        <is>
          <t>表示内容および表示順は以下の通り。
 1：該当あり（コンプラ先）
 2：該当あり（マーク先）
 3：該当あり（C情報）
 4：該当あり（その他）
 5：該当なし
 6：取消し</t>
        </is>
      </c>
      <c r="F8" s="12" t="inlineStr">
        <is>
          <t>SCL_変更機能検証_本人確認
ケース40・63（主）
ケース43・45・66・68
SCL_変更機能検証_バッチフィルタリング ケース42・44</t>
        </is>
      </c>
      <c r="G8" s="12" t="inlineStr">
        <is>
          <t>40 補助コメント
  補助コメントのプルダウンに下記が表示されること
    該当あり（コンプラ先）
    該当あり（マーク先）
    該当あり（C情報）      ←赤字で3番目に移動
    該当あり（その他）
    該当なし
    取消し
  ※SCL上「並び順修正」として、C情報 を6番目から3番目へ変更した跡あり。
43 判定実施（プルダウン選択）
  選択した補助コメントが判定済み照会画面に表示されること。</t>
        </is>
      </c>
      <c r="H8" s="12" t="inlineStr">
        <is>
          <t>OK（2026/9/28 実施・再鑑とも OK）</t>
        </is>
      </c>
      <c r="I8" s="16" t="inlineStr">
        <is>
          <t>○</t>
        </is>
      </c>
      <c r="J8" s="11" t="inlineStr">
        <is>
          <t>★不備あり（指摘候補⑰）
◎ ヒアリング備考の 1〜6 の並びと完全一致。
  1 該当あり（コンプラ先）／2 該当あり（マーク先）／3 該当あり（C情報）
  4 該当あり（その他）／5 該当なし／6 取消し
表示内容だけでなく**表示順まで**試験項目に落ちている。
しかも SCL 側で並び順の誤りが修正されており、是正済みの状態。
【追記】ケース63 で2つ目のL&amp;Fプロファイルでも確認。
判定実施は 43/45/66/68 の4ケースで
「チェック有無 × プルダウン／テキスト」の4通りを網羅している。
【追記・SCL#5】バッチ経路でも補助コメントの
プルダウン選択（42）とテキスト入力（44）を確認。
【追記・SCL#5 ケース58】★重要
補助コメントの並び順が**ヒアリングと一致していない**。
  ヒアリング   1 コンプラ先/2 マーク先/**3 C情報**/4 その他/5 該当なし/6 取消し
  #1 ケース40  上記どおり（並び順修正済）
  #5 ケース58  コンプラ先/マーク先/その他/該当なし/**C情報**/取消し
→ #1 の修正が #5 に未反映。このまま試験すると、
  正しい画面を見て NG と判定してしまう。**是正必要。**</t>
        </is>
      </c>
      <c r="K8" s="31">
        <f>COUNTIF(Sheet3_試験ケース!$H:$H,"*"&amp;$A8&amp;"*")</f>
        <v/>
      </c>
      <c r="L8" s="32" t="inlineStr">
        <is>
          <t>01#40 01#43 01#45 01#63 01#66 01#68 05#42 05#44 05#58</t>
        </is>
      </c>
      <c r="M8" s="31">
        <f>IF(K8=0,"試験項目なし","あり")</f>
        <v/>
      </c>
    </row>
    <row r="9" ht="45" customHeight="1">
      <c r="A9" s="11" t="inlineStr">
        <is>
          <t>A-08</t>
        </is>
      </c>
      <c r="B9" s="11" t="inlineStr">
        <is>
          <t>赤枠</t>
        </is>
      </c>
      <c r="C9" s="11" t="inlineStr">
        <is>
          <t>ファイル記号O～Tでは、MOF、JP、DJ_SHIPSを除く対象リストを利用する</t>
        </is>
      </c>
      <c r="D9" s="11" t="inlineStr">
        <is>
          <t>ヒアリングシート2部 3-3-3</t>
        </is>
      </c>
      <c r="E9" s="11" t="inlineStr">
        <is>
          <t>備考：
 ファイル記号O～Tのリスト利用設定：
OFAC：○
MOF：×
JP：×
NPA：○
NPC：○
NPI：○
ASI：○
ASC：○
DJ_SEISAI：○
DJ_SHIPS：×
DJ_GAIKOKU_PEPS：○
DJ_KOKUNAI_PEPS：○
ZENGIN_SEIHO：○
ZENGIN_SONPO：○
ORIGINAL：○
BFILE_CINFO：○</t>
        </is>
      </c>
      <c r="F9" s="12" t="n"/>
      <c r="G9" s="12" t="n"/>
      <c r="H9" s="12" t="n"/>
      <c r="I9" s="27" t="inlineStr">
        <is>
          <t>×</t>
        </is>
      </c>
      <c r="J9" s="11" t="inlineStr">
        <is>
          <t>【SCL 5本（本人確認93／管理33／リスト管理25／SOAP28／バッチ73）すべて読了 した結果】
**5本すべてに該当する試験項目が無い。**
ファイル記号O〜T のリスト利用設定（OFAC○ MOF× JP× NPA○ …）は
フィルタリングの挙動に直結するため、試験できるはず。
特にバッチフィルタリング（#5・73ケース）にあると予想したが無かった。
→ **落とし込み漏れの可能性が高い。**</t>
        </is>
      </c>
      <c r="K9" s="31">
        <f>COUNTIF(Sheet3_試験ケース!$H:$H,"*"&amp;$A9&amp;"*")</f>
        <v/>
      </c>
      <c r="L9" s="32" t="inlineStr"/>
      <c r="M9" s="33">
        <f>IF(K9=0,"試験項目なし","あり")</f>
        <v/>
      </c>
    </row>
    <row r="10" ht="45" customHeight="1">
      <c r="A10" s="11" t="inlineStr">
        <is>
          <t>A-09</t>
        </is>
      </c>
      <c r="B10" s="11" t="inlineStr">
        <is>
          <t>赤字変更箇所</t>
        </is>
      </c>
      <c r="C10" s="11" t="inlineStr">
        <is>
          <t>対象業務では前回判定を自動的に適用する</t>
        </is>
      </c>
      <c r="D10" s="11" t="inlineStr">
        <is>
          <t>ヒアリングシート2部 3-5-5</t>
        </is>
      </c>
      <c r="E10" s="11" t="inlineStr">
        <is>
          <t>前回判定適用設定はいずれも「有」。
BFZ：バッチフィルタリング（全銀）
BFS：バッチフィルタリング（差分）
DSF：DMその他（一括フィルタリング）
SHF：新規顧客開設・届出情報変更</t>
        </is>
      </c>
      <c r="F10" s="12" t="n"/>
      <c r="G10" s="12" t="n"/>
      <c r="H10" s="12" t="n"/>
      <c r="I10" s="27" t="inlineStr">
        <is>
          <t>×</t>
        </is>
      </c>
      <c r="J10" s="11" t="inlineStr">
        <is>
          <t>【SCL 5本（本人確認93／管理33／リスト管理25／SOAP28／バッチ73）すべて読了 した結果】
**5本すべてに該当する試験項目が無い。**
前回判定適用（BFZ/BFS/DSF/SHF いずれも「有」）は
判定画面の挙動に直結するため、試験できるはず。
→ **落とし込み漏れの可能性が高い。**</t>
        </is>
      </c>
      <c r="K10" s="31">
        <f>COUNTIF(Sheet3_試験ケース!$H:$H,"*"&amp;$A10&amp;"*")</f>
        <v/>
      </c>
      <c r="L10" s="32" t="inlineStr"/>
      <c r="M10" s="33">
        <f>IF(K10=0,"試験項目なし","あり")</f>
        <v/>
      </c>
    </row>
    <row r="11" ht="45" customHeight="1">
      <c r="A11" s="11" t="inlineStr">
        <is>
          <t>A-10</t>
        </is>
      </c>
      <c r="B11" s="11" t="n"/>
      <c r="C11" s="11" t="inlineStr">
        <is>
          <t>Oculus-monitorに連携するモニタリング画面表示リスト名を設定する</t>
        </is>
      </c>
      <c r="D11" s="11" t="inlineStr">
        <is>
          <t>ヒアリングシート2部 3-7</t>
        </is>
      </c>
      <c r="E11" s="13" t="inlineStr">
        <is>
          <t>BファイルC情報はモニタリング画面表示リストへの追加不要</t>
        </is>
      </c>
      <c r="F11" s="12" t="n"/>
      <c r="G11" s="12" t="n"/>
      <c r="H11" s="12" t="n"/>
      <c r="I11" s="17" t="inlineStr">
        <is>
          <t>△</t>
        </is>
      </c>
      <c r="J11" s="13" t="inlineStr">
        <is>
          <t>【SCL 5本（本人確認93／管理33／リスト管理25／SOAP28／バッチ73）すべて読了 した結果】
Oculus-monitor への連携。**monitor 側の SCL**にある可能性がある。
今回確認した5本は filter 側のみ。
→ monitor 側の試験資料の有無を確認する。</t>
        </is>
      </c>
      <c r="K11" s="31">
        <f>COUNTIF(Sheet3_試験ケース!$H:$H,"*"&amp;$A11&amp;"*")</f>
        <v/>
      </c>
      <c r="L11" s="32" t="inlineStr"/>
      <c r="M11" s="33">
        <f>IF(K11=0,"試験項目なし","あり")</f>
        <v/>
      </c>
    </row>
    <row r="12" ht="45" customHeight="1">
      <c r="A12" s="11" t="inlineStr">
        <is>
          <t>A-11</t>
        </is>
      </c>
      <c r="B12" s="13" t="inlineStr">
        <is>
          <t>赤枠</t>
        </is>
      </c>
      <c r="C12" s="11" t="inlineStr">
        <is>
          <t>L&amp;Fで使用するCIF情報ファイルのファイル記号O～Tを、各業務のファイル属性として設定する</t>
        </is>
      </c>
      <c r="D12" s="11" t="inlineStr">
        <is>
          <t>ヒアリングシート2部 4-1-4</t>
        </is>
      </c>
      <c r="E12" s="11" t="inlineStr">
        <is>
          <t>O：LF-LOANS+
P：LF-OLION
Q：LF-NEON
R：LF-試着先以外
S：LF-損害金
T：LF-DM送付先一覧</t>
        </is>
      </c>
      <c r="F12" s="12" t="n"/>
      <c r="G12" s="12" t="n"/>
      <c r="H12" s="12" t="n"/>
      <c r="I12" s="27" t="inlineStr">
        <is>
          <t>×</t>
        </is>
      </c>
      <c r="J12" s="11" t="inlineStr">
        <is>
          <t>【SCL 5本（本人確認93／管理33／リスト管理25／SOAP28／バッチ73）すべて読了 した結果】
**5本すべてに該当する試験項目が無い。**
ファイル記号O〜T のファイル属性（O：LF-LOANS+ 等）は
画面表示や処理分岐に影響するため、試験できるはず。
→ **落とし込み漏れの可能性が高い。**</t>
        </is>
      </c>
      <c r="K12" s="31">
        <f>COUNTIF(Sheet3_試験ケース!$H:$H,"*"&amp;$A12&amp;"*")</f>
        <v/>
      </c>
      <c r="L12" s="32" t="inlineStr"/>
      <c r="M12" s="33">
        <f>IF(K12=0,"試験項目なし","あり")</f>
        <v/>
      </c>
    </row>
    <row r="13" ht="45" customHeight="1">
      <c r="A13" s="11" t="inlineStr">
        <is>
          <t>A-12</t>
        </is>
      </c>
      <c r="B13" s="13" t="inlineStr">
        <is>
          <t>赤枠</t>
        </is>
      </c>
      <c r="C13" s="11" t="inlineStr">
        <is>
          <t>本人確認等で使用するID情報の表示文字列および表示順は既存設定を使用し、L&amp;Fでの追加設定は行わない</t>
        </is>
      </c>
      <c r="D13" s="11" t="inlineStr">
        <is>
          <t>ヒアリングシート2部 4-1-4</t>
        </is>
      </c>
      <c r="E13" s="13" t="inlineStr">
        <is>
          <t>L&amp;Fでの追加設定はなし</t>
        </is>
      </c>
      <c r="F13" s="12" t="n"/>
      <c r="G13" s="12" t="n"/>
      <c r="H13" s="12" t="n"/>
      <c r="I13" s="27" t="inlineStr">
        <is>
          <t>×</t>
        </is>
      </c>
      <c r="J13" s="13" t="inlineStr">
        <is>
          <t>【SCL 5本（本人確認93／管理33／リスト管理25／SOAP28／バッチ73）すべて読了 した結果】
★**最も確度が高い落とし込み漏れ。**
SCL#1 は検証ポイントが「**本人確認**」そのもので93ケースあるが、
ID情報の表示文字列・表示順を確認する試験項目が無い。
本来ここにあるべき項目。
※ケース40・58 は『補助コメント』であって『ID情報』ではない。混同注意。</t>
        </is>
      </c>
      <c r="K13" s="31">
        <f>COUNTIF(Sheet3_試験ケース!$H:$H,"*"&amp;$A13&amp;"*")</f>
        <v/>
      </c>
      <c r="L13" s="32" t="inlineStr"/>
      <c r="M13" s="33">
        <f>IF(K13=0,"試験項目なし","あり")</f>
        <v/>
      </c>
    </row>
    <row r="14" ht="45" customHeight="1">
      <c r="A14" s="11" t="inlineStr">
        <is>
          <t>A-13</t>
        </is>
      </c>
      <c r="B14" s="13" t="inlineStr">
        <is>
          <t>赤枠</t>
        </is>
      </c>
      <c r="C14" s="11" t="inlineStr">
        <is>
          <t>BFILE_CINFO（BファイルC情報）のリスト基本情報を設定する</t>
        </is>
      </c>
      <c r="D14" s="11" t="inlineStr">
        <is>
          <t>ヒアリングシート2部_リスト設定</t>
        </is>
      </c>
      <c r="E14" s="11" t="n"/>
      <c r="F14" s="12" t="inlineStr">
        <is>
          <t>SCL_変更機能検証_本人確認
ケース03・26・27〜35
SCL_変更機能検証_リスト管理 ケース06・07・09
SCL_変更機能検証_バッチフィルタリング ケース03・29・30〜36</t>
        </is>
      </c>
      <c r="G14" s="12" t="inlineStr">
        <is>
          <t>03 リストアップロード－L&amp;F … BファイルC情報.csv を登録
26 フィルタリング実行（有） … 該当リスト一覧に表示されること
27〜35 フィルタリング結果確認（9ケース）
  各レコードで赤字＋太字で強調される照合項目を確認
    LF00000001 名称／フリガナ／生年月日
    LF00000002 名称／生年月日
    LF00000003 名称／生年月日
    LF00000004 生年月日
    LF00000007 フリガナ／生年月日
    LF00000019 名称／フリガナ
    LF00000020 名称
    LF00000021 名称
    LF00000025 フリガナ
《SCL_変更機能検証_リスト管理》
06 更新対象リスト
  プルダウンに『BファイルC情報』が表示されること
07・09 ファイルアップロード
  更新対象リスト＝BファイルC情報／更新種別＝一括 を選び
  「BファイルC情報.csv」をアップロード
  → アップロード履歴一覧に「処理中」で追加されること
10 タスク実行（リストアップロード制御）
  → 処理状態が「取込済」になること</t>
        </is>
      </c>
      <c r="H14" s="12" t="inlineStr">
        <is>
          <t>OK（2026/9/28 実施・再鑑とも OK／11ケース）</t>
        </is>
      </c>
      <c r="I14" s="16" t="inlineStr">
        <is>
          <t>○</t>
        </is>
      </c>
      <c r="J14" s="11" t="inlineStr">
        <is>
          <t>◎ 登録・表示・照合の3段階。照合項目（名称・フリガナ・生年月日）の
組み合わせを9パターンで網羅している。
※設定値そのもの（マスタSQL・実機DB）は B 側で確認する。
【追記・SCL#3】登録のルートがより詳細に確認されている。
#1 ケース03 は画面からのアップロードのみだったが、
#3 では 更新対象リストへの登録 → 一括アップロード →
タスク実行 → 取込済 まで通しで確認している。
【追記・SCL#5】バッチ経路でも照合項目を7パターン確認（30〜36）。
★ただし ケース33（LF00000004）の強調項目が
  #1 ケース30 と食い違っている。
    #1  ~~フリガナ~~（赤字取消）／生年月日
    #5  フリガナ／生年月日
  → #1 の修正が #5 に未反映（指摘候補⑭の5点目）。</t>
        </is>
      </c>
      <c r="K14" s="31">
        <f>COUNTIF(Sheet3_試験ケース!$H:$H,"*"&amp;$A14&amp;"*")</f>
        <v/>
      </c>
      <c r="L14" s="32" t="inlineStr">
        <is>
          <t>01#03 01#26 01#27 01#28 01#29 01#30 01#31 01#32 01#33 01#34 01#35 03#06 03#07 03#09 03#10 05#03 05#30 05#31 05#32 05#33 05#34 05#35 05#36</t>
        </is>
      </c>
      <c r="M14" s="31">
        <f>IF(K14=0,"試験項目なし","あり")</f>
        <v/>
      </c>
    </row>
    <row r="15" ht="45" customHeight="1">
      <c r="A15" s="11" t="inlineStr">
        <is>
          <t>A-14</t>
        </is>
      </c>
      <c r="B15" s="13" t="inlineStr">
        <is>
          <t>赤枠</t>
        </is>
      </c>
      <c r="C15" s="11" t="inlineStr">
        <is>
          <t>L&amp;F管理者（リスク管理部）の権限を設定する</t>
        </is>
      </c>
      <c r="D15" s="11" t="inlineStr">
        <is>
          <t>ヒアリングシート2部_プロファイル設定</t>
        </is>
      </c>
      <c r="E15" s="11" t="n"/>
      <c r="F15" s="12" t="inlineStr">
        <is>
          <t>SCL_変更機能検証_本人確認 ケース23・55・78（メニュー）
  ケース81・85・91（権限差分）
SCL_変更機能検証_管理 ケース02（管理メニュー）・07（プロファイル一覧）
SCL_変更機能検証_リスト管理 ケース02・21・24
SCL_変更機能検証_SOAP ケース21・24・27
SCL_変更機能検証_バッチフィルタリング ケース25</t>
        </is>
      </c>
      <c r="G15" s="12" t="inlineStr">
        <is>
          <t>23 メニュー確認／LF_ADMIN_RISK  ★主たる確認
  左メニュー「本人確認」配下に下記が表示されていること
    ・本人確認
    ・本人確認仕掛照会
    ・判定履歴照会
47 判定履歴照会 … 実際に遷移でき、一覧画面が表示されること
22 ログイン／03 リスト登録 … 同ユーザで操作できること
《SCL_変更機能検証_管理》
02 メニュー確認（LF_ADMIN_RISK）
  「管理」に パスワード変更／ユーザ管理／操作ログ照会 が表示されること
07 プロファイル
  プルダウンに10種（既存7＋L&amp;F3）が表示されること
25 メニュー確認（LF_ADMIN_RISK_EXC）
  「管理」に **パスワード変更のみ** が表示されること
30 メニュー確認（LF_PIC）
  「管理」に **パスワード変更のみ** が表示されること
《SCL_変更機能検証_リスト管理》
02 メニュー確認（LF_ADMIN_RISK）
  「リスト管理」に 登録済リスト参照／リストアップロード／
  ホワイトリスト登録 が表示されること
21 メニュー確認（LF_ADMIN_RISK_EXC）
  「リスト管理」が表示されていないこと（要文言確認）
24 メニュー確認（LF_PIC）
  「リスト管理」が表示されていないこと</t>
        </is>
      </c>
      <c r="H15" s="12" t="inlineStr">
        <is>
          <t>OK（2026/9/28 実施・再鑑とも OK）</t>
        </is>
      </c>
      <c r="I15" s="16" t="inlineStr">
        <is>
          <t>○</t>
        </is>
      </c>
      <c r="J15" s="11" t="inlineStr">
        <is>
          <t>◎ 権限＝利用できるメニューを列挙して確認し、
さらに各メニューに実際に遷移できることまで確認している。
SCL上も「L&amp;F社様新規プロファイル：L&amp;F管理者（リスク管理部）」として
章立てされている。
※残課題：ケース02 の指摘で、警察庁（個人）のアップロード実施者が
  「リスク管理部門（役席）」ではなく「L&amp;F管理者（リスク管理）」だった件。
  権限の割り当て自体は B 側で要確認。
【追記】ケース55 で LF_ADMIN_RISK_EXC（リスク管理部以外）も確認。
★ただし想定結果は「**『本人確認』に**下記が表示されていること」であり、
  本人確認グループの3メニューしか見ていない。
  LF_ADMIN_RISK はケース03 でリスト管理も使っているが、
  リスト管理など他グループのメニューがプロファイルごとに
  どう違うかは試験項目に落ちていない。
  → 権限の差分確認が漏れている可能性。阿部さんに確認する。
【追記・93ケース読了】所見を一部訂正。
○ 管理者 ⇔ 担当者 の差分は検証されている（ケース81・85・91）
   ・リスト情報が表示されないこと（ヒット箇所が不明なこと）
   ・判定ボタンが表示されないこと
   ・ボタン名が「判定」→「判定表示」になること
   → メニューではなく画面要素で権限差分を見ている。
★ ただし『リスク管理部』と『リスク管理部以外』の差分は未検証。
  ケース22〜51 と 54〜76 は想定結果がまったく同じ。
  リストアップロードは LF_ADMIN_RISK（ケース03）だけが実施しており、
  LF_ADMIN_RISK_EXC で「できないこと」を確認する項目が無い。
  → 差があるなら漏れ、差が無いなら分ける理由が不明。要確認。
★ ヒアリングは A-14『L&amp;F管理者（リスク管理部）の権限』の1件のみだが、
  SCL は L&amp;Fプロファイルを3種類検証している。
  ヒアリングシートに他プロファイルの項目が無いか要確認
  （Sheet1 の A-15〜A-20 が空欄のため）。
【追記・SCL#2（管理）】
○ ケース02 … 「管理」メニュー（パスワード変更／ユーザ管理／
   操作ログ照会）が表示されることを確認。
   → SCL#1 の所見『メニュー確認が本人確認グループのみ』は、
     管理グループがこの SCL にあったため**一部解消**。
◎ ケース07 … プロファイルのプルダウンに10種が列挙され、
   L&amp;Fの3種が明記されている。
     L&amp;F管理者（リスク管理部）
     L&amp;F管理者（リスク管理部以外）
     L&amp;F担当者
★ ただし『リスク管理部』と『リスク管理部以外』を選んだ時に
  何が変わるかは、SCL#1・#2 とも未検証のまま。
★ ヒアリング（A-14）は「L&amp;F管理者（リスク管理部）」の1件のみ。
  ヒアリングシート2部_プロファイル設定 に3種とも
  書かれていないか要確認（Sheet1 への拾い漏れの可能性）。
【追記・SCL#2 読了】★指摘候補②は解消。
プロファイル別の「管理」メニュー
                      ﾊﾟｽﾜｰﾄﾞ変更 ﾕｰｻﾞ管理 操作ﾛｸﾞ照会
  リスク管理部            ○        ○        ○
  リスク管理部以外        ○        ×        ×
  担当者                  ○        ×        ×
→ 権限差分は本人確認ではなく**管理メニュー側**に出る設計だった。
  SCL#1 だけ見て「差分が未検証」と判断したのは誤りだった。
L&amp;F 3プロファイルの整理
                    本人確認 判定 ﾘｽﾄ情報 ﾕｰｻﾞ管理 操作ﾛｸﾞ
  管理者(ﾘｽｸ管理部)    ○     ○    ○       ○       ○
  管理者(それ以外)      ○     ○    ○       ×       ×
  担当者                ○     ×    ×       ×       ×
【追記・SCL#3（リスト管理）】
LF_ADMIN_RISK の「リスト管理」メニュー3つを確認（ケース02）。
→ メニュー確認は 本人確認（#1）／管理（#2）／リスト管理（#3）の
  3グループすべてで行われている。
★ ただし #3 で LF_ADMIN_RISK_EXC・LF_PIC の
  リスト管理メニューを確認しているかは未確認（続きのケース待ち）。
  ここが分かると権限マトリクスが完成する。
【追記・SCL#3 読了】★権限マトリクスが完成した。
メニューグループ別
                        本人確認  管理      リスト管理
  管理者(ﾘｽｸ管理部)       ○      ○(3つ)    ○(3つ)
  管理者(それ以外)         ○      △(1つ)    ×
  担当者                   ○      △(1つ)    ×
    管理△＝パスワード変更のみ／○＝ＰＷ変更・ユーザ管理・操作ログ照会
機能レベル
                    本人確認 判定 ﾘｽﾄ情報 ﾘｽﾄ管理 ﾕｰｻﾞ管理 操作ﾛｸﾞ
  管理者(ﾘｽｸ管理部)    ○     ○    ○      ○      ○      ○
  管理者(それ以外)      ○     ○    ○      ×      ×      ×
  担当者                ○     ×    ×      ×      ×      ×
★ SCL#1 で指摘した『EXC がリスト登録できないことの確認が無い』は、
  SCL#3 ケース21 で確認されていた。→ 解消。
※ ケース21 の文言は画面右端で切れていたため実ファイルで要確認
  （ケース構成が ログイン→メニュー確認→ログアウト の3つだけなので
   「表示されていないこと」とほぼ断定できる）。
【追記・SCL#4】メニューグループが4つそろった。
                      本人確認 管理    ﾘｽﾄ管理 ﾘｱﾙﾌｨﾙﾀﾘﾝｸﾞ
  管理者(ﾘｽｸ管理部)     ○     ○(3)   ○(3)    ×
  管理者(それ以外)       ○     △(1)   ×       ×
  担当者                 ○     △(1)   ×       ×
    管理△＝パスワード変更のみ
→ L&amp;F は リアルフィルタリング（SOAP連携）を一切使わない。
【追記・SCL#5】5つ目のメニューグループ「バッチフィルタリング」。
  未判定照会／判定済照会／ファイル処理状況照会／検索対象者一覧アップロード
★ケース46 で「バッチフィルタリング－判定履歴照会」を使っているが、
  ケース25 のメニュー一覧（4つ）に入っていない。記載漏れの可能性。
【追記・SCL#5 読了】メニューグループが5つそろった。
                  本人確認 管理   ﾘｽﾄ管理 ﾘｱﾙﾌｨﾙﾀ ﾊﾞｯﾁﾌｨﾙﾀ
  管理者(ﾘｽｸ管理部) ○     ○(3)  ○(3)   ×      ○(4)
  管理者(それ以外)   ○     △(1)  ×      ×      ○(4)
  担当者             ○     △(1)  ×      ×      ×
★ バッチフィルタリングだけ「リスク管理部以外」も全機能使える。
  機能ごとに権限設計が違う。意図どおりか確認する価値あり。</t>
        </is>
      </c>
      <c r="K15" s="31">
        <f>COUNTIF(Sheet3_試験ケース!$H:$H,"*"&amp;$A15&amp;"*")</f>
        <v/>
      </c>
      <c r="L15" s="32" t="inlineStr">
        <is>
          <t>01#22 01#23 01#54 01#55 01#77 01#78 01#81 01#85 01#86 01#91 01#92 02#07 03#02 03#21 03#24 05#25 05#53 05#72</t>
        </is>
      </c>
      <c r="M15" s="31">
        <f>IF(K15=0,"試験項目なし","あり")</f>
        <v/>
      </c>
    </row>
    <row r="16" ht="45" customHeight="1">
      <c r="A16" s="11" t="inlineStr">
        <is>
          <t>A-15</t>
        </is>
      </c>
      <c r="B16" s="11" t="inlineStr">
        <is>
          <t>赤枠</t>
        </is>
      </c>
      <c r="C16" s="23" t="inlineStr">
        <is>
          <t>L&amp;Fの部店コードを LF001〜LF025 の25部店で設定する</t>
        </is>
      </c>
      <c r="D16" s="11" t="inlineStr">
        <is>
          <t>ヒアリングシート_部店コード</t>
        </is>
      </c>
      <c r="E16" s="11" t="inlineStr">
        <is>
          <t>2026/04/07追加、2026/05/11 L&amp;F様部店。
期限：部店数・部店コードは6/19まで、部店名の変更は7/1まで可能。
マスタ定義：5_部店マスタ／25_部店フィルタリング設定／26_CIFファイルフィルタリング設定</t>
        </is>
      </c>
      <c r="F16" s="12" t="inlineStr">
        <is>
          <t>SCL_変更機能検証_管理
ケース06</t>
        </is>
      </c>
      <c r="G16" s="12" t="inlineStr">
        <is>
          <t>06 所属部店名／LF_ADMIN_RISK
ユーザ管理画面の「所属部店名」プルダウンを表示する。
想定結果：下記L&amp;F部店を含んだリストが表示されること
  一括照合用／監査部／経営企画部／業務改革室／人財部
  リスク管理部／財務経理部／ITソリューション部
  営業戦略部／営業推進部／与信企画室
  融資第一部／融資第二部／債権管理部
  本店営業第一部／本店営業第二部／本店営業第四部
  新宿支店／池袋支店／横浜支店／大阪支店／名古屋支店
  仙台支店／福岡支店／広島営業部</t>
        </is>
      </c>
      <c r="H16" s="12" t="inlineStr">
        <is>
          <t>（実施結果はSCL#2のヘッダ未確認）</t>
        </is>
      </c>
      <c r="I16" s="16" t="inlineStr">
        <is>
          <t>○</t>
        </is>
      </c>
      <c r="J16" s="11" t="inlineStr">
        <is>
          <t>◎ ヒアリングシート_部店コード の LF001〜LF025（25件）と
  名称・順番とも完全一致。落とし込みができている。
【新規に識別したヒアリング項目】
A-01〜A-14 に入っていなかったため追加した項目。
マスタ定義：5_部店マスタ／25_部店フィルタリング設定／
            26_CIFファイルフィルタリング設定
※SCL#2 の実施件数（OK/NG/−）が未確認のため、結果欄は保留。</t>
        </is>
      </c>
      <c r="K16" s="31">
        <f>COUNTIF(Sheet3_試験ケース!$H:$H,"*"&amp;$A16&amp;"*")</f>
        <v/>
      </c>
      <c r="L16" s="32" t="inlineStr">
        <is>
          <t>02#06</t>
        </is>
      </c>
      <c r="M16" s="31">
        <f>IF(K16=0,"試験項目なし","あり")</f>
        <v/>
      </c>
    </row>
    <row r="17">
      <c r="A17" s="11" t="inlineStr">
        <is>
          <t>A-16</t>
        </is>
      </c>
      <c r="B17" s="11" t="n"/>
      <c r="C17" s="11" t="n"/>
      <c r="D17" s="11" t="n"/>
      <c r="E17" s="11" t="n"/>
      <c r="F17" s="12" t="n"/>
      <c r="G17" s="12" t="n"/>
      <c r="H17" s="12" t="n"/>
      <c r="I17" s="18" t="n"/>
      <c r="J17" s="11" t="n"/>
    </row>
    <row r="18">
      <c r="A18" s="11" t="inlineStr">
        <is>
          <t>A-17</t>
        </is>
      </c>
      <c r="B18" s="11" t="n"/>
      <c r="C18" s="11" t="n"/>
      <c r="D18" s="11" t="n"/>
      <c r="E18" s="11" t="n"/>
      <c r="F18" s="12" t="n"/>
      <c r="G18" s="12" t="n"/>
      <c r="H18" s="12" t="n"/>
      <c r="I18" s="18" t="n"/>
      <c r="J18" s="11" t="n"/>
    </row>
    <row r="19">
      <c r="A19" s="11" t="inlineStr">
        <is>
          <t>A-18</t>
        </is>
      </c>
      <c r="B19" s="11" t="n"/>
      <c r="C19" s="11" t="n"/>
      <c r="D19" s="11" t="n"/>
      <c r="E19" s="11" t="n"/>
      <c r="F19" s="12" t="n"/>
      <c r="G19" s="12" t="n"/>
      <c r="H19" s="12" t="n"/>
      <c r="I19" s="18" t="n"/>
      <c r="J19" s="11" t="n"/>
    </row>
    <row r="20">
      <c r="A20" s="11" t="inlineStr">
        <is>
          <t>A-19</t>
        </is>
      </c>
      <c r="B20" s="11" t="n"/>
      <c r="C20" s="11" t="n"/>
      <c r="D20" s="11" t="n"/>
      <c r="E20" s="11" t="n"/>
      <c r="F20" s="12" t="n"/>
      <c r="G20" s="12" t="n"/>
      <c r="H20" s="12" t="n"/>
      <c r="I20" s="18" t="n"/>
      <c r="J20" s="11" t="n"/>
    </row>
    <row r="21">
      <c r="A21" s="11" t="inlineStr">
        <is>
          <t>A-20</t>
        </is>
      </c>
      <c r="B21" s="11" t="n"/>
      <c r="C21" s="11" t="n"/>
      <c r="D21" s="11" t="n"/>
      <c r="E21" s="11" t="n"/>
      <c r="F21" s="12" t="n"/>
      <c r="G21" s="12" t="n"/>
      <c r="H21" s="12" t="n"/>
      <c r="I21" s="18" t="n"/>
      <c r="J21" s="11" t="n"/>
    </row>
    <row r="22">
      <c r="A22" s="11" t="n"/>
      <c r="B22" s="11" t="n"/>
      <c r="C22" s="11" t="n"/>
      <c r="D22" s="11" t="n"/>
      <c r="E22" s="11" t="n"/>
      <c r="F22" s="12" t="n"/>
      <c r="G22" s="12" t="n"/>
      <c r="H22" s="12" t="n"/>
      <c r="I22" s="18" t="n"/>
      <c r="J22" s="11" t="n"/>
    </row>
    <row r="23">
      <c r="A23" s="11" t="n"/>
      <c r="B23" s="11" t="n"/>
      <c r="C23" s="11" t="n"/>
      <c r="D23" s="11" t="n"/>
      <c r="E23" s="11" t="n"/>
      <c r="F23" s="12" t="n"/>
      <c r="G23" s="12" t="n"/>
      <c r="H23" s="12" t="n"/>
      <c r="I23" s="18" t="n"/>
      <c r="J23" s="11" t="n"/>
    </row>
    <row r="24">
      <c r="A24" s="11" t="n"/>
      <c r="B24" s="11" t="n"/>
      <c r="C24" s="11" t="n"/>
      <c r="D24" s="11" t="n"/>
      <c r="E24" s="11" t="n"/>
      <c r="F24" s="12" t="n"/>
      <c r="G24" s="12" t="n"/>
      <c r="H24" s="12" t="n"/>
      <c r="I24" s="18" t="n"/>
      <c r="J24" s="11" t="n"/>
    </row>
    <row r="25">
      <c r="A25" s="11" t="n"/>
      <c r="B25" s="11" t="n"/>
      <c r="C25" s="11" t="n"/>
      <c r="D25" s="11" t="n"/>
      <c r="E25" s="11" t="n"/>
      <c r="F25" s="12" t="n"/>
      <c r="G25" s="12" t="n"/>
      <c r="H25" s="12" t="n"/>
      <c r="I25" s="18" t="n"/>
      <c r="J25" s="11" t="n"/>
    </row>
    <row r="26">
      <c r="A26" s="11" t="n"/>
      <c r="B26" s="11" t="n"/>
      <c r="C26" s="11" t="n"/>
      <c r="D26" s="11" t="n"/>
      <c r="E26" s="11" t="n"/>
      <c r="F26" s="12" t="n"/>
      <c r="G26" s="12" t="n"/>
      <c r="H26" s="12" t="n"/>
      <c r="I26" s="18" t="n"/>
      <c r="J26" s="11" t="n"/>
    </row>
    <row r="27">
      <c r="A27" s="11" t="n"/>
      <c r="B27" s="11" t="n"/>
      <c r="C27" s="11" t="n"/>
      <c r="D27" s="11" t="n"/>
      <c r="E27" s="11" t="n"/>
      <c r="F27" s="12" t="n"/>
      <c r="G27" s="12" t="n"/>
      <c r="H27" s="12" t="n"/>
      <c r="I27" s="18" t="n"/>
      <c r="J27" s="11" t="n"/>
    </row>
    <row r="28">
      <c r="A28" s="11" t="n"/>
      <c r="B28" s="11" t="n"/>
      <c r="C28" s="11" t="n"/>
      <c r="D28" s="11" t="n"/>
      <c r="E28" s="11" t="n"/>
      <c r="F28" s="12" t="n"/>
      <c r="G28" s="12" t="n"/>
      <c r="H28" s="12" t="n"/>
      <c r="I28" s="18" t="n"/>
      <c r="J28" s="11" t="n"/>
    </row>
    <row r="29">
      <c r="A29" s="11" t="n"/>
      <c r="B29" s="11" t="n"/>
      <c r="C29" s="11" t="n"/>
      <c r="D29" s="11" t="n"/>
      <c r="E29" s="11" t="n"/>
      <c r="F29" s="12" t="n"/>
      <c r="G29" s="12" t="n"/>
      <c r="H29" s="12" t="n"/>
      <c r="I29" s="18" t="n"/>
      <c r="J29" s="11" t="n"/>
    </row>
    <row r="30">
      <c r="A30" s="11" t="n"/>
      <c r="B30" s="11" t="n"/>
      <c r="C30" s="11" t="n"/>
      <c r="D30" s="11" t="n"/>
      <c r="E30" s="11" t="n"/>
      <c r="F30" s="12" t="n"/>
      <c r="G30" s="12" t="n"/>
      <c r="H30" s="12" t="n"/>
      <c r="I30" s="18" t="n"/>
      <c r="J30" s="11" t="n"/>
    </row>
    <row r="31">
      <c r="A31" s="11" t="n"/>
      <c r="B31" s="11" t="n"/>
      <c r="C31" s="11" t="n"/>
      <c r="D31" s="11" t="n"/>
      <c r="E31" s="11" t="n"/>
      <c r="F31" s="12" t="n"/>
      <c r="G31" s="12" t="n"/>
      <c r="H31" s="12" t="n"/>
      <c r="I31" s="18" t="n"/>
      <c r="J31" s="11" t="n"/>
    </row>
    <row r="32">
      <c r="A32" s="11" t="n"/>
      <c r="B32" s="11" t="n"/>
      <c r="C32" s="11" t="n"/>
      <c r="D32" s="11" t="n"/>
      <c r="E32" s="11" t="n"/>
      <c r="F32" s="12" t="n"/>
      <c r="G32" s="12" t="n"/>
      <c r="H32" s="12" t="n"/>
      <c r="I32" s="18" t="n"/>
      <c r="J32" s="11" t="n"/>
    </row>
    <row r="33">
      <c r="A33" s="11" t="n"/>
      <c r="B33" s="11" t="n"/>
      <c r="C33" s="11" t="n"/>
      <c r="D33" s="11" t="n"/>
      <c r="E33" s="11" t="n"/>
      <c r="F33" s="12" t="n"/>
      <c r="G33" s="12" t="n"/>
      <c r="H33" s="12" t="n"/>
      <c r="I33" s="18" t="n"/>
      <c r="J33" s="11" t="n"/>
    </row>
    <row r="34">
      <c r="A34" s="11" t="n"/>
      <c r="B34" s="11" t="n"/>
      <c r="C34" s="11" t="n"/>
      <c r="D34" s="11" t="n"/>
      <c r="E34" s="11" t="n"/>
      <c r="F34" s="12" t="n"/>
      <c r="G34" s="12" t="n"/>
      <c r="H34" s="12" t="n"/>
      <c r="I34" s="18" t="n"/>
      <c r="J34" s="11" t="n"/>
    </row>
    <row r="35">
      <c r="A35" s="11" t="n"/>
      <c r="B35" s="11" t="n"/>
      <c r="C35" s="11" t="n"/>
      <c r="D35" s="11" t="n"/>
      <c r="E35" s="11" t="n"/>
      <c r="F35" s="12" t="n"/>
      <c r="G35" s="12" t="n"/>
      <c r="H35" s="12" t="n"/>
      <c r="I35" s="18" t="n"/>
      <c r="J35" s="11" t="n"/>
    </row>
    <row r="36">
      <c r="A36" s="11" t="n"/>
      <c r="B36" s="11" t="n"/>
      <c r="C36" s="11" t="n"/>
      <c r="D36" s="11" t="n"/>
      <c r="E36" s="11" t="n"/>
      <c r="F36" s="12" t="n"/>
      <c r="G36" s="12" t="n"/>
      <c r="H36" s="12" t="n"/>
      <c r="I36" s="18" t="n"/>
      <c r="J36" s="11" t="n"/>
    </row>
    <row r="37">
      <c r="A37" s="11" t="n"/>
      <c r="B37" s="11" t="n"/>
      <c r="C37" s="11" t="n"/>
      <c r="D37" s="11" t="n"/>
      <c r="E37" s="11" t="n"/>
      <c r="F37" s="12" t="n"/>
      <c r="G37" s="12" t="n"/>
      <c r="H37" s="12" t="n"/>
      <c r="I37" s="18" t="n"/>
      <c r="J37" s="11" t="n"/>
    </row>
    <row r="38">
      <c r="A38" s="11" t="n"/>
      <c r="B38" s="11" t="n"/>
      <c r="C38" s="11" t="n"/>
      <c r="D38" s="11" t="n"/>
      <c r="E38" s="11" t="n"/>
      <c r="F38" s="12" t="n"/>
      <c r="G38" s="12" t="n"/>
      <c r="H38" s="12" t="n"/>
      <c r="I38" s="18" t="n"/>
      <c r="J38" s="11" t="n"/>
    </row>
    <row r="39">
      <c r="A39" s="11" t="n"/>
      <c r="B39" s="11" t="n"/>
      <c r="C39" s="11" t="n"/>
      <c r="D39" s="11" t="n"/>
      <c r="E39" s="11" t="n"/>
      <c r="F39" s="12" t="n"/>
      <c r="G39" s="12" t="n"/>
      <c r="H39" s="12" t="n"/>
      <c r="I39" s="18" t="n"/>
      <c r="J39" s="11" t="n"/>
    </row>
    <row r="40">
      <c r="A40" s="11" t="n"/>
      <c r="B40" s="11" t="n"/>
      <c r="C40" s="11" t="n"/>
      <c r="D40" s="11" t="n"/>
      <c r="E40" s="11" t="n"/>
      <c r="F40" s="12" t="n"/>
      <c r="G40" s="12" t="n"/>
      <c r="H40" s="12" t="n"/>
      <c r="I40" s="18" t="n"/>
      <c r="J40" s="11" t="n"/>
    </row>
    <row r="41">
      <c r="A41" s="11" t="n"/>
      <c r="B41" s="11" t="n"/>
      <c r="C41" s="11" t="n"/>
      <c r="D41" s="11" t="n"/>
      <c r="E41" s="11" t="n"/>
      <c r="F41" s="12" t="n"/>
      <c r="G41" s="12" t="n"/>
      <c r="H41" s="12" t="n"/>
      <c r="I41" s="18" t="n"/>
      <c r="J41" s="11" t="n"/>
    </row>
    <row r="42">
      <c r="A42" s="11" t="n"/>
      <c r="B42" s="11" t="n"/>
      <c r="C42" s="11" t="n"/>
      <c r="D42" s="11" t="n"/>
      <c r="E42" s="11" t="n"/>
      <c r="F42" s="12" t="n"/>
      <c r="G42" s="12" t="n"/>
      <c r="H42" s="12" t="n"/>
      <c r="I42" s="18" t="n"/>
      <c r="J42" s="11" t="n"/>
    </row>
    <row r="43">
      <c r="A43" s="11" t="n"/>
      <c r="B43" s="11" t="n"/>
      <c r="C43" s="11" t="n"/>
      <c r="D43" s="11" t="n"/>
      <c r="E43" s="11" t="n"/>
      <c r="F43" s="12" t="n"/>
      <c r="G43" s="12" t="n"/>
      <c r="H43" s="12" t="n"/>
      <c r="I43" s="18" t="n"/>
      <c r="J43" s="11" t="n"/>
    </row>
    <row r="44">
      <c r="A44" s="11" t="n"/>
      <c r="B44" s="11" t="n"/>
      <c r="C44" s="11" t="n"/>
      <c r="D44" s="11" t="n"/>
      <c r="E44" s="11" t="n"/>
      <c r="F44" s="12" t="n"/>
      <c r="G44" s="12" t="n"/>
      <c r="H44" s="12" t="n"/>
      <c r="I44" s="18" t="n"/>
      <c r="J44" s="11" t="n"/>
    </row>
    <row r="45">
      <c r="A45" s="11" t="n"/>
      <c r="B45" s="11" t="n"/>
      <c r="C45" s="11" t="n"/>
      <c r="D45" s="11" t="n"/>
      <c r="E45" s="11" t="n"/>
      <c r="F45" s="12" t="n"/>
      <c r="G45" s="12" t="n"/>
      <c r="H45" s="12" t="n"/>
      <c r="I45" s="18" t="n"/>
      <c r="J45" s="11" t="n"/>
    </row>
  </sheetData>
  <autoFilter ref="A1:J45"/>
  <dataValidations count="1">
    <dataValidation sqref="I2:I45"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xSplit="3" ySplit="1" topLeftCell="D2" activePane="bottomRight" state="frozen"/>
      <selection pane="topRight" activeCell="A1" sqref="A1"/>
      <selection pane="bottomLeft" activeCell="A1" sqref="A1"/>
      <selection pane="bottomRight" activeCell="C4" sqref="C4"/>
    </sheetView>
  </sheetViews>
  <sheetFormatPr baseColWidth="8" defaultRowHeight="13.5"/>
  <cols>
    <col width="8" customWidth="1" min="1" max="9"/>
    <col width="12" customWidth="1" min="2" max="2"/>
    <col width="46" customWidth="1" min="3" max="3"/>
    <col width="24" customWidth="1" min="4" max="4"/>
    <col width="24" customWidth="1" min="5" max="5"/>
    <col width="24" customWidth="1" min="6" max="6"/>
    <col width="24" customWidth="1" min="7" max="7"/>
    <col width="12" customWidth="1" min="8" max="8"/>
    <col width="34" customWidth="1" min="9" max="9"/>
  </cols>
  <sheetData>
    <row r="1" ht="15" customHeight="1">
      <c r="A1" s="8" t="inlineStr">
        <is>
          <t>No</t>
        </is>
      </c>
      <c r="B1" s="8" t="inlineStr">
        <is>
          <t>区分(赤枠/青枠)</t>
        </is>
      </c>
      <c r="C1" s="8" t="inlineStr">
        <is>
          <t>ヒアリング内容</t>
        </is>
      </c>
      <c r="D1" s="8" t="inlineStr">
        <is>
          <t>設計書該当箇所</t>
        </is>
      </c>
      <c r="E1" s="8" t="inlineStr">
        <is>
          <t>マスタSQL</t>
        </is>
      </c>
      <c r="F1" s="8" t="inlineStr">
        <is>
          <t>設定ファイル</t>
        </is>
      </c>
      <c r="G1" s="8" t="inlineStr">
        <is>
          <t>実機DB確認</t>
        </is>
      </c>
      <c r="H1" s="8" t="inlineStr">
        <is>
          <t>判定(○/△/×)</t>
        </is>
      </c>
      <c r="I1" s="8" t="inlineStr">
        <is>
          <t>備考</t>
        </is>
      </c>
    </row>
    <row r="2">
      <c r="A2" s="11" t="inlineStr">
        <is>
          <t>B-01</t>
        </is>
      </c>
      <c r="B2" s="11" t="inlineStr">
        <is>
          <t>赤枠</t>
        </is>
      </c>
      <c r="C2" s="11" t="inlineStr">
        <is>
          <t>横浜サーバへの2ファイルは別々に送信し、HULFT-IDをシステム毎に設定する</t>
        </is>
      </c>
      <c r="D2" s="12" t="n"/>
      <c r="E2" s="12" t="n"/>
      <c r="F2" s="12" t="n"/>
      <c r="G2" s="12" t="n"/>
      <c r="H2" s="12" t="n"/>
      <c r="I2" s="11" t="inlineStr">
        <is>
          <t>A-01 と対応（ヒアリングシート1部 4-1）</t>
        </is>
      </c>
    </row>
    <row r="3">
      <c r="A3" s="11" t="inlineStr">
        <is>
          <t>B-02</t>
        </is>
      </c>
      <c r="B3" s="11" t="inlineStr">
        <is>
          <t>赤枠</t>
        </is>
      </c>
      <c r="C3" s="11" t="inlineStr">
        <is>
          <t>U2KJX001（顧客開設・変更情報）の配信周期を「四半期」、連携時刻を「12:30:00」とする</t>
        </is>
      </c>
      <c r="D3" s="12" t="n"/>
      <c r="E3" s="12" t="n"/>
      <c r="F3" s="12" t="n"/>
      <c r="G3" s="12" t="n"/>
      <c r="H3" s="12" t="n"/>
      <c r="I3" s="11" t="inlineStr">
        <is>
          <t>A-02 と対応（ヒアリングシート1部 4-1）</t>
        </is>
      </c>
    </row>
    <row r="4">
      <c r="A4" s="11" t="inlineStr">
        <is>
          <t>B-03</t>
        </is>
      </c>
      <c r="B4" s="11" t="inlineStr">
        <is>
          <t>赤枠</t>
        </is>
      </c>
      <c r="C4" s="11" t="inlineStr">
        <is>
          <t>U2KJX002（顧客開設・変更情報）の配信周期を「四半期」、連携時刻を「12:30:00」とする</t>
        </is>
      </c>
      <c r="D4" s="12" t="n"/>
      <c r="E4" s="12" t="n"/>
      <c r="F4" s="12" t="n"/>
      <c r="G4" s="12" t="n"/>
      <c r="H4" s="12" t="n"/>
      <c r="I4" s="11" t="inlineStr">
        <is>
          <t>A-03 と対応（ヒアリングシート1部 4-1）</t>
        </is>
      </c>
    </row>
    <row r="5">
      <c r="A5" s="11" t="inlineStr">
        <is>
          <t>B-04</t>
        </is>
      </c>
      <c r="B5" s="11" t="inlineStr">
        <is>
          <t>赤枠</t>
        </is>
      </c>
      <c r="C5" s="11" t="inlineStr">
        <is>
          <t>横浜銀行事務部では、BFILE_CINFOを除く対象リストを利用する</t>
        </is>
      </c>
      <c r="D5" s="12" t="n"/>
      <c r="E5" s="12" t="n"/>
      <c r="F5" s="12" t="n"/>
      <c r="G5" s="12" t="n"/>
      <c r="H5" s="12" t="n"/>
      <c r="I5" s="11" t="inlineStr">
        <is>
          <t>A-04 と対応（ヒアリングシート2部 3-2-3）
★確認先の候補（部店コードシートのマスタ定義より）
  5_部店マスタ／25_部店フィルタリング設定／26_CIFファイルフィルタリング設定</t>
        </is>
      </c>
    </row>
    <row r="6">
      <c r="A6" s="11" t="inlineStr">
        <is>
          <t>B-05</t>
        </is>
      </c>
      <c r="B6" s="11" t="inlineStr">
        <is>
          <t>赤枠</t>
        </is>
      </c>
      <c r="C6" s="11" t="inlineStr">
        <is>
          <t>L&amp;F横浜店では、MOF、JPI、DJ_SHIPSを除く対象リストを利用する</t>
        </is>
      </c>
      <c r="D6" s="12" t="n"/>
      <c r="E6" s="12" t="n"/>
      <c r="F6" s="12" t="n"/>
      <c r="G6" s="12" t="n"/>
      <c r="H6" s="12" t="n"/>
      <c r="I6" s="11" t="inlineStr">
        <is>
          <t>A-05 と対応（ヒアリングシート2部 3-2-3）
★確認先の候補（部店コードシートのマスタ定義より）
  5_部店マスタ／25_部店フィルタリング設定／26_CIFファイルフィルタリング設定</t>
        </is>
      </c>
    </row>
    <row r="7">
      <c r="A7" s="11" t="inlineStr">
        <is>
          <t>B-06</t>
        </is>
      </c>
      <c r="B7" s="11" t="inlineStr">
        <is>
          <t>赤枠</t>
        </is>
      </c>
      <c r="C7" s="14" t="inlineStr">
        <is>
          <t>部店ごとのフィルタリング対象リストの使い分けは行わない</t>
        </is>
      </c>
      <c r="D7" s="12" t="n"/>
      <c r="E7" s="12" t="n"/>
      <c r="F7" s="12" t="n"/>
      <c r="G7" s="12" t="n"/>
      <c r="H7" s="12" t="n"/>
      <c r="I7" s="11" t="inlineStr">
        <is>
          <t>A-06 と対応（ヒアリングシート2部 3-2-3）
★確認の向きが逆：部店別の設定が【入っていないこと】を確認する
★確認先の候補（部店コードシートのマスタ定義より）
  5_部店マスタ／25_部店フィルタリング設定／26_CIFファイルフィルタリング設定</t>
        </is>
      </c>
    </row>
    <row r="8">
      <c r="A8" s="11" t="inlineStr">
        <is>
          <t>B-07</t>
        </is>
      </c>
      <c r="B8" s="11" t="inlineStr">
        <is>
          <t>赤枠</t>
        </is>
      </c>
      <c r="C8" s="11" t="inlineStr">
        <is>
          <t>判定情報のプルダウンに表示する補助コメントおよび表示順を設定する</t>
        </is>
      </c>
      <c r="D8" s="12" t="n"/>
      <c r="E8" s="12" t="n"/>
      <c r="F8" s="12" t="n"/>
      <c r="G8" s="12" t="n"/>
      <c r="H8" s="12" t="n"/>
      <c r="I8" s="11" t="inlineStr">
        <is>
          <t>A-07 と対応（ヒアリングシート2部 3-2-4）</t>
        </is>
      </c>
    </row>
    <row r="9">
      <c r="A9" s="11" t="inlineStr">
        <is>
          <t>B-08</t>
        </is>
      </c>
      <c r="B9" s="11" t="inlineStr">
        <is>
          <t>赤枠</t>
        </is>
      </c>
      <c r="C9" s="11" t="inlineStr">
        <is>
          <t>ファイル記号O～Tでは、MOF、JP、DJ_SHIPSを除く対象リストを利用する</t>
        </is>
      </c>
      <c r="D9" s="12" t="n"/>
      <c r="E9" s="12" t="n"/>
      <c r="F9" s="12" t="n"/>
      <c r="G9" s="12" t="n"/>
      <c r="H9" s="12" t="n"/>
      <c r="I9" s="11" t="inlineStr">
        <is>
          <t>A-08 と対応（ヒアリングシート2部 3-3-3）</t>
        </is>
      </c>
    </row>
    <row r="10">
      <c r="A10" s="11" t="inlineStr">
        <is>
          <t>B-09</t>
        </is>
      </c>
      <c r="B10" s="11" t="inlineStr">
        <is>
          <t>赤字変更箇所</t>
        </is>
      </c>
      <c r="C10" s="11" t="inlineStr">
        <is>
          <t>対象業務では前回判定を自動的に適用する</t>
        </is>
      </c>
      <c r="D10" s="12" t="n"/>
      <c r="E10" s="12" t="n"/>
      <c r="F10" s="12" t="n"/>
      <c r="G10" s="12" t="n"/>
      <c r="H10" s="12" t="n"/>
      <c r="I10" s="11" t="inlineStr">
        <is>
          <t>A-09 と対応（ヒアリングシート2部 3-5-5）</t>
        </is>
      </c>
    </row>
    <row r="11">
      <c r="A11" s="11" t="inlineStr">
        <is>
          <t>B-10</t>
        </is>
      </c>
      <c r="B11" s="11" t="n"/>
      <c r="C11" s="11" t="inlineStr">
        <is>
          <t>Oculus-monitorに連携するモニタリング画面表示リスト名を設定する</t>
        </is>
      </c>
      <c r="D11" s="12" t="n"/>
      <c r="E11" s="12" t="n"/>
      <c r="F11" s="12" t="n"/>
      <c r="G11" s="12" t="n"/>
      <c r="H11" s="12" t="n"/>
      <c r="I11" s="11" t="inlineStr">
        <is>
          <t>A-10 と対応（ヒアリングシート2部 3-7）</t>
        </is>
      </c>
    </row>
    <row r="12">
      <c r="A12" s="11" t="inlineStr">
        <is>
          <t>B-11</t>
        </is>
      </c>
      <c r="B12" s="11" t="inlineStr">
        <is>
          <t>赤枠</t>
        </is>
      </c>
      <c r="C12" s="11" t="inlineStr">
        <is>
          <t>L&amp;Fで使用するCIF情報ファイルのファイル記号O～Tを、各業務のファイル属性として設定する</t>
        </is>
      </c>
      <c r="D12" s="12" t="n"/>
      <c r="E12" s="12" t="n"/>
      <c r="F12" s="12" t="n"/>
      <c r="G12" s="12" t="n"/>
      <c r="H12" s="12" t="n"/>
      <c r="I12" s="11" t="inlineStr">
        <is>
          <t>A-11 と対応（ヒアリングシート2部 4-1-4）</t>
        </is>
      </c>
    </row>
    <row r="13">
      <c r="A13" s="11" t="inlineStr">
        <is>
          <t>B-12</t>
        </is>
      </c>
      <c r="B13" s="11" t="inlineStr">
        <is>
          <t>赤枠</t>
        </is>
      </c>
      <c r="C13" s="14" t="inlineStr">
        <is>
          <t>本人確認等で使用するID情報の表示文字列および表示順は既存設定を使用し、L&amp;Fでの追加設定は行わない</t>
        </is>
      </c>
      <c r="D13" s="12" t="n"/>
      <c r="E13" s="12" t="n"/>
      <c r="F13" s="12" t="n"/>
      <c r="G13" s="12" t="n"/>
      <c r="H13" s="12" t="n"/>
      <c r="I13" s="11" t="inlineStr">
        <is>
          <t>A-12 と対応（ヒアリングシート2部 4-1-4）
★確認の向きが逆：L&amp;F用の追加設定が【されていないこと】を確認する</t>
        </is>
      </c>
    </row>
    <row r="14">
      <c r="A14" s="11" t="inlineStr">
        <is>
          <t>B-13</t>
        </is>
      </c>
      <c r="B14" s="11" t="inlineStr">
        <is>
          <t>赤枠</t>
        </is>
      </c>
      <c r="C14" s="21" t="inlineStr">
        <is>
          <t>BFILE_CINFO（BファイルC情報）のリスト基本情報を設定する</t>
        </is>
      </c>
      <c r="D14" s="12" t="n"/>
      <c r="E14" s="12" t="n"/>
      <c r="F14" s="12" t="n"/>
      <c r="G14" s="12" t="n"/>
      <c r="H14" s="12" t="n"/>
      <c r="I14" s="11" t="inlineStr">
        <is>
          <t>A-13 と対応（ヒアリングシート2部_フィルタリング設定（オンライン））
★設定の中身は B-13-01〜B-13-17 に展開した（ヒアリングシート2部_フィルタリング設定（オンライン））。
  横ぐし確認は細目の行で行う。</t>
        </is>
      </c>
    </row>
    <row r="15">
      <c r="A15" s="22" t="inlineStr">
        <is>
          <t>B-13-01</t>
        </is>
      </c>
      <c r="B15" s="22" t="inlineStr">
        <is>
          <t>リスト項目（照合設定）</t>
        </is>
      </c>
      <c r="C15" s="11" t="inlineStr">
        <is>
          <t>【BファイルC情報(BC)】フリガナ／別称（フリガナ） → 名称及び別称
LSE ／ 閾値 88</t>
        </is>
      </c>
      <c r="D15" s="12" t="n"/>
      <c r="E15" s="12" t="n"/>
      <c r="F15" s="12" t="n"/>
      <c r="G15" s="12" t="n"/>
      <c r="H15" s="12" t="n"/>
      <c r="I15" s="11" t="inlineStr">
        <is>
          <t>ヒアリングシート2部_フィルタリング設定（オンライン） より。B-13 の細目。
※コメント &lt;20260518 MDLC&gt;「L&amp;F様利用リスト『BファイルC情報』の
  設定内容を記載ください」期限 6/19 に対する回答欄。</t>
        </is>
      </c>
    </row>
    <row r="16">
      <c r="A16" s="22" t="inlineStr">
        <is>
          <t>B-13-02</t>
        </is>
      </c>
      <c r="B16" s="22" t="inlineStr">
        <is>
          <t>リスト項目（照合設定）</t>
        </is>
      </c>
      <c r="C16" s="11" t="inlineStr">
        <is>
          <t>【BファイルC情報(BC)】名称／別称（名称） → 名称及び別称
LSE ／ 閾値 88</t>
        </is>
      </c>
      <c r="D16" s="12" t="n"/>
      <c r="E16" s="12" t="n"/>
      <c r="F16" s="12" t="n"/>
      <c r="G16" s="12" t="n"/>
      <c r="H16" s="12" t="n"/>
      <c r="I16" s="11" t="inlineStr">
        <is>
          <t>ヒアリングシート2部_フィルタリング設定（オンライン） より。B-13 の細目。
※コメント &lt;20260518 MDLC&gt;「L&amp;F様利用リスト『BファイルC情報』の
  設定内容を記載ください」期限 6/19 に対する回答欄。</t>
        </is>
      </c>
    </row>
    <row r="17">
      <c r="A17" s="22" t="inlineStr">
        <is>
          <t>B-13-03</t>
        </is>
      </c>
      <c r="B17" s="22" t="inlineStr">
        <is>
          <t>リスト項目（照合設定）</t>
        </is>
      </c>
      <c r="C17" s="11" t="inlineStr">
        <is>
          <t>【BファイルC情報(BC)】英字名称／別称（英字名称） → 名称及び別称
NGE ／ 閾値 79</t>
        </is>
      </c>
      <c r="D17" s="12" t="n"/>
      <c r="E17" s="12" t="n"/>
      <c r="F17" s="12" t="n"/>
      <c r="G17" s="12" t="n"/>
      <c r="H17" s="12" t="n"/>
      <c r="I17" s="11" t="inlineStr">
        <is>
          <t>ヒアリングシート2部_フィルタリング設定（オンライン） より。B-13 の細目。
※コメント &lt;20260518 MDLC&gt;「L&amp;F様利用リスト『BファイルC情報』の
  設定内容を記載ください」期限 6/19 に対する回答欄。</t>
        </is>
      </c>
    </row>
    <row r="18">
      <c r="A18" s="22" t="inlineStr">
        <is>
          <t>B-13-04</t>
        </is>
      </c>
      <c r="B18" s="22" t="inlineStr">
        <is>
          <t>リスト項目（照合設定）</t>
        </is>
      </c>
      <c r="C18" s="11" t="inlineStr">
        <is>
          <t>【BファイルC情報(BC)】電話番号 → その他ID情報
FME ／ 閾値 100</t>
        </is>
      </c>
      <c r="D18" s="12" t="n"/>
      <c r="E18" s="12" t="n"/>
      <c r="F18" s="12" t="n"/>
      <c r="G18" s="12" t="n"/>
      <c r="H18" s="12" t="n"/>
      <c r="I18" s="11" t="inlineStr">
        <is>
          <t>ヒアリングシート2部_フィルタリング設定（オンライン） より。B-13 の細目。
※コメント &lt;20260518 MDLC&gt;「L&amp;F様利用リスト『BファイルC情報』の
  設定内容を記載ください」期限 6/19 に対する回答欄。</t>
        </is>
      </c>
    </row>
    <row r="19">
      <c r="A19" s="22" t="inlineStr">
        <is>
          <t>B-13-05</t>
        </is>
      </c>
      <c r="B19" s="22" t="inlineStr">
        <is>
          <t>リスト項目（照合設定）</t>
        </is>
      </c>
      <c r="C19" s="11" t="inlineStr">
        <is>
          <t>【BファイルC情報(BC)】ID情報／ID情報2 → ID情報
FME ／ 閾値 100</t>
        </is>
      </c>
      <c r="D19" s="12" t="n"/>
      <c r="E19" s="12" t="n"/>
      <c r="F19" s="12" t="n"/>
      <c r="G19" s="12" t="n"/>
      <c r="H19" s="12" t="n"/>
      <c r="I19" s="11" t="inlineStr">
        <is>
          <t>ヒアリングシート2部_フィルタリング設定（オンライン） より。B-13 の細目。
※コメント &lt;20260518 MDLC&gt;「L&amp;F様利用リスト『BファイルC情報』の
  設定内容を記載ください」期限 6/19 に対する回答欄。</t>
        </is>
      </c>
    </row>
    <row r="20">
      <c r="A20" s="22" t="inlineStr">
        <is>
          <t>B-13-06</t>
        </is>
      </c>
      <c r="B20" s="22" t="inlineStr">
        <is>
          <t>リスト項目（照合設定）</t>
        </is>
      </c>
      <c r="C20" s="11" t="inlineStr">
        <is>
          <t>【BファイルC情報(BC)】ID情報／ID情報2 → パスポート番号
FME ／ 閾値 100</t>
        </is>
      </c>
      <c r="D20" s="12" t="n"/>
      <c r="E20" s="12" t="n"/>
      <c r="F20" s="12" t="n"/>
      <c r="G20" s="12" t="n"/>
      <c r="H20" s="12" t="n"/>
      <c r="I20" s="11" t="inlineStr">
        <is>
          <t>ヒアリングシート2部_フィルタリング設定（オンライン） より。B-13 の細目。
※コメント &lt;20260518 MDLC&gt;「L&amp;F様利用リスト『BファイルC情報』の
  設定内容を記載ください」期限 6/19 に対する回答欄。</t>
        </is>
      </c>
    </row>
    <row r="21">
      <c r="A21" s="22" t="inlineStr">
        <is>
          <t>B-13-07</t>
        </is>
      </c>
      <c r="B21" s="22" t="inlineStr">
        <is>
          <t>リスト項目（照合設定）</t>
        </is>
      </c>
      <c r="C21" s="11" t="inlineStr">
        <is>
          <t>【BファイルC情報(BC)】ID情報／ID情報2 → その他ID情報
FME ／ 閾値 100</t>
        </is>
      </c>
      <c r="D21" s="12" t="n"/>
      <c r="E21" s="12" t="n"/>
      <c r="F21" s="12" t="n"/>
      <c r="G21" s="12" t="n"/>
      <c r="H21" s="12" t="n"/>
      <c r="I21" s="11" t="inlineStr">
        <is>
          <t>ヒアリングシート2部_フィルタリング設定（オンライン） より。B-13 の細目。
※コメント &lt;20260518 MDLC&gt;「L&amp;F様利用リスト『BファイルC情報』の
  設定内容を記載ください」期限 6/19 に対する回答欄。</t>
        </is>
      </c>
    </row>
    <row r="22">
      <c r="A22" s="22" t="inlineStr">
        <is>
          <t>B-13-08</t>
        </is>
      </c>
      <c r="B22" s="22" t="inlineStr">
        <is>
          <t>リスト項目（照合設定）</t>
        </is>
      </c>
      <c r="C22" s="11" t="inlineStr">
        <is>
          <t>【BファイルC情報(BC)】ID情報／ID情報2 → BIC
FME ／ 閾値 100</t>
        </is>
      </c>
      <c r="D22" s="12" t="n"/>
      <c r="E22" s="12" t="n"/>
      <c r="F22" s="12" t="n"/>
      <c r="G22" s="12" t="n"/>
      <c r="H22" s="12" t="n"/>
      <c r="I22" s="11" t="inlineStr">
        <is>
          <t>ヒアリングシート2部_フィルタリング設定（オンライン） より。B-13 の細目。
※コメント &lt;20260518 MDLC&gt;「L&amp;F様利用リスト『BファイルC情報』の
  設定内容を記載ください」期限 6/19 に対する回答欄。</t>
        </is>
      </c>
    </row>
    <row r="23">
      <c r="A23" s="22" t="inlineStr">
        <is>
          <t>B-13-09</t>
        </is>
      </c>
      <c r="B23" s="22" t="inlineStr">
        <is>
          <t>リスト項目（照合設定）</t>
        </is>
      </c>
      <c r="C23" s="11" t="inlineStr">
        <is>
          <t>【BファイルC情報(BC)】国内住所 → 住所・都市・国
LSE ／ 閾値 88</t>
        </is>
      </c>
      <c r="D23" s="12" t="n"/>
      <c r="E23" s="12" t="n"/>
      <c r="F23" s="12" t="n"/>
      <c r="G23" s="12" t="n"/>
      <c r="H23" s="12" t="n"/>
      <c r="I23" s="11" t="inlineStr">
        <is>
          <t>ヒアリングシート2部_フィルタリング設定（オンライン） より。B-13 の細目。
※コメント &lt;20260518 MDLC&gt;「L&amp;F様利用リスト『BファイルC情報』の
  設定内容を記載ください」期限 6/19 に対する回答欄。</t>
        </is>
      </c>
    </row>
    <row r="24">
      <c r="A24" s="22" t="inlineStr">
        <is>
          <t>B-13-10</t>
        </is>
      </c>
      <c r="B24" s="22" t="inlineStr">
        <is>
          <t>リスト項目（照合設定）</t>
        </is>
      </c>
      <c r="C24" s="11" t="inlineStr">
        <is>
          <t>【BファイルC情報(BC)】国内郵便番号
設定なし（全項目 −）</t>
        </is>
      </c>
      <c r="D24" s="12" t="n"/>
      <c r="E24" s="12" t="n"/>
      <c r="F24" s="12" t="n"/>
      <c r="G24" s="12" t="n"/>
      <c r="H24" s="12" t="n"/>
      <c r="I24" s="11" t="inlineStr">
        <is>
          <t>ヒアリングシート2部_フィルタリング設定（オンライン） より。B-13 の細目。
※コメント &lt;20260518 MDLC&gt;「L&amp;F様利用リスト『BファイルC情報』の
  設定内容を記載ください」期限 6/19 に対する回答欄。</t>
        </is>
      </c>
    </row>
    <row r="25">
      <c r="A25" s="22" t="inlineStr">
        <is>
          <t>B-13-11</t>
        </is>
      </c>
      <c r="B25" s="22" t="inlineStr">
        <is>
          <t>リスト項目（照合設定）</t>
        </is>
      </c>
      <c r="C25" s="11" t="inlineStr">
        <is>
          <t>【BファイルC情報(BC)】英文住所
設定なし（全項目 −）</t>
        </is>
      </c>
      <c r="D25" s="12" t="n"/>
      <c r="E25" s="12" t="n"/>
      <c r="F25" s="12" t="n"/>
      <c r="G25" s="12" t="n"/>
      <c r="H25" s="12" t="n"/>
      <c r="I25" s="11" t="inlineStr">
        <is>
          <t>ヒアリングシート2部_フィルタリング設定（オンライン） より。B-13 の細目。
※コメント &lt;20260518 MDLC&gt;「L&amp;F様利用リスト『BファイルC情報』の
  設定内容を記載ください」期限 6/19 に対する回答欄。</t>
        </is>
      </c>
    </row>
    <row r="26">
      <c r="A26" s="22" t="inlineStr">
        <is>
          <t>B-13-12</t>
        </is>
      </c>
      <c r="B26" s="22" t="inlineStr">
        <is>
          <t>Hit絞り込み（複合AND）</t>
        </is>
      </c>
      <c r="C26" s="11" t="inlineStr">
        <is>
          <t>【BファイルC情報(BC)】名称＋フリガナ
○（AND条件）
※ × の場合は名称とフリガナがそれぞれ OR 条件でヒットする
※1 除外条件（①②）は取消線で消されている＝選択していない</t>
        </is>
      </c>
      <c r="D26" s="12" t="n"/>
      <c r="E26" s="12" t="n"/>
      <c r="F26" s="12" t="n"/>
      <c r="G26" s="12" t="n"/>
      <c r="H26" s="12" t="n"/>
      <c r="I26" s="11" t="inlineStr">
        <is>
          <t>ヒアリングシート2部_フィルタリング設定（オンライン） より。B-13 の細目。
※コメント &lt;20260518 MDLC&gt;「L&amp;F様利用リスト『BファイルC情報』の
  設定内容を記載ください」期限 6/19 に対する回答欄。</t>
        </is>
      </c>
    </row>
    <row r="27">
      <c r="A27" s="22" t="inlineStr">
        <is>
          <t>B-13-13</t>
        </is>
      </c>
      <c r="B27" s="22" t="inlineStr">
        <is>
          <t>Hit絞り込み（単項目AND）</t>
        </is>
      </c>
      <c r="C27" s="11" t="inlineStr">
        <is>
          <t>【BファイルC情報(BC)】設立／生年月日
○</t>
        </is>
      </c>
      <c r="D27" s="12" t="n"/>
      <c r="E27" s="12" t="n"/>
      <c r="F27" s="12" t="n"/>
      <c r="G27" s="12" t="n"/>
      <c r="H27" s="12" t="n"/>
      <c r="I27" s="11" t="inlineStr">
        <is>
          <t>ヒアリングシート2部_フィルタリング設定（オンライン） より。B-13 の細目。
※コメント &lt;20260518 MDLC&gt;「L&amp;F様利用リスト『BファイルC情報』の
  設定内容を記載ください」期限 6/19 に対する回答欄。</t>
        </is>
      </c>
    </row>
    <row r="28">
      <c r="A28" s="22" t="inlineStr">
        <is>
          <t>B-13-14</t>
        </is>
      </c>
      <c r="B28" s="22" t="inlineStr">
        <is>
          <t>Hit絞り込み（単項目AND）</t>
        </is>
      </c>
      <c r="C28" s="11" t="inlineStr">
        <is>
          <t>【BファイルC情報(BC)】住所
×</t>
        </is>
      </c>
      <c r="D28" s="12" t="n"/>
      <c r="E28" s="12" t="n"/>
      <c r="F28" s="12" t="n"/>
      <c r="G28" s="12" t="n"/>
      <c r="H28" s="12" t="n"/>
      <c r="I28" s="11" t="inlineStr">
        <is>
          <t>ヒアリングシート2部_フィルタリング設定（オンライン） より。B-13 の細目。
※コメント &lt;20260518 MDLC&gt;「L&amp;F様利用リスト『BファイルC情報』の
  設定内容を記載ください」期限 6/19 に対する回答欄。</t>
        </is>
      </c>
    </row>
    <row r="29">
      <c r="A29" s="22" t="inlineStr">
        <is>
          <t>B-13-15</t>
        </is>
      </c>
      <c r="B29" s="22" t="inlineStr">
        <is>
          <t>Hit絞り込み（単項目AND）</t>
        </is>
      </c>
      <c r="C29" s="11" t="inlineStr">
        <is>
          <t>【BファイルC情報(BC)】国籍
×</t>
        </is>
      </c>
      <c r="D29" s="12" t="n"/>
      <c r="E29" s="12" t="n"/>
      <c r="F29" s="12" t="n"/>
      <c r="G29" s="12" t="n"/>
      <c r="H29" s="12" t="n"/>
      <c r="I29" s="11" t="inlineStr">
        <is>
          <t>ヒアリングシート2部_フィルタリング設定（オンライン） より。B-13 の細目。
※コメント &lt;20260518 MDLC&gt;「L&amp;F様利用リスト『BファイルC情報』の
  設定内容を記載ください」期限 6/19 に対する回答欄。</t>
        </is>
      </c>
    </row>
    <row r="30">
      <c r="A30" s="22" t="inlineStr">
        <is>
          <t>B-13-16</t>
        </is>
      </c>
      <c r="B30" s="22" t="inlineStr">
        <is>
          <t>Hit絞り込み（単項目AND）</t>
        </is>
      </c>
      <c r="C30" s="11" t="inlineStr">
        <is>
          <t>【BファイルC情報(BC)】性別
×</t>
        </is>
      </c>
      <c r="D30" s="12" t="n"/>
      <c r="E30" s="12" t="n"/>
      <c r="F30" s="12" t="n"/>
      <c r="G30" s="12" t="n"/>
      <c r="H30" s="12" t="n"/>
      <c r="I30" s="11" t="inlineStr">
        <is>
          <t>ヒアリングシート2部_フィルタリング設定（オンライン） より。B-13 の細目。
※コメント &lt;20260518 MDLC&gt;「L&amp;F様利用リスト『BファイルC情報』の
  設定内容を記載ください」期限 6/19 に対する回答欄。</t>
        </is>
      </c>
    </row>
    <row r="31">
      <c r="A31" s="22" t="inlineStr">
        <is>
          <t>B-13-17</t>
        </is>
      </c>
      <c r="B31" s="22" t="inlineStr">
        <is>
          <t>Hit絞り込み（単項目AND）</t>
        </is>
      </c>
      <c r="C31" s="11" t="inlineStr">
        <is>
          <t>【BファイルC情報(BC)】タイプ
×</t>
        </is>
      </c>
      <c r="D31" s="12" t="n"/>
      <c r="E31" s="12" t="n"/>
      <c r="F31" s="12" t="n"/>
      <c r="G31" s="12" t="n"/>
      <c r="H31" s="12" t="n"/>
      <c r="I31" s="11" t="inlineStr">
        <is>
          <t>ヒアリングシート2部_フィルタリング設定（オンライン） より。B-13 の細目。
※コメント &lt;20260518 MDLC&gt;「L&amp;F様利用リスト『BファイルC情報』の
  設定内容を記載ください」期限 6/19 に対する回答欄。</t>
        </is>
      </c>
    </row>
    <row r="32">
      <c r="A32" s="11" t="inlineStr">
        <is>
          <t>B-14</t>
        </is>
      </c>
      <c r="B32" s="11" t="inlineStr">
        <is>
          <t>赤枠</t>
        </is>
      </c>
      <c r="C32" s="11" t="inlineStr">
        <is>
          <t>L&amp;F管理者（リスク管理部）の権限を設定する</t>
        </is>
      </c>
      <c r="D32" s="12" t="n"/>
      <c r="E32" s="12" t="n"/>
      <c r="F32" s="12" t="n"/>
      <c r="G32" s="12" t="n"/>
      <c r="H32" s="12" t="n"/>
      <c r="I32" s="11" t="inlineStr">
        <is>
          <t>A-14 と対応（ヒアリングシート2部_プロファイル設定）</t>
        </is>
      </c>
    </row>
    <row r="33">
      <c r="A33" s="11" t="inlineStr">
        <is>
          <t>B-15</t>
        </is>
      </c>
      <c r="B33" s="11" t="inlineStr">
        <is>
          <t>赤枠</t>
        </is>
      </c>
      <c r="C33" s="23" t="inlineStr">
        <is>
          <t>【部店コード】L&amp;Fの部店を LF001〜LF025 の25件で設定する
LF001  一括照合用               5
LF002  監査部                 3
LF003  経営企画部               5
LF004  業務改革室               5
LF005  人財部                 3
LF006  リスク管理部              6
LF007  財務経理部               5
LF008  ITソリューション部         10
LF009  営業戦略部               5
LF010  営業推進部               5
LF011  与信企画室               5
LF012  融資第一部               5
LF013  融資第二部               5
LF014  債権管理部               5
LF015  本店営業第一部             7
LF016  本店営業第二部             7
LF017  本店営業第四部             7
LF018  新宿支店                4
LF019  池袋支店                4
LF020  横浜支店                4
LF021  大阪支店                4
LF022  名古屋支店               5
LF023  仙台支店                4
LF024  福岡支店                4
LF025  広島営業部               5</t>
        </is>
      </c>
      <c r="D33" s="12" t="inlineStr">
        <is>
          <t>マスタ定義（ヒアリングシート記載）
  5_部店マスタ
  25_部店フィルタリング設定
  26_CIFファイルフィルタリング設定</t>
        </is>
      </c>
      <c r="E33" s="12" t="n"/>
      <c r="F33" s="12" t="n"/>
      <c r="G33" s="12" t="n"/>
      <c r="H33" s="12" t="n"/>
      <c r="I33" s="11" t="inlineStr">
        <is>
          <t>出典：ヒアリングシート_部店コード（2026/05/11 L&amp;F様部店）
期限：部店数・部店コードは6/19、部店名の変更は7/1まで
★D列の数値（5/3/6/10/7/4 等）の意味は未確認。
  ユーザ数か何かと思われる。要確認。
★この3つのマスタは A-04/A-05/A-06 の確認先にもなる。</t>
        </is>
      </c>
    </row>
    <row r="34">
      <c r="A34" s="11" t="inlineStr">
        <is>
          <t>B-16</t>
        </is>
      </c>
      <c r="B34" s="11" t="n"/>
      <c r="C34" s="11" t="n"/>
      <c r="D34" s="12" t="n"/>
      <c r="E34" s="12" t="n"/>
      <c r="F34" s="12" t="n"/>
      <c r="G34" s="12" t="n"/>
      <c r="H34" s="12" t="n"/>
      <c r="I34" s="11" t="n"/>
    </row>
    <row r="35">
      <c r="A35" s="11" t="inlineStr">
        <is>
          <t>B-17</t>
        </is>
      </c>
      <c r="B35" s="11" t="n"/>
      <c r="C35" s="11" t="n"/>
      <c r="D35" s="12" t="n"/>
      <c r="E35" s="12" t="n"/>
      <c r="F35" s="12" t="n"/>
      <c r="G35" s="12" t="n"/>
      <c r="H35" s="12" t="n"/>
      <c r="I35" s="11" t="n"/>
    </row>
    <row r="36">
      <c r="A36" s="11" t="inlineStr">
        <is>
          <t>B-18</t>
        </is>
      </c>
      <c r="B36" s="11" t="n"/>
      <c r="C36" s="11" t="n"/>
      <c r="D36" s="12" t="n"/>
      <c r="E36" s="12" t="n"/>
      <c r="F36" s="12" t="n"/>
      <c r="G36" s="12" t="n"/>
      <c r="H36" s="12" t="n"/>
      <c r="I36" s="11" t="n"/>
    </row>
    <row r="37">
      <c r="A37" s="11" t="inlineStr">
        <is>
          <t>B-19</t>
        </is>
      </c>
      <c r="B37" s="11" t="n"/>
      <c r="C37" s="11" t="n"/>
      <c r="D37" s="12" t="n"/>
      <c r="E37" s="12" t="n"/>
      <c r="F37" s="12" t="n"/>
      <c r="G37" s="12" t="n"/>
      <c r="H37" s="12" t="n"/>
      <c r="I37" s="11" t="n"/>
    </row>
    <row r="38">
      <c r="A38" s="11" t="inlineStr">
        <is>
          <t>B-20</t>
        </is>
      </c>
      <c r="B38" s="11" t="n"/>
      <c r="C38" s="11" t="n"/>
      <c r="D38" s="12" t="n"/>
      <c r="E38" s="12" t="n"/>
      <c r="F38" s="12" t="n"/>
      <c r="G38" s="12" t="n"/>
      <c r="H38" s="12" t="n"/>
      <c r="I38" s="11" t="n"/>
    </row>
  </sheetData>
  <autoFilter ref="A1:I38"/>
  <dataValidations count="2">
    <dataValidation sqref="H2:H21" showDropDown="0" showInputMessage="0" showErrorMessage="0" allowBlank="1" type="list">
      <formula1>"○,△,×,－"</formula1>
    </dataValidation>
    <dataValidation sqref="H2:H38"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3"/>
  <sheetViews>
    <sheetView zoomScale="90" workbookViewId="0">
      <pane xSplit="3" ySplit="1" topLeftCell="D2" activePane="bottomRight" state="frozen"/>
      <selection pane="topRight"/>
      <selection pane="bottomLeft"/>
      <selection pane="bottomRight"/>
      <selection pane="bottomLeft"/>
      <selection pane="bottomRight" activeCell="A1" sqref="A1"/>
    </sheetView>
  </sheetViews>
  <sheetFormatPr baseColWidth="8" defaultRowHeight="15"/>
  <cols>
    <col width="5" customWidth="1" min="1" max="1"/>
    <col width="20" customWidth="1" min="2" max="2"/>
    <col width="8" customWidth="1" min="3" max="3"/>
    <col width="26" customWidth="1" min="4" max="4"/>
    <col width="52" customWidth="1" min="5" max="5"/>
    <col width="52" customWidth="1" min="6" max="6"/>
    <col width="7" customWidth="1" min="7" max="7"/>
    <col width="16" customWidth="1" min="8" max="8"/>
    <col width="12" customWidth="1" min="9" max="9"/>
    <col width="40" customWidth="1" min="10" max="10"/>
  </cols>
  <sheetData>
    <row r="1" ht="30" customHeight="1">
      <c r="A1" s="30" t="inlineStr">
        <is>
          <t>No</t>
        </is>
      </c>
      <c r="B1" s="30" t="inlineStr">
        <is>
          <t>SCL</t>
        </is>
      </c>
      <c r="C1" s="30" t="inlineStr">
        <is>
          <t>ケースNo</t>
        </is>
      </c>
      <c r="D1" s="30" t="inlineStr">
        <is>
          <t>ケース名</t>
        </is>
      </c>
      <c r="E1" s="30" t="inlineStr">
        <is>
          <t>内容・操作</t>
        </is>
      </c>
      <c r="F1" s="30" t="inlineStr">
        <is>
          <t>想定結果</t>
        </is>
      </c>
      <c r="G1" s="30" t="inlineStr">
        <is>
          <t>結果</t>
        </is>
      </c>
      <c r="H1" s="30" t="inlineStr">
        <is>
          <t>対応ヒアリング項目</t>
        </is>
      </c>
      <c r="I1" s="30" t="inlineStr">
        <is>
          <t>SCL整理の記載</t>
        </is>
      </c>
      <c r="J1" s="30" t="inlineStr">
        <is>
          <t>確認メモ</t>
        </is>
      </c>
    </row>
    <row r="2" ht="30" customHeight="1">
      <c r="A2" s="34" t="n">
        <v>1</v>
      </c>
      <c r="B2" s="35" t="inlineStr">
        <is>
          <t>01_本人確認</t>
        </is>
      </c>
      <c r="C2" s="35" t="inlineStr">
        <is>
          <t>01</t>
        </is>
      </c>
      <c r="D2" s="36" t="inlineStr">
        <is>
          <t>ファイル配置</t>
        </is>
      </c>
      <c r="E2" s="36" t="inlineStr">
        <is>
          <t>CIFファイル・リストファイル・ユーザ情報ファイルを所定の場所に置く / CIF       C:\FileRCV\output\0000000138C_YYYYMMDD002.txt / リスト     C:\LIST_BATCH\BLACKLIST 配下 / OFAC\sdn.xml / MOF\MOF.csv / JP\PEPs.csv / DJ_SEISAI\DSE.xml / DJ_SHIPS\DSH.xml / DJ_GAIKOKU_PEPS\DGP.xml / DJ_KOKUNAI_PEPS\DKP.xml / ORIGINAL\行内要注意情報.csv / ユーザ情報 C:\FileRCV\input_user\USER0000000138_YYYYMMDD.txt  ←赤字＝追加 / 確認すること / ファイルが配置されていること（存在確認のみ） / 抽象化 / 試験の前提準備。機能の検証ではない。 / 結果 / 2026/9/28 OK ／ 再鑑 2026/9/28 OK / 指摘のやりとり / ・リストファイル名までエビデンスで確認できていなかった / ・今後は dir /s "C:\LIST_BATCH\BLACKLIST" の結果をエビデンスにする / ・ユーザ情報ファイルの確認を SCL に追加（阿部）→ 池田 OK</t>
        </is>
      </c>
      <c r="F2" s="36" t="inlineStr"/>
      <c r="G2" s="35" t="inlineStr"/>
      <c r="H2" s="35" t="inlineStr"/>
      <c r="I2" s="35" t="inlineStr">
        <is>
          <t>あり</t>
        </is>
      </c>
      <c r="J2" s="36" t="inlineStr"/>
    </row>
    <row r="3" ht="30" customHeight="1">
      <c r="A3" s="34" t="n">
        <v>2</v>
      </c>
      <c r="B3" s="35" t="inlineStr">
        <is>
          <t>01_本人確認</t>
        </is>
      </c>
      <c r="C3" s="35" t="inlineStr">
        <is>
          <t>02</t>
        </is>
      </c>
      <c r="D3" s="36" t="inlineStr">
        <is>
          <t>リストアップロード－横浜</t>
        </is>
      </c>
      <c r="E3" s="36" t="inlineStr">
        <is>
          <t>http://サーバIP:9080/aml-web/ に RISK_ADMIN_001（会社コード0138）でログイン / リスト管理－リストアップロード画面から下記をアップロード / 警察庁（個人）－凍結口座名義人リスト.csv / 警察庁（法人）－凍結口座名義人リスト法人版.csv / ~~警察庁（IB）－IB不正送金先口座名義人リスト.csv~~  ←赤字で取消＝廃止 / ASI.csv － 全銀協（個人） / ASC.csv － 全銀協（法人） / 全銀協生保.csv － 全銀協（生保） / 全銀協損保.csv － 全銀協（損保） / 確認すること / アップロードがエラーなく完了すること / 抽象化 / 横浜銀行側のユーザで、横浜が使うリストを登録できるか / 結果 / 2026/9/28 OK / 指摘のやりとり / ・警察庁（IB）リストは廃止のため削除（池田） / ・「警察庁（個人）」のアップロード実施者が / 「リスク管理部門（役席）」ではなく「L&amp;F管理者（リスク管理）」だった / → テストとしては問題なし（阿部） / ・「全銀協（損保）」の画面エビデンスが無かった → 追加</t>
        </is>
      </c>
      <c r="F3" s="36" t="inlineStr"/>
      <c r="G3" s="35" t="inlineStr"/>
      <c r="H3" s="35" t="inlineStr"/>
      <c r="I3" s="35" t="inlineStr">
        <is>
          <t>あり</t>
        </is>
      </c>
      <c r="J3" s="36" t="inlineStr"/>
    </row>
    <row r="4" ht="30" customHeight="1">
      <c r="A4" s="34" t="n">
        <v>3</v>
      </c>
      <c r="B4" s="35" t="inlineStr">
        <is>
          <t>01_本人確認</t>
        </is>
      </c>
      <c r="C4" s="35" t="inlineStr">
        <is>
          <t>03</t>
        </is>
      </c>
      <c r="D4" s="36" t="inlineStr">
        <is>
          <t>リストアップロード－L&amp;F</t>
        </is>
      </c>
      <c r="E4" s="36" t="inlineStr">
        <is>
          <t>LF_ADMIN_RISK（会社コード0138）でログイン / リスト管理－リストアップロード画面から / Bファイル C情報.csv － BファイルC情報 / 確認すること / アップロードがエラーなく完了すること / 抽象化 / L&amp;F側のユーザで、L&amp;F固有のリスト（BファイルC情報）を登録できるか / 結果 / 2026/9/28 OK</t>
        </is>
      </c>
      <c r="F4" s="36" t="inlineStr"/>
      <c r="G4" s="35" t="inlineStr"/>
      <c r="H4" s="37" t="inlineStr">
        <is>
          <t>A-13</t>
        </is>
      </c>
      <c r="I4" s="35" t="inlineStr">
        <is>
          <t>あり</t>
        </is>
      </c>
      <c r="J4" s="36" t="inlineStr">
        <is>
          <t>整理メモの対応表より A-13</t>
        </is>
      </c>
    </row>
    <row r="5" ht="30" customHeight="1">
      <c r="A5" s="34" t="n">
        <v>4</v>
      </c>
      <c r="B5" s="35" t="inlineStr">
        <is>
          <t>01_本人確認</t>
        </is>
      </c>
      <c r="C5" s="35" t="inlineStr">
        <is>
          <t>04</t>
        </is>
      </c>
      <c r="D5" s="36" t="inlineStr">
        <is>
          <t>タスク実行－リスト作成</t>
        </is>
      </c>
      <c r="E5" s="36" t="inlineStr">
        <is>
          <t>タスクスケジューラから 11_リスト作成処理 を実行 / 確認すること / 「11_リスト作成処理」「12_リスト反映処理」の2タスクが正常終了 / イベントビューアにエラーログがない / C:\LogFiles\%PC_NAME%\TaskTrg_YYYYMMDDHHII.log にエラーログがない / 抽象化 / リスト作成→リスト反映が、イベントID連携で自動で流れるか / 結果 / 2026/9/28 OK / 指摘のやりとり / ・TaskTarget → TaskTrg に表記修正 / ・「12_リスト反映処理」のエビデンス（TaskTrgログ）が無い → 追加 / ・「11_リスト作成処理」でイベントID発行 → 自動でタスク実行されている</t>
        </is>
      </c>
      <c r="F5" s="36" t="inlineStr"/>
      <c r="G5" s="35" t="inlineStr"/>
      <c r="H5" s="35" t="inlineStr"/>
      <c r="I5" s="35" t="inlineStr">
        <is>
          <t>あり</t>
        </is>
      </c>
      <c r="J5" s="36" t="inlineStr"/>
    </row>
    <row r="6" ht="30" customHeight="1">
      <c r="A6" s="34" t="n">
        <v>5</v>
      </c>
      <c r="B6" s="35" t="inlineStr">
        <is>
          <t>01_本人確認</t>
        </is>
      </c>
      <c r="C6" s="35" t="inlineStr">
        <is>
          <t>05</t>
        </is>
      </c>
      <c r="D6" s="36" t="inlineStr">
        <is>
          <t>タスク実行－環境初期化</t>
        </is>
      </c>
      <c r="E6" s="36" t="inlineStr">
        <is>
          <t>①システム時間を午前2時に設定 / ②タスクスケジューラから 01_環境初期化処理 を実行 / ③システム時間をもとに戻す / 確認すること / 下記8処理が正常終了すること / 01_環境初期化処理 / 02_全量フィルタリング処理 / 03_対象ファイル到着時間チェック処理 / 04_ユーザー情報取込処理 / 05_差分CIFバッチフィルタリング処理 / 06_検索対象者一覧バッチフィルタリング処理 / 16_AIスコアリング処理 / 08_バッチフィルタリング後処理 / イベントビューア／ログファイルにエラーログがないこと / 抽象化 / 夜間バッチ一式が通しで流れるか / 結果 / 2026/9/28 OK</t>
        </is>
      </c>
      <c r="F6" s="36" t="inlineStr"/>
      <c r="G6" s="35" t="inlineStr"/>
      <c r="H6" s="35" t="inlineStr"/>
      <c r="I6" s="35" t="inlineStr">
        <is>
          <t>あり</t>
        </is>
      </c>
      <c r="J6" s="36" t="inlineStr"/>
    </row>
    <row r="7" ht="30" customHeight="1">
      <c r="A7" s="34" t="n">
        <v>6</v>
      </c>
      <c r="B7" s="35" t="inlineStr">
        <is>
          <t>01_本人確認</t>
        </is>
      </c>
      <c r="C7" s="35" t="inlineStr">
        <is>
          <t>06</t>
        </is>
      </c>
      <c r="D7" s="36" t="inlineStr">
        <is>
          <t>Web画面ログイン</t>
        </is>
      </c>
      <c r="E7" s="36" t="inlineStr">
        <is>
          <t>http://サーバIP:9080/aml-web/ に YOKOHAMA_OTHER_ADMIN でログイン</t>
        </is>
      </c>
      <c r="F7" s="36" t="inlineStr">
        <is>
          <t>ログインできること                                    OK</t>
        </is>
      </c>
      <c r="G7" s="35" t="inlineStr"/>
      <c r="H7" s="35" t="inlineStr"/>
      <c r="I7" s="35" t="inlineStr">
        <is>
          <t>あり</t>
        </is>
      </c>
      <c r="J7" s="36" t="inlineStr"/>
    </row>
    <row r="8" ht="30" customHeight="1">
      <c r="A8" s="34" t="n">
        <v>7</v>
      </c>
      <c r="B8" s="35" t="inlineStr">
        <is>
          <t>01_本人確認</t>
        </is>
      </c>
      <c r="C8" s="35" t="inlineStr">
        <is>
          <t>07</t>
        </is>
      </c>
      <c r="D8" s="36" t="inlineStr">
        <is>
          <t>本人確認</t>
        </is>
      </c>
      <c r="E8" s="36" t="inlineStr">
        <is>
          <t>左メニュー「本人確認－本人確認」をクリック</t>
        </is>
      </c>
      <c r="F8" s="36" t="inlineStr">
        <is>
          <t>本人確認入力画面が表示される                            OK</t>
        </is>
      </c>
      <c r="G8" s="35" t="inlineStr"/>
      <c r="H8" s="35" t="inlineStr"/>
      <c r="I8" s="35" t="inlineStr">
        <is>
          <t>あり</t>
        </is>
      </c>
      <c r="J8" s="36" t="inlineStr"/>
    </row>
    <row r="9" ht="30" customHeight="1">
      <c r="A9" s="34" t="n">
        <v>8</v>
      </c>
      <c r="B9" s="35" t="inlineStr">
        <is>
          <t>01_本人確認</t>
        </is>
      </c>
      <c r="C9" s="35" t="inlineStr">
        <is>
          <t>08</t>
        </is>
      </c>
      <c r="D9" s="36" t="inlineStr">
        <is>
          <t>フィルタリング実行（ヒットリスト無）</t>
        </is>
      </c>
      <c r="E9" s="36" t="inlineStr">
        <is>
          <t>個人・法人区分：法人／名称：えるえふ太郎花子（赤字修正あり）</t>
        </is>
      </c>
      <c r="F9" s="36" t="inlineStr">
        <is>
          <t>画面上部に「[AMLHKHK01M101]該当するリストはありません。」 / が表示され、判定画面に遷移しない                        OK / 抽象化   : ヒットしない時に判定画面へ行かないこと（異常系）</t>
        </is>
      </c>
      <c r="G9" s="35" t="inlineStr"/>
      <c r="H9" s="35" t="inlineStr"/>
      <c r="I9" s="35" t="inlineStr">
        <is>
          <t>あり</t>
        </is>
      </c>
      <c r="J9" s="36" t="inlineStr"/>
    </row>
    <row r="10" ht="30" customHeight="1">
      <c r="A10" s="34" t="n">
        <v>9</v>
      </c>
      <c r="B10" s="35" t="inlineStr">
        <is>
          <t>01_本人確認</t>
        </is>
      </c>
      <c r="C10" s="35" t="inlineStr">
        <is>
          <t>09</t>
        </is>
      </c>
      <c r="D10" s="36" t="inlineStr">
        <is>
          <t>フィルタリング実行（ヒットリスト有）</t>
        </is>
      </c>
      <c r="E10" s="36" t="inlineStr">
        <is>
          <t>個人・法人区分：法人／名称：横浜花子 / 名称（フリガナ）：ヨコハマハナコ   ←赤字追加 / ※警察庁（個人・法人）リストヒットのため条件追加  ←赤字</t>
        </is>
      </c>
      <c r="F10" s="36" t="inlineStr">
        <is>
          <t>判定画面が表示され、該当リスト一覧に下記がヒットすること / OFAC / 財務省 / JCIF PEPs / 警察庁（個人）/ 警察庁（法人）/ ~~警察庁（IB）~~ ←赤字取消 / 全銀協（個人）/ 全銀協（法人） / DJ OFAC・企業リスト / DJ 船舶リスト / DJ 外国PEPs / DJ 国内PEPs / 全銀協（生保）/ 全銀協（損保） / 行内要注意情報：リスト情報が表示されないこと ←赤字 / 下記は表示されないこと / ~~行内要注意情報~~ ←赤字取消 / BファイルC情報 / OK / 抽象化   : どのリストがヒットし、どのリストが出ないかを1件ずつ検証 / 特に「BファイルC情報が表示されないこと」は / A-04（横浜ではBFILE_CINFOを除く）の直接の裏付け。</t>
        </is>
      </c>
      <c r="G10" s="35" t="inlineStr"/>
      <c r="H10" s="37" t="inlineStr">
        <is>
          <t>A-04／A-05</t>
        </is>
      </c>
      <c r="I10" s="35" t="inlineStr">
        <is>
          <t>あり</t>
        </is>
      </c>
      <c r="J10" s="36" t="inlineStr">
        <is>
          <t>★重要 / これは「動作確認」ではなく 設定値の検証。 / 整理メモの対応表より A-05</t>
        </is>
      </c>
    </row>
    <row r="11" ht="30" customHeight="1">
      <c r="A11" s="34" t="n">
        <v>10</v>
      </c>
      <c r="B11" s="35" t="inlineStr">
        <is>
          <t>01_本人確認</t>
        </is>
      </c>
      <c r="C11" s="35" t="inlineStr">
        <is>
          <t>10</t>
        </is>
      </c>
      <c r="D11" s="36" t="inlineStr">
        <is>
          <t>本人確認仕掛照会</t>
        </is>
      </c>
      <c r="E11" s="36" t="inlineStr">
        <is>
          <t>左メニュー「本人確認－本人確認仕掛照会」をクリック</t>
        </is>
      </c>
      <c r="F11" s="36" t="inlineStr">
        <is>
          <t>仕掛中一覧画面が表示される                              OK</t>
        </is>
      </c>
      <c r="G11" s="35" t="inlineStr"/>
      <c r="H11" s="35" t="inlineStr"/>
      <c r="I11" s="35" t="inlineStr">
        <is>
          <t>あり</t>
        </is>
      </c>
      <c r="J11" s="36" t="inlineStr"/>
    </row>
    <row r="12" ht="30" customHeight="1">
      <c r="A12" s="34" t="n">
        <v>11</v>
      </c>
      <c r="B12" s="35" t="inlineStr">
        <is>
          <t>01_本人確認</t>
        </is>
      </c>
      <c r="C12" s="35" t="inlineStr">
        <is>
          <t>11</t>
        </is>
      </c>
      <c r="D12" s="36" t="inlineStr">
        <is>
          <t>検索</t>
        </is>
      </c>
      <c r="E12" s="36" t="inlineStr">
        <is>
          <t>入力日：YYYYMMDD〜当日（項番3を実行した日をFromに設定）</t>
        </is>
      </c>
      <c r="F12" s="36" t="inlineStr">
        <is>
          <t>検索結果が表示される / ※仕掛照会では「検索」押下前でも仕掛中レコードは表示される / ~~えるえふ太郎が検索結果に含まれない~~ ←赤字取消 / 自部店のみで、横浜銀行他部店・L&amp;F部店が表示されないこと ←赤字 / OK / 抽象化   : 部店スコープ（自部店のデータしか見えないこと） / ※ A-06「部店ごとのリストの使い分けは行わない」とは別の話。 / あちらは“使うリスト”、こちらは“見えるデータ”。混同注意。</t>
        </is>
      </c>
      <c r="G12" s="35" t="inlineStr"/>
      <c r="H12" s="37" t="inlineStr">
        <is>
          <t>A-06</t>
        </is>
      </c>
      <c r="I12" s="35" t="inlineStr">
        <is>
          <t>あり</t>
        </is>
      </c>
      <c r="J12" s="36" t="inlineStr"/>
    </row>
    <row r="13" ht="30" customHeight="1">
      <c r="A13" s="34" t="n">
        <v>12</v>
      </c>
      <c r="B13" s="35" t="inlineStr">
        <is>
          <t>01_本人確認</t>
        </is>
      </c>
      <c r="C13" s="35" t="inlineStr">
        <is>
          <t>12</t>
        </is>
      </c>
      <c r="D13" s="36" t="inlineStr">
        <is>
          <t>結果選択</t>
        </is>
      </c>
      <c r="E13" s="36" t="inlineStr">
        <is>
          <t>検索結果の左の「判定」ボタンをクリック</t>
        </is>
      </c>
      <c r="F13" s="36" t="inlineStr">
        <is>
          <t>判定画面が表示され、該当リスト一覧に下記がヒットすること / （09 と同じ14リスト） / 行内要注意情報 ←赤字で“表示される側”に移動 / 下記は表示されないこと / ~~行内要注意情報~~ ←赤字取消 / BファイルC情報 / OK / 抽象化   : 09 と同じ検証を、仕掛照会経由のルートでも行う</t>
        </is>
      </c>
      <c r="G13" s="35" t="inlineStr"/>
      <c r="H13" s="37" t="inlineStr">
        <is>
          <t>A-04／A-05</t>
        </is>
      </c>
      <c r="I13" s="35" t="inlineStr">
        <is>
          <t>あり</t>
        </is>
      </c>
      <c r="J13" s="36" t="inlineStr">
        <is>
          <t>★重要 / ここでも BファイルC情報が表示されないこと を確認 → A-04 / 整理メモの対応表より A-05</t>
        </is>
      </c>
    </row>
    <row r="14" ht="30" customHeight="1">
      <c r="A14" s="34" t="n">
        <v>13</v>
      </c>
      <c r="B14" s="35" t="inlineStr">
        <is>
          <t>01_本人確認</t>
        </is>
      </c>
      <c r="C14" s="35" t="inlineStr">
        <is>
          <t>13</t>
        </is>
      </c>
      <c r="D14" s="36" t="inlineStr">
        <is>
          <t>ログアウト</t>
        </is>
      </c>
      <c r="E14" s="36" t="inlineStr">
        <is>
          <t>画面右上の「ログアウト」アイコンをクリック</t>
        </is>
      </c>
      <c r="F14" s="36" t="inlineStr">
        <is>
          <t>ログイン画面が表示される                                OK</t>
        </is>
      </c>
      <c r="G14" s="35" t="inlineStr"/>
      <c r="H14" s="35" t="inlineStr"/>
      <c r="I14" s="35" t="inlineStr">
        <is>
          <t>あり</t>
        </is>
      </c>
      <c r="J14" s="36" t="inlineStr"/>
    </row>
    <row r="15" ht="30" customHeight="1">
      <c r="A15" s="34" t="n">
        <v>14</v>
      </c>
      <c r="B15" s="35" t="inlineStr">
        <is>
          <t>01_本人確認</t>
        </is>
      </c>
      <c r="C15" s="35" t="inlineStr">
        <is>
          <t>14</t>
        </is>
      </c>
      <c r="D15" s="36" t="inlineStr">
        <is>
          <t>Web画面ログイン</t>
        </is>
      </c>
      <c r="E15" s="36" t="inlineStr"/>
      <c r="F15" s="36" t="inlineStr"/>
      <c r="G15" s="35" t="inlineStr"/>
      <c r="H15" s="35" t="inlineStr"/>
      <c r="I15" s="35" t="inlineStr">
        <is>
          <t>あり</t>
        </is>
      </c>
      <c r="J15" s="36" t="inlineStr"/>
    </row>
    <row r="16" ht="30" customHeight="1">
      <c r="A16" s="34" t="n">
        <v>15</v>
      </c>
      <c r="B16" s="35" t="inlineStr">
        <is>
          <t>01_本人確認</t>
        </is>
      </c>
      <c r="C16" s="35" t="inlineStr">
        <is>
          <t>15</t>
        </is>
      </c>
      <c r="D16" s="36" t="inlineStr">
        <is>
          <t>本人確認</t>
        </is>
      </c>
      <c r="E16" s="36" t="inlineStr"/>
      <c r="F16" s="36" t="inlineStr"/>
      <c r="G16" s="35" t="inlineStr"/>
      <c r="H16" s="35" t="inlineStr"/>
      <c r="I16" s="35" t="inlineStr">
        <is>
          <t>あり</t>
        </is>
      </c>
      <c r="J16" s="36" t="inlineStr"/>
    </row>
    <row r="17" ht="30" customHeight="1">
      <c r="A17" s="34" t="n">
        <v>16</v>
      </c>
      <c r="B17" s="35" t="inlineStr">
        <is>
          <t>01_本人確認</t>
        </is>
      </c>
      <c r="C17" s="35" t="inlineStr">
        <is>
          <t>16</t>
        </is>
      </c>
      <c r="D17" s="36" t="inlineStr">
        <is>
          <t>フィルタリング実行（無）</t>
        </is>
      </c>
      <c r="E17" s="36" t="inlineStr"/>
      <c r="F17" s="36" t="inlineStr"/>
      <c r="G17" s="35" t="inlineStr"/>
      <c r="H17" s="35" t="inlineStr"/>
      <c r="I17" s="35" t="inlineStr">
        <is>
          <t>あり</t>
        </is>
      </c>
      <c r="J17" s="36" t="inlineStr"/>
    </row>
    <row r="18" ht="30" customHeight="1">
      <c r="A18" s="34" t="n">
        <v>17</v>
      </c>
      <c r="B18" s="35" t="inlineStr">
        <is>
          <t>01_本人確認</t>
        </is>
      </c>
      <c r="C18" s="35" t="inlineStr">
        <is>
          <t>17</t>
        </is>
      </c>
      <c r="D18" s="36" t="inlineStr">
        <is>
          <t>フィルタリング実行（有）</t>
        </is>
      </c>
      <c r="E18" s="36" t="inlineStr">
        <is>
          <t>→ 06〜13（YOKOHAMA_OTHER_ADMIN）とまったく同じ流れを、一般ユーザで繰り返している。</t>
        </is>
      </c>
      <c r="F18" s="36" t="inlineStr">
        <is>
          <t>も同一。ヒットするリストも同じ14件、 / 「BファイルC情報」は表示されないこと も同じ。 / すべて 2026/9/28 OK ／ 再鑑 OK</t>
        </is>
      </c>
      <c r="G18" s="35" t="inlineStr"/>
      <c r="H18" s="37" t="inlineStr">
        <is>
          <t>A-04／A-05</t>
        </is>
      </c>
      <c r="I18" s="35" t="inlineStr">
        <is>
          <t>あり</t>
        </is>
      </c>
      <c r="J18" s="36" t="inlineStr">
        <is>
          <t>整理メモの対応表より A-04・A-05</t>
        </is>
      </c>
    </row>
    <row r="19" ht="30" customHeight="1">
      <c r="A19" s="34" t="n">
        <v>18</v>
      </c>
      <c r="B19" s="35" t="inlineStr">
        <is>
          <t>01_本人確認</t>
        </is>
      </c>
      <c r="C19" s="35" t="inlineStr">
        <is>
          <t>18</t>
        </is>
      </c>
      <c r="D19" s="36" t="inlineStr">
        <is>
          <t>仕掛照会</t>
        </is>
      </c>
      <c r="E19" s="36" t="inlineStr">
        <is>
          <t>→ 06〜13（YOKOHAMA_OTHER_ADMIN）とまったく同じ流れを、一般ユーザで繰り返している。</t>
        </is>
      </c>
      <c r="F19" s="36" t="inlineStr">
        <is>
          <t>も同一。ヒットするリストも同じ14件、 / 「BファイルC情報」は表示されないこと も同じ。 / すべて 2026/9/28 OK ／ 再鑑 OK</t>
        </is>
      </c>
      <c r="G19" s="35" t="inlineStr"/>
      <c r="H19" s="35" t="inlineStr"/>
      <c r="I19" s="35" t="inlineStr">
        <is>
          <t>あり</t>
        </is>
      </c>
      <c r="J19" s="36" t="inlineStr"/>
    </row>
    <row r="20" ht="30" customHeight="1">
      <c r="A20" s="34" t="n">
        <v>19</v>
      </c>
      <c r="B20" s="35" t="inlineStr">
        <is>
          <t>01_本人確認</t>
        </is>
      </c>
      <c r="C20" s="35" t="inlineStr">
        <is>
          <t>19</t>
        </is>
      </c>
      <c r="D20" s="36" t="inlineStr">
        <is>
          <t>検索</t>
        </is>
      </c>
      <c r="E20" s="36" t="inlineStr">
        <is>
          <t>→ 06〜13（YOKOHAMA_OTHER_ADMIN）とまったく同じ流れを、一般ユーザで繰り返している。</t>
        </is>
      </c>
      <c r="F20" s="36" t="inlineStr">
        <is>
          <t>も同一。ヒットするリストも同じ14件、 / 「BファイルC情報」は表示されないこと も同じ。 / すべて 2026/9/28 OK ／ 再鑑 OK</t>
        </is>
      </c>
      <c r="G20" s="35" t="inlineStr"/>
      <c r="H20" s="35" t="inlineStr"/>
      <c r="I20" s="35" t="inlineStr">
        <is>
          <t>あり</t>
        </is>
      </c>
      <c r="J20" s="36" t="inlineStr"/>
    </row>
    <row r="21" ht="30" customHeight="1">
      <c r="A21" s="34" t="n">
        <v>20</v>
      </c>
      <c r="B21" s="35" t="inlineStr">
        <is>
          <t>01_本人確認</t>
        </is>
      </c>
      <c r="C21" s="35" t="inlineStr">
        <is>
          <t>20</t>
        </is>
      </c>
      <c r="D21" s="36" t="inlineStr">
        <is>
          <t>結果選択</t>
        </is>
      </c>
      <c r="E21" s="36" t="inlineStr">
        <is>
          <t>→ 06〜13（YOKOHAMA_OTHER_ADMIN）とまったく同じ流れを、一般ユーザで繰り返している。</t>
        </is>
      </c>
      <c r="F21" s="36" t="inlineStr">
        <is>
          <t>も同一。ヒットするリストも同じ14件、 / 「BファイルC情報」は表示されないこと も同じ。 / すべて 2026/9/28 OK ／ 再鑑 OK</t>
        </is>
      </c>
      <c r="G21" s="35" t="inlineStr"/>
      <c r="H21" s="37" t="inlineStr">
        <is>
          <t>A-04／A-05</t>
        </is>
      </c>
      <c r="I21" s="35" t="inlineStr">
        <is>
          <t>あり</t>
        </is>
      </c>
      <c r="J21" s="36" t="inlineStr">
        <is>
          <t>整理メモの対応表より A-04・A-05</t>
        </is>
      </c>
    </row>
    <row r="22" ht="30" customHeight="1">
      <c r="A22" s="34" t="n">
        <v>21</v>
      </c>
      <c r="B22" s="35" t="inlineStr">
        <is>
          <t>01_本人確認</t>
        </is>
      </c>
      <c r="C22" s="35" t="inlineStr">
        <is>
          <t>21</t>
        </is>
      </c>
      <c r="D22" s="36" t="inlineStr">
        <is>
          <t>ログアウト</t>
        </is>
      </c>
      <c r="E22" s="36" t="inlineStr">
        <is>
          <t>→ 06〜13（YOKOHAMA_OTHER_ADMIN）とまったく同じ流れを、一般ユーザで繰り返している。</t>
        </is>
      </c>
      <c r="F22" s="36" t="inlineStr">
        <is>
          <t>も同一。ヒットするリストも同じ14件、 / 「BファイルC情報」は表示されないこと も同じ。 / すべて 2026/9/28 OK ／ 再鑑 OK</t>
        </is>
      </c>
      <c r="G22" s="35" t="inlineStr"/>
      <c r="H22" s="35" t="inlineStr"/>
      <c r="I22" s="35" t="inlineStr">
        <is>
          <t>あり</t>
        </is>
      </c>
      <c r="J22" s="36" t="inlineStr"/>
    </row>
    <row r="23" ht="30" customHeight="1">
      <c r="A23" s="34" t="n">
        <v>22</v>
      </c>
      <c r="B23" s="35" t="inlineStr">
        <is>
          <t>01_本人確認</t>
        </is>
      </c>
      <c r="C23" s="35" t="inlineStr">
        <is>
          <t>22</t>
        </is>
      </c>
      <c r="D23" s="36" t="inlineStr">
        <is>
          <t>Web画面ログイン</t>
        </is>
      </c>
      <c r="E23" s="36" t="inlineStr">
        <is>
          <t>LF_ADMIN_RISK（会社コード 0138）でログイン</t>
        </is>
      </c>
      <c r="F23" s="36" t="inlineStr">
        <is>
          <t>ログインできること                                      OK</t>
        </is>
      </c>
      <c r="G23" s="35" t="inlineStr"/>
      <c r="H23" s="37" t="inlineStr">
        <is>
          <t>A-14</t>
        </is>
      </c>
      <c r="I23" s="35" t="inlineStr">
        <is>
          <t>あり</t>
        </is>
      </c>
      <c r="J23" s="36" t="inlineStr">
        <is>
          <t>整理メモの対応表より A-14</t>
        </is>
      </c>
    </row>
    <row r="24" ht="30" customHeight="1">
      <c r="A24" s="34" t="n">
        <v>23</v>
      </c>
      <c r="B24" s="35" t="inlineStr">
        <is>
          <t>01_本人確認</t>
        </is>
      </c>
      <c r="C24" s="35" t="inlineStr">
        <is>
          <t>23</t>
        </is>
      </c>
      <c r="D24" s="36" t="inlineStr">
        <is>
          <t>メニュー確認</t>
        </is>
      </c>
      <c r="E24" s="36" t="inlineStr">
        <is>
          <t>左側のメニューを確認（出ていなければヘッダー「Oculus-filter」右の「≡」）</t>
        </is>
      </c>
      <c r="F24" s="36" t="inlineStr">
        <is>
          <t>「本人確認」に下記が表示されていること / 本人確認 / 本人確認仕掛照会 / 判定履歴照会 / OK / 抽象化   : そのプロファイルで使えるメニューが正しいか / 「権限 ＝ 見えるメニュー」を列挙して確認している。</t>
        </is>
      </c>
      <c r="G24" s="35" t="inlineStr"/>
      <c r="H24" s="37" t="inlineStr">
        <is>
          <t>A-14</t>
        </is>
      </c>
      <c r="I24" s="35" t="inlineStr">
        <is>
          <t>あり</t>
        </is>
      </c>
      <c r="J24" s="36" t="inlineStr">
        <is>
          <t>★重要・新しい型 / これは A-14（L&amp;F管理者の権限を設定する）の直接の検証。</t>
        </is>
      </c>
    </row>
    <row r="25" ht="30" customHeight="1">
      <c r="A25" s="34" t="n">
        <v>24</v>
      </c>
      <c r="B25" s="35" t="inlineStr">
        <is>
          <t>01_本人確認</t>
        </is>
      </c>
      <c r="C25" s="35" t="inlineStr">
        <is>
          <t>24</t>
        </is>
      </c>
      <c r="D25" s="36" t="inlineStr">
        <is>
          <t>本人確認</t>
        </is>
      </c>
      <c r="E25" s="36" t="inlineStr">
        <is>
          <t>左メニュー「本人確認－本人確認」                                     OK</t>
        </is>
      </c>
      <c r="F25" s="36" t="inlineStr"/>
      <c r="G25" s="35" t="inlineStr"/>
      <c r="H25" s="35" t="inlineStr"/>
      <c r="I25" s="35" t="inlineStr">
        <is>
          <t>あり</t>
        </is>
      </c>
      <c r="J25" s="36" t="inlineStr"/>
    </row>
    <row r="26" ht="30" customHeight="1">
      <c r="A26" s="34" t="n">
        <v>25</v>
      </c>
      <c r="B26" s="35" t="inlineStr">
        <is>
          <t>01_本人確認</t>
        </is>
      </c>
      <c r="C26" s="35" t="inlineStr">
        <is>
          <t>25</t>
        </is>
      </c>
      <c r="D26" s="36" t="inlineStr">
        <is>
          <t>フィルタリング実行（ヒットリスト無）</t>
        </is>
      </c>
      <c r="E26" s="36" t="inlineStr">
        <is>
          <t>法人／名称：横浜花子太郎（赤字修正あり）</t>
        </is>
      </c>
      <c r="F26" s="36" t="inlineStr">
        <is>
          <t>「該当するリストはありません。」が表示され、判定画面に遷移しない  OK / ※ L&amp;F のプロファイルでは「横浜」側の人物にヒットしない、という作り。</t>
        </is>
      </c>
      <c r="G26" s="35" t="inlineStr"/>
      <c r="H26" s="35" t="inlineStr"/>
      <c r="I26" s="35" t="inlineStr">
        <is>
          <t>あり</t>
        </is>
      </c>
      <c r="J26" s="36" t="inlineStr"/>
    </row>
    <row r="27" ht="30" customHeight="1">
      <c r="A27" s="34" t="n">
        <v>26</v>
      </c>
      <c r="B27" s="35" t="inlineStr">
        <is>
          <t>01_本人確認</t>
        </is>
      </c>
      <c r="C27" s="35" t="inlineStr">
        <is>
          <t>26</t>
        </is>
      </c>
      <c r="D27" s="36" t="inlineStr">
        <is>
          <t>フィルタリング実行（ヒットリスト有）</t>
        </is>
      </c>
      <c r="E27" s="36" t="inlineStr">
        <is>
          <t>法人／名称：えるえふ太郎 / 名称（フリガナ）：エルエフタロウ  ←赤字追加 / ※警視庁（個人・法人）リストヒットのため条件追加  ←赤字</t>
        </is>
      </c>
      <c r="F27" s="36" t="inlineStr">
        <is>
          <t>該当リスト一覧に下記が表示されること / OFAC / 警察庁（個人）/ 警察庁（法人）/ ~~警察庁（IB）~~ ←赤字取消 / 全銀協（個人）/ 全銀協（法人） / DJ 外国PEPs / DJ 国内PEPs / 全銀協（生保）/ 全銀協（損保） / 行内要注意情報 / BファイルC情報            ← L&amp;Fでは表示される / DJ OFAC/企業リスト  ←赤字追加 / 下記は表示されないこと / 財務省 / JCIF PEPs / DJ 船舶リスト / OK / ヒアリング A-05 / 「L&amp;F横浜店では、MOF、JPI、DJ_SHIPSを除く対象リストを利用する」 / ケース26 の「表示されないこと」 / 財務省（＝MOF）/ JCIF PEPs（＝JPI）/ DJ 船舶リスト（＝DJ_SHIPS） / → 3つとも一致。落とし込みができている。 / 横浜（ケース09/12/17/20）では表示されない。 / → A-04 と A-05 が、同じ人物・同じ画面で裏表の確認になっている。</t>
        </is>
      </c>
      <c r="G27" s="35" t="inlineStr"/>
      <c r="H27" s="37" t="inlineStr">
        <is>
          <t>A-04／A-05／A-13</t>
        </is>
      </c>
      <c r="I27" s="35" t="inlineStr">
        <is>
          <t>あり</t>
        </is>
      </c>
      <c r="J27" s="36" t="inlineStr">
        <is>
          <t>★★ 最重要 / A-05 と完全一致 / あわせて BファイルC情報 が L&amp;F では表示される。 / 整理メモの対応表より A-13</t>
        </is>
      </c>
    </row>
    <row r="28" ht="30" customHeight="1">
      <c r="A28" s="34" t="n">
        <v>27</v>
      </c>
      <c r="B28" s="35" t="inlineStr">
        <is>
          <t>01_本人確認</t>
        </is>
      </c>
      <c r="C28" s="35" t="inlineStr">
        <is>
          <t>27</t>
        </is>
      </c>
      <c r="D28" s="36" t="inlineStr">
        <is>
          <t>フィルタリング結果確認</t>
        </is>
      </c>
      <c r="E28"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27    LF00000001      名称 / フリガナ / 生年月日 / 抽象化   : BファイルC情報の照合項目（名称・フリガナ・生年月日）が / レコードごとに正しくヒット判定されるか / すべて 2026/9/28 OK / 照合に使う項目の組み合わせを7パターンで網羅している。</t>
        </is>
      </c>
      <c r="F28" s="36" t="inlineStr"/>
      <c r="G28" s="35" t="inlineStr"/>
      <c r="H28" s="37" t="inlineStr">
        <is>
          <t>A-13</t>
        </is>
      </c>
      <c r="I28" s="35" t="inlineStr">
        <is>
          <t>あり</t>
        </is>
      </c>
      <c r="J28" s="36" t="inlineStr">
        <is>
          <t>★重要・新しい型 / A-13（BファイルC情報のリスト基本情報を設定する）の裏付け。</t>
        </is>
      </c>
    </row>
    <row r="29" ht="30" customHeight="1">
      <c r="A29" s="34" t="n">
        <v>28</v>
      </c>
      <c r="B29" s="35" t="inlineStr">
        <is>
          <t>01_本人確認</t>
        </is>
      </c>
      <c r="C29" s="35" t="inlineStr">
        <is>
          <t>28</t>
        </is>
      </c>
      <c r="D29" s="36" t="inlineStr">
        <is>
          <t>フィルタリング結果確認</t>
        </is>
      </c>
      <c r="E29"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28    LF00000002      名称 / 生年月日 / 抽象化   : BファイルC情報の照合項目（名称・フリガナ・生年月日）が / レコードごとに正しくヒット判定されるか / すべて 2026/9/28 OK / 照合に使う項目の組み合わせを7パターンで網羅している。</t>
        </is>
      </c>
      <c r="F29" s="36" t="inlineStr"/>
      <c r="G29" s="35" t="inlineStr"/>
      <c r="H29" s="37" t="inlineStr">
        <is>
          <t>A-13</t>
        </is>
      </c>
      <c r="I29" s="35" t="inlineStr">
        <is>
          <t>あり</t>
        </is>
      </c>
      <c r="J29" s="36" t="inlineStr">
        <is>
          <t>★重要・新しい型 / A-13（BファイルC情報のリスト基本情報を設定する）の裏付け。</t>
        </is>
      </c>
    </row>
    <row r="30" ht="30" customHeight="1">
      <c r="A30" s="34" t="n">
        <v>29</v>
      </c>
      <c r="B30" s="35" t="inlineStr">
        <is>
          <t>01_本人確認</t>
        </is>
      </c>
      <c r="C30" s="35" t="inlineStr">
        <is>
          <t>29</t>
        </is>
      </c>
      <c r="D30" s="36" t="inlineStr">
        <is>
          <t>フィルタリング結果確認</t>
        </is>
      </c>
      <c r="E30"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29    LF00000003      名称 / 生年月日 / 抽象化   : BファイルC情報の照合項目（名称・フリガナ・生年月日）が / レコードごとに正しくヒット判定されるか / すべて 2026/9/28 OK / 照合に使う項目の組み合わせを7パターンで網羅している。</t>
        </is>
      </c>
      <c r="F30" s="36" t="inlineStr"/>
      <c r="G30" s="35" t="inlineStr"/>
      <c r="H30" s="37" t="inlineStr">
        <is>
          <t>A-13</t>
        </is>
      </c>
      <c r="I30" s="35" t="inlineStr">
        <is>
          <t>あり</t>
        </is>
      </c>
      <c r="J30" s="36" t="inlineStr">
        <is>
          <t>★重要・新しい型 / A-13（BファイルC情報のリスト基本情報を設定する）の裏付け。</t>
        </is>
      </c>
    </row>
    <row r="31" ht="30" customHeight="1">
      <c r="A31" s="34" t="n">
        <v>30</v>
      </c>
      <c r="B31" s="35" t="inlineStr">
        <is>
          <t>01_本人確認</t>
        </is>
      </c>
      <c r="C31" s="35" t="inlineStr">
        <is>
          <t>30</t>
        </is>
      </c>
      <c r="D31" s="36" t="inlineStr">
        <is>
          <t>フィルタリング結果確認</t>
        </is>
      </c>
      <c r="E31"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30    LF00000004      ~~フリガナ~~（赤字取消）/ 生年月日 / 抽象化   : BファイルC情報の照合項目（名称・フリガナ・生年月日）が / レコードごとに正しくヒット判定されるか / すべて 2026/9/28 OK / 照合に使う項目の組み合わせを7パターンで網羅している。</t>
        </is>
      </c>
      <c r="F31" s="36" t="inlineStr"/>
      <c r="G31" s="35" t="inlineStr"/>
      <c r="H31" s="37" t="inlineStr">
        <is>
          <t>A-13</t>
        </is>
      </c>
      <c r="I31" s="35" t="inlineStr">
        <is>
          <t>あり</t>
        </is>
      </c>
      <c r="J31" s="36" t="inlineStr">
        <is>
          <t>★重要・新しい型 / A-13（BファイルC情報のリスト基本情報を設定する）の裏付け。</t>
        </is>
      </c>
    </row>
    <row r="32" ht="30" customHeight="1">
      <c r="A32" s="34" t="n">
        <v>31</v>
      </c>
      <c r="B32" s="35" t="inlineStr">
        <is>
          <t>01_本人確認</t>
        </is>
      </c>
      <c r="C32" s="35" t="inlineStr">
        <is>
          <t>31</t>
        </is>
      </c>
      <c r="D32" s="36" t="inlineStr">
        <is>
          <t>フィルタリング結果確認</t>
        </is>
      </c>
      <c r="E32"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31    LF00000007      フリガナ / 生年月日 / 抽象化   : BファイルC情報の照合項目（名称・フリガナ・生年月日）が / レコードごとに正しくヒット判定されるか / すべて 2026/9/28 OK / 照合に使う項目の組み合わせを7パターンで網羅している。 / ケース  レコード番号      強調される項目 / 31    LF00000007      フリガナ / 生年月日 / → 27〜35 の 9ケースで、BファイルC情報の照合項目を網羅。 / 名称／フリガナ／生年月日 の組み合わせを一通り確認している。</t>
        </is>
      </c>
      <c r="F32" s="36" t="inlineStr"/>
      <c r="G32" s="35" t="inlineStr"/>
      <c r="H32" s="37" t="inlineStr">
        <is>
          <t>A-13</t>
        </is>
      </c>
      <c r="I32" s="35" t="inlineStr">
        <is>
          <t>あり</t>
        </is>
      </c>
      <c r="J32" s="36" t="inlineStr">
        <is>
          <t>★重要・新しい型 / フィルタリング結果確認（27〜30 の続き） / A-13（BファイルC情報のリスト基本情報を設定する）の裏付け。</t>
        </is>
      </c>
    </row>
    <row r="33" ht="30" customHeight="1">
      <c r="A33" s="34" t="n">
        <v>32</v>
      </c>
      <c r="B33" s="35" t="inlineStr">
        <is>
          <t>01_本人確認</t>
        </is>
      </c>
      <c r="C33" s="35" t="inlineStr">
        <is>
          <t>32</t>
        </is>
      </c>
      <c r="D33" s="36" t="inlineStr">
        <is>
          <t>フィルタリング結果確認</t>
        </is>
      </c>
      <c r="E33"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32    LF00000019      名称 / フリガナ / 抽象化   : BファイルC情報の照合項目（名称・フリガナ・生年月日）が / レコードごとに正しくヒット判定されるか / すべて 2026/9/28 OK / 照合に使う項目の組み合わせを7パターンで網羅している。 / ケース  レコード番号      強調される項目 / 32    LF00000019      名称 / フリガナ / → 27〜35 の 9ケースで、BファイルC情報の照合項目を網羅。 / 名称／フリガナ／生年月日 の組み合わせを一通り確認している。</t>
        </is>
      </c>
      <c r="F33" s="36" t="inlineStr"/>
      <c r="G33" s="35" t="inlineStr"/>
      <c r="H33" s="37" t="inlineStr">
        <is>
          <t>A-13</t>
        </is>
      </c>
      <c r="I33" s="35" t="inlineStr">
        <is>
          <t>あり</t>
        </is>
      </c>
      <c r="J33" s="36" t="inlineStr">
        <is>
          <t>★重要・新しい型 / フィルタリング結果確認（27〜30 の続き） / A-13（BファイルC情報のリスト基本情報を設定する）の裏付け。</t>
        </is>
      </c>
    </row>
    <row r="34" ht="30" customHeight="1">
      <c r="A34" s="34" t="n">
        <v>33</v>
      </c>
      <c r="B34" s="35" t="inlineStr">
        <is>
          <t>01_本人確認</t>
        </is>
      </c>
      <c r="C34" s="35" t="inlineStr">
        <is>
          <t>33</t>
        </is>
      </c>
      <c r="D34" s="36" t="inlineStr">
        <is>
          <t>フィルタリング結果確認</t>
        </is>
      </c>
      <c r="E34" s="36" t="inlineStr">
        <is>
          <t>判定画面の該当リスト一覧から リスト：BファイルC情報 のレコードを選び、 / 画面右側のリスト情報枠で「どの項目が赤字＋太字で強調されるか」を確認。 / ※CIFをもとに検索を実施する  ←赤字 / ケース  レコード番号      強調される項目 / 33    LF00000020      名称 / 抽象化   : BファイルC情報の照合項目（名称・フリガナ・生年月日）が / レコードごとに正しくヒット判定されるか / すべて 2026/9/28 OK / 照合に使う項目の組み合わせを7パターンで網羅している。 / ケース  レコード番号      強調される項目 / 33    LF00000020      名称 / → 27〜35 の 9ケースで、BファイルC情報の照合項目を網羅。 / 名称／フリガナ／生年月日 の組み合わせを一通り確認している。</t>
        </is>
      </c>
      <c r="F34" s="36" t="inlineStr"/>
      <c r="G34" s="35" t="inlineStr"/>
      <c r="H34" s="37" t="inlineStr">
        <is>
          <t>A-13</t>
        </is>
      </c>
      <c r="I34" s="35" t="inlineStr">
        <is>
          <t>あり</t>
        </is>
      </c>
      <c r="J34" s="36" t="inlineStr">
        <is>
          <t>★重要・新しい型 / フィルタリング結果確認（27〜30 の続き） / A-13（BファイルC情報のリスト基本情報を設定する）の裏付け。</t>
        </is>
      </c>
    </row>
    <row r="35" ht="30" customHeight="1">
      <c r="A35" s="34" t="n">
        <v>34</v>
      </c>
      <c r="B35" s="35" t="inlineStr">
        <is>
          <t>01_本人確認</t>
        </is>
      </c>
      <c r="C35" s="35" t="inlineStr">
        <is>
          <t>34</t>
        </is>
      </c>
      <c r="D35" s="36" t="inlineStr">
        <is>
          <t>フィルタリング結果確認（27〜30 の続き）</t>
        </is>
      </c>
      <c r="E35" s="36" t="inlineStr">
        <is>
          <t>ケース  レコード番号      強調される項目 / 34    LF00000021      名称 / → 27〜35 の 9ケースで、BファイルC情報の照合項目を網羅。 / 名称／フリガナ／生年月日 の組み合わせを一通り確認している。</t>
        </is>
      </c>
      <c r="F35" s="36" t="inlineStr"/>
      <c r="G35" s="35" t="inlineStr"/>
      <c r="H35" s="37" t="inlineStr">
        <is>
          <t>A-13</t>
        </is>
      </c>
      <c r="I35" s="35" t="inlineStr">
        <is>
          <t>あり</t>
        </is>
      </c>
      <c r="J35" s="36" t="inlineStr">
        <is>
          <t>整理メモの対応表より A-13</t>
        </is>
      </c>
    </row>
    <row r="36" ht="30" customHeight="1">
      <c r="A36" s="34" t="n">
        <v>35</v>
      </c>
      <c r="B36" s="35" t="inlineStr">
        <is>
          <t>01_本人確認</t>
        </is>
      </c>
      <c r="C36" s="35" t="inlineStr">
        <is>
          <t>35</t>
        </is>
      </c>
      <c r="D36" s="36" t="inlineStr">
        <is>
          <t>フィルタリング結果確認（27〜30 の続き）</t>
        </is>
      </c>
      <c r="E36" s="36" t="inlineStr">
        <is>
          <t>ケース  レコード番号      強調される項目 / 35    LF00000025      フリガナ / → 27〜35 の 9ケースで、BファイルC情報の照合項目を網羅。 / 名称／フリガナ／生年月日 の組み合わせを一通り確認している。</t>
        </is>
      </c>
      <c r="F36" s="36" t="inlineStr"/>
      <c r="G36" s="35" t="inlineStr"/>
      <c r="H36" s="37" t="inlineStr">
        <is>
          <t>A-13</t>
        </is>
      </c>
      <c r="I36" s="35" t="inlineStr">
        <is>
          <t>あり</t>
        </is>
      </c>
      <c r="J36" s="36" t="inlineStr">
        <is>
          <t>整理メモの対応表より A-13</t>
        </is>
      </c>
    </row>
    <row r="37" ht="30" customHeight="1">
      <c r="A37" s="34" t="n">
        <v>36</v>
      </c>
      <c r="B37" s="35" t="inlineStr">
        <is>
          <t>01_本人確認</t>
        </is>
      </c>
      <c r="C37" s="35" t="inlineStr">
        <is>
          <t>36</t>
        </is>
      </c>
      <c r="D37" s="36" t="inlineStr">
        <is>
          <t>本人確認仕掛照会</t>
        </is>
      </c>
      <c r="E37" s="36" t="inlineStr"/>
      <c r="F37" s="36" t="inlineStr"/>
      <c r="G37" s="35" t="inlineStr">
        <is>
          <t>OK</t>
        </is>
      </c>
      <c r="H37" s="35" t="inlineStr"/>
      <c r="I37" s="35" t="inlineStr">
        <is>
          <t>あり</t>
        </is>
      </c>
      <c r="J37" s="36" t="inlineStr"/>
    </row>
    <row r="38" ht="30" customHeight="1">
      <c r="A38" s="34" t="n">
        <v>37</v>
      </c>
      <c r="B38" s="35" t="inlineStr">
        <is>
          <t>01_本人確認</t>
        </is>
      </c>
      <c r="C38" s="35" t="inlineStr">
        <is>
          <t>37</t>
        </is>
      </c>
      <c r="D38" s="36" t="inlineStr">
        <is>
          <t>検索</t>
        </is>
      </c>
      <c r="E38" s="36" t="inlineStr"/>
      <c r="F38" s="36" t="inlineStr">
        <is>
          <t>検索結果が表示される / 横浜花子が検索結果に含まれない / OK / → L&amp;Fプロファイルからは横浜のデータが見えない（部店スコープ）</t>
        </is>
      </c>
      <c r="G38" s="35" t="inlineStr"/>
      <c r="H38" s="35" t="inlineStr"/>
      <c r="I38" s="35" t="inlineStr">
        <is>
          <t>あり</t>
        </is>
      </c>
      <c r="J38" s="36" t="inlineStr"/>
    </row>
    <row r="39" ht="30" customHeight="1">
      <c r="A39" s="34" t="n">
        <v>38</v>
      </c>
      <c r="B39" s="35" t="inlineStr">
        <is>
          <t>01_本人確認</t>
        </is>
      </c>
      <c r="C39" s="35" t="inlineStr">
        <is>
          <t>38</t>
        </is>
      </c>
      <c r="D39" s="36" t="inlineStr">
        <is>
          <t>CSV出力</t>
        </is>
      </c>
      <c r="E39" s="36" t="inlineStr">
        <is>
          <t>「CSV出力」を押下 → 検索結果がCSV形式でダウンロードされる            OK</t>
        </is>
      </c>
      <c r="F39" s="36" t="inlineStr"/>
      <c r="G39" s="35" t="inlineStr"/>
      <c r="H39" s="35" t="inlineStr"/>
      <c r="I39" s="35" t="inlineStr">
        <is>
          <t>あり</t>
        </is>
      </c>
      <c r="J39" s="36" t="inlineStr"/>
    </row>
    <row r="40" ht="30" customHeight="1">
      <c r="A40" s="34" t="n">
        <v>39</v>
      </c>
      <c r="B40" s="35" t="inlineStr">
        <is>
          <t>01_本人確認</t>
        </is>
      </c>
      <c r="C40" s="35" t="inlineStr">
        <is>
          <t>39</t>
        </is>
      </c>
      <c r="D40" s="36" t="inlineStr">
        <is>
          <t>結果選択</t>
        </is>
      </c>
      <c r="E40" s="36" t="inlineStr"/>
      <c r="F40" s="36" t="inlineStr">
        <is>
          <t>該当リスト一覧に 26 と同じ顔ぶれが表示されること / ~~警察庁（IB）2026/06廃止の為非表示~~  ←赤字で理由付き / 下記は表示されないこと / 財務省 / JCIF PEPs / DJ 船舶リスト / OK / → A-05 の再確認（別ルート）</t>
        </is>
      </c>
      <c r="G40" s="35" t="inlineStr"/>
      <c r="H40" s="37" t="inlineStr">
        <is>
          <t>A-04／A-05</t>
        </is>
      </c>
      <c r="I40" s="35" t="inlineStr">
        <is>
          <t>あり</t>
        </is>
      </c>
      <c r="J40" s="36" t="inlineStr">
        <is>
          <t>警察庁（IB）の削除理由が「2026/06 廃止の為非表示」と明記された。 / 整理メモの対応表より A-04</t>
        </is>
      </c>
    </row>
    <row r="41" ht="30" customHeight="1">
      <c r="A41" s="34" t="n">
        <v>40</v>
      </c>
      <c r="B41" s="35" t="inlineStr">
        <is>
          <t>01_本人確認</t>
        </is>
      </c>
      <c r="C41" s="35" t="inlineStr">
        <is>
          <t>40</t>
        </is>
      </c>
      <c r="D41" s="36" t="inlineStr">
        <is>
          <t>補助コメント</t>
        </is>
      </c>
      <c r="E41" s="36" t="inlineStr">
        <is>
          <t>補助コメントを表示する</t>
        </is>
      </c>
      <c r="F41" s="36" t="inlineStr">
        <is>
          <t>プルダウンに下記が表示されること / 該当あり（コンプラ先） / 該当あり（マーク先） / 該当あり（C情報）        ←赤字で3番目に移動 / 該当あり（その他） / 該当なし / ~~該当あり（C情報）~~ ※並び順修正  ←赤字取消 / 取消し / OK / 1：該当あり（コンプラ先） / 2：該当あり（マーク先） / 3：該当あり（C情報） / 4：該当あり（その他） / 5：該当なし / 6：取消し / しかも SCL 側で並び順を修正した跡が残っている。 / （当初 C情報 が6番目 → 3番目へ移動） / → 表示内容だけでなく表示順まで試験項目に落ちている。</t>
        </is>
      </c>
      <c r="G41" s="35" t="inlineStr"/>
      <c r="H41" s="37" t="inlineStr">
        <is>
          <t>A-07</t>
        </is>
      </c>
      <c r="I41" s="35" t="inlineStr">
        <is>
          <t>あり</t>
        </is>
      </c>
      <c r="J41" s="36" t="inlineStr">
        <is>
          <t>★★★ A-07 の直接対応 / ヒアリング A-07 の備考と完全一致</t>
        </is>
      </c>
    </row>
    <row r="42" ht="30" customHeight="1">
      <c r="A42" s="34" t="n">
        <v>41</v>
      </c>
      <c r="B42" s="35" t="inlineStr">
        <is>
          <t>01_本人確認</t>
        </is>
      </c>
      <c r="C42" s="35" t="inlineStr">
        <is>
          <t>41</t>
        </is>
      </c>
      <c r="D42" s="36" t="inlineStr">
        <is>
          <t>保留実施</t>
        </is>
      </c>
      <c r="E42" s="36" t="inlineStr">
        <is>
          <t>①保留ボタン ②ダイアログ「判定を保留~~決定~~します。よろしいですか？」 / ③OK</t>
        </is>
      </c>
      <c r="F42" s="36" t="inlineStr">
        <is>
          <t>~~（②判定済み照会画面が表示される）~~          ←赤字取消 / ~~④判定日時に判定実施時間、判定者に…~~          ←赤字取消 / 本人確認仕掛照会画面が表示される。           ←赤字 / 保留した仕掛情報が検索結果に表示されること。 ←赤字 / OK</t>
        </is>
      </c>
      <c r="G42" s="35" t="inlineStr"/>
      <c r="H42" s="35" t="inlineStr"/>
      <c r="I42" s="35" t="inlineStr">
        <is>
          <t>あり</t>
        </is>
      </c>
      <c r="J42" s="36" t="inlineStr">
        <is>
          <t>保留と判定で遷移先が違う、という修正が入っている。</t>
        </is>
      </c>
    </row>
    <row r="43" ht="30" customHeight="1">
      <c r="A43" s="34" t="n">
        <v>42</v>
      </c>
      <c r="B43" s="35" t="inlineStr">
        <is>
          <t>01_本人確認</t>
        </is>
      </c>
      <c r="C43" s="35" t="inlineStr">
        <is>
          <t>42</t>
        </is>
      </c>
      <c r="D43" s="36" t="inlineStr">
        <is>
          <t>検索画面に戻る</t>
        </is>
      </c>
      <c r="E43" s="36" t="inlineStr">
        <is>
          <t>キャンセル → 未判定照会画面へ（検索結果は残る）</t>
        </is>
      </c>
      <c r="F43" s="36" t="inlineStr"/>
      <c r="G43" s="35" t="inlineStr">
        <is>
          <t>OK</t>
        </is>
      </c>
      <c r="H43" s="35" t="inlineStr"/>
      <c r="I43" s="35" t="inlineStr">
        <is>
          <t>あり</t>
        </is>
      </c>
      <c r="J43" s="36" t="inlineStr"/>
    </row>
    <row r="44" ht="30" customHeight="1">
      <c r="A44" s="34" t="n">
        <v>43</v>
      </c>
      <c r="B44" s="35" t="inlineStr">
        <is>
          <t>01_本人確認</t>
        </is>
      </c>
      <c r="C44" s="35" t="inlineStr">
        <is>
          <t>43</t>
        </is>
      </c>
      <c r="D44" s="36" t="inlineStr">
        <is>
          <t>判定実施（パターン1：チェックなし＋プルダウン）</t>
        </is>
      </c>
      <c r="E44" s="36" t="inlineStr">
        <is>
          <t>①「一致する」列のチェックボックスにチェックを入れない / 補助コメントのプルダウンを選択する / ②判定ボタン ③ダイアログ「判定を決定します。よろしいですか？」 ④OK</t>
        </is>
      </c>
      <c r="F44" s="36" t="inlineStr">
        <is>
          <t>判定済み照会画面が表示される / 補助コメント欄に選択した補助コメントが表示されること / 判定日時に判定実施時間、判定者にログインユーザ情報が / 表示されること。キャンセルボタンが表示されること / OK</t>
        </is>
      </c>
      <c r="G44" s="35" t="inlineStr"/>
      <c r="H44" s="37" t="inlineStr">
        <is>
          <t>A-07</t>
        </is>
      </c>
      <c r="I44" s="35" t="inlineStr">
        <is>
          <t>あり</t>
        </is>
      </c>
      <c r="J44" s="36" t="inlineStr">
        <is>
          <t>整理メモの対応表より A-07</t>
        </is>
      </c>
    </row>
    <row r="45" ht="30" customHeight="1">
      <c r="A45" s="34" t="n">
        <v>44</v>
      </c>
      <c r="B45" s="35" t="inlineStr">
        <is>
          <t>01_本人確認</t>
        </is>
      </c>
      <c r="C45" s="35" t="inlineStr">
        <is>
          <t>44</t>
        </is>
      </c>
      <c r="D45" s="36" t="inlineStr">
        <is>
          <t>検索画面に戻る</t>
        </is>
      </c>
      <c r="E45" s="36" t="inlineStr"/>
      <c r="F45" s="36" t="inlineStr"/>
      <c r="G45" s="35" t="inlineStr">
        <is>
          <t>OK</t>
        </is>
      </c>
      <c r="H45" s="35" t="inlineStr"/>
      <c r="I45" s="35" t="inlineStr">
        <is>
          <t>あり</t>
        </is>
      </c>
      <c r="J45" s="36" t="inlineStr"/>
    </row>
    <row r="46" ht="30" customHeight="1">
      <c r="A46" s="34" t="n">
        <v>45</v>
      </c>
      <c r="B46" s="35" t="inlineStr">
        <is>
          <t>01_本人確認</t>
        </is>
      </c>
      <c r="C46" s="35" t="inlineStr">
        <is>
          <t>45</t>
        </is>
      </c>
      <c r="D46" s="36" t="inlineStr">
        <is>
          <t>判定実施（パターン2：チェックあり＋テキスト入力）</t>
        </is>
      </c>
      <c r="E46" s="36" t="inlineStr">
        <is>
          <t>①「一致する」列のチェックボックスにチェックを入れる / 補助コメント（テキスト欄）を入力する / ②判定ボタン ③ダイアログ ④OK</t>
        </is>
      </c>
      <c r="F46" s="36" t="inlineStr">
        <is>
          <t>①すべてにチェックが入ること / 補助コメント欄（テキスト）に入力した補助コメントが / 表示されること / 判定日時・判定者・キャンセルボタン（43 と同様） / OK / A-07 は「プルダウンに表示する補助コメント」なので、 / テキスト入力はヒアリング対象外の別機能。</t>
        </is>
      </c>
      <c r="G46" s="35" t="inlineStr"/>
      <c r="H46" s="37" t="inlineStr">
        <is>
          <t>A-07</t>
        </is>
      </c>
      <c r="I46" s="35" t="inlineStr">
        <is>
          <t>あり</t>
        </is>
      </c>
      <c r="J46" s="36" t="inlineStr">
        <is>
          <t>43 と 45 で、補助コメントのプルダウン／テキスト入力の2系統を検証。</t>
        </is>
      </c>
    </row>
    <row r="47" ht="30" customHeight="1">
      <c r="A47" s="34" t="n">
        <v>46</v>
      </c>
      <c r="B47" s="35" t="inlineStr">
        <is>
          <t>01_本人確認</t>
        </is>
      </c>
      <c r="C47" s="35" t="inlineStr">
        <is>
          <t>46</t>
        </is>
      </c>
      <c r="D47" s="36" t="inlineStr">
        <is>
          <t>検索画面に戻る</t>
        </is>
      </c>
      <c r="E47" s="36" t="inlineStr"/>
      <c r="F47" s="36" t="inlineStr"/>
      <c r="G47" s="35" t="inlineStr">
        <is>
          <t>OK</t>
        </is>
      </c>
      <c r="H47" s="35" t="inlineStr"/>
      <c r="I47" s="35" t="inlineStr">
        <is>
          <t>あり</t>
        </is>
      </c>
      <c r="J47" s="36" t="inlineStr"/>
    </row>
    <row r="48" ht="30" customHeight="1">
      <c r="A48" s="34" t="n">
        <v>47</v>
      </c>
      <c r="B48" s="35" t="inlineStr">
        <is>
          <t>01_本人確認</t>
        </is>
      </c>
      <c r="C48" s="35" t="inlineStr">
        <is>
          <t>47</t>
        </is>
      </c>
      <c r="D48" s="36" t="inlineStr">
        <is>
          <t>判定履歴照会  ←赤字（新規メニュー）</t>
        </is>
      </c>
      <c r="E48" s="36" t="inlineStr">
        <is>
          <t>左メニュー「本人確認－判定履歴照会」をクリック</t>
        </is>
      </c>
      <c r="F48" s="36" t="inlineStr">
        <is>
          <t>判定履歴一覧画面が表示される                            OK / → ケース23 のメニュー確認で列挙されていた3つ目のメニュー。整合している。</t>
        </is>
      </c>
      <c r="G48" s="35" t="inlineStr"/>
      <c r="H48" s="35" t="inlineStr"/>
      <c r="I48" s="35" t="inlineStr">
        <is>
          <t>あり</t>
        </is>
      </c>
      <c r="J48" s="36" t="inlineStr"/>
    </row>
    <row r="49" ht="30" customHeight="1">
      <c r="A49" s="34" t="n">
        <v>48</v>
      </c>
      <c r="B49" s="35" t="inlineStr">
        <is>
          <t>01_本人確認</t>
        </is>
      </c>
      <c r="C49" s="35" t="inlineStr">
        <is>
          <t>48</t>
        </is>
      </c>
      <c r="D49" s="36" t="inlineStr">
        <is>
          <t>検索</t>
        </is>
      </c>
      <c r="E49" s="36" t="inlineStr">
        <is>
          <t>入力日：本人確認で判定を実施した日をFromに設定</t>
        </is>
      </c>
      <c r="F49" s="36" t="inlineStr">
        <is>
          <t>検索結果が表示される / ~~横浜花子が検索結果に含まれない。~~          ←赤字取消 / 横浜部店アカウントの本人確認判定履歴は表示されないこと ←赤字 / OK</t>
        </is>
      </c>
      <c r="G49" s="35" t="inlineStr"/>
      <c r="H49" s="35" t="inlineStr"/>
      <c r="I49" s="35" t="inlineStr">
        <is>
          <t>あり</t>
        </is>
      </c>
      <c r="J49" s="36" t="inlineStr"/>
    </row>
    <row r="50" ht="30" customHeight="1">
      <c r="A50" s="34" t="n">
        <v>49</v>
      </c>
      <c r="B50" s="35" t="inlineStr">
        <is>
          <t>01_本人確認</t>
        </is>
      </c>
      <c r="C50" s="35" t="inlineStr">
        <is>
          <t>49</t>
        </is>
      </c>
      <c r="D50" s="36" t="inlineStr">
        <is>
          <t>CSV出力</t>
        </is>
      </c>
      <c r="E50" s="36" t="inlineStr">
        <is>
          <t>検索結果がCSV形式でダウンロードされる</t>
        </is>
      </c>
      <c r="F50" s="36" t="inlineStr"/>
      <c r="G50" s="35" t="inlineStr">
        <is>
          <t>OK</t>
        </is>
      </c>
      <c r="H50" s="35" t="inlineStr"/>
      <c r="I50" s="35" t="inlineStr">
        <is>
          <t>あり</t>
        </is>
      </c>
      <c r="J50" s="36" t="inlineStr"/>
    </row>
    <row r="51" ht="30" customHeight="1">
      <c r="A51" s="34" t="n">
        <v>50</v>
      </c>
      <c r="B51" s="35" t="inlineStr">
        <is>
          <t>01_本人確認</t>
        </is>
      </c>
      <c r="C51" s="35" t="inlineStr">
        <is>
          <t>50</t>
        </is>
      </c>
      <c r="D51" s="36" t="inlineStr">
        <is>
          <t>ファイル出力</t>
        </is>
      </c>
      <c r="E51" s="36" t="inlineStr">
        <is>
          <t>検索結果がダウンロードされる</t>
        </is>
      </c>
      <c r="F51" s="36" t="inlineStr"/>
      <c r="G51" s="35" t="inlineStr">
        <is>
          <t>OK</t>
        </is>
      </c>
      <c r="H51" s="35" t="inlineStr"/>
      <c r="I51" s="35" t="inlineStr">
        <is>
          <t>あり</t>
        </is>
      </c>
      <c r="J51" s="36" t="inlineStr">
        <is>
          <t>CSV出力 と ファイル出力 は別ボタン・別機能。</t>
        </is>
      </c>
    </row>
    <row r="52" ht="30" customHeight="1">
      <c r="A52" s="34" t="n">
        <v>51</v>
      </c>
      <c r="B52" s="35" t="inlineStr">
        <is>
          <t>01_本人確認</t>
        </is>
      </c>
      <c r="C52" s="35" t="inlineStr">
        <is>
          <t>51</t>
        </is>
      </c>
      <c r="D52" s="36" t="inlineStr">
        <is>
          <t>結果選択</t>
        </is>
      </c>
      <c r="E52" s="36" t="inlineStr"/>
      <c r="F52" s="36" t="inlineStr">
        <is>
          <t>39 と同じ（警察庁（IB）は 2026/06 廃止の為非表示）        OK</t>
        </is>
      </c>
      <c r="G52" s="35" t="inlineStr"/>
      <c r="H52" s="37" t="inlineStr">
        <is>
          <t>A-04／A-05</t>
        </is>
      </c>
      <c r="I52" s="35" t="inlineStr">
        <is>
          <t>あり</t>
        </is>
      </c>
      <c r="J52" s="36" t="inlineStr">
        <is>
          <t>整理メモの対応表より A-04・A-05</t>
        </is>
      </c>
    </row>
    <row r="53" ht="30" customHeight="1">
      <c r="A53" s="38" t="n">
        <v>52</v>
      </c>
      <c r="B53" s="39" t="inlineStr">
        <is>
          <t>01_本人確認</t>
        </is>
      </c>
      <c r="C53" s="39" t="inlineStr">
        <is>
          <t>52</t>
        </is>
      </c>
      <c r="D53" s="40" t="inlineStr"/>
      <c r="E53" s="40" t="inlineStr"/>
      <c r="F53" s="40" t="inlineStr"/>
      <c r="G53" s="39" t="inlineStr"/>
      <c r="H53" s="39" t="inlineStr"/>
      <c r="I53" s="39" t="inlineStr">
        <is>
          <t>未記入</t>
        </is>
      </c>
      <c r="J53" s="40" t="inlineStr">
        <is>
          <t>SCL原本から転記する</t>
        </is>
      </c>
    </row>
    <row r="54" ht="30" customHeight="1">
      <c r="A54" s="38" t="n">
        <v>53</v>
      </c>
      <c r="B54" s="39" t="inlineStr">
        <is>
          <t>01_本人確認</t>
        </is>
      </c>
      <c r="C54" s="39" t="inlineStr">
        <is>
          <t>53</t>
        </is>
      </c>
      <c r="D54" s="40" t="inlineStr"/>
      <c r="E54" s="40" t="inlineStr"/>
      <c r="F54" s="40" t="inlineStr"/>
      <c r="G54" s="39" t="inlineStr"/>
      <c r="H54" s="39" t="inlineStr"/>
      <c r="I54" s="39" t="inlineStr">
        <is>
          <t>未記入</t>
        </is>
      </c>
      <c r="J54" s="40" t="inlineStr">
        <is>
          <t>SCL原本から転記する</t>
        </is>
      </c>
    </row>
    <row r="55" ht="30" customHeight="1">
      <c r="A55" s="34" t="n">
        <v>54</v>
      </c>
      <c r="B55" s="35" t="inlineStr">
        <is>
          <t>01_本人確認</t>
        </is>
      </c>
      <c r="C55" s="35" t="inlineStr">
        <is>
          <t>54</t>
        </is>
      </c>
      <c r="D55" s="36" t="inlineStr">
        <is>
          <t>Web画面ログイン</t>
        </is>
      </c>
      <c r="E55" s="36" t="inlineStr">
        <is>
          <t>LF_ADMIN_RISK_EXC でログインできること</t>
        </is>
      </c>
      <c r="F55" s="36" t="inlineStr"/>
      <c r="G55" s="35" t="inlineStr">
        <is>
          <t>OK</t>
        </is>
      </c>
      <c r="H55" s="37" t="inlineStr">
        <is>
          <t>A-14</t>
        </is>
      </c>
      <c r="I55" s="35" t="inlineStr">
        <is>
          <t>あり</t>
        </is>
      </c>
      <c r="J55" s="36" t="inlineStr">
        <is>
          <t>整理メモの対応表より A-14</t>
        </is>
      </c>
    </row>
    <row r="56" ht="30" customHeight="1">
      <c r="A56" s="34" t="n">
        <v>55</v>
      </c>
      <c r="B56" s="35" t="inlineStr">
        <is>
          <t>01_本人確認</t>
        </is>
      </c>
      <c r="C56" s="35" t="inlineStr">
        <is>
          <t>55</t>
        </is>
      </c>
      <c r="D56" s="36" t="inlineStr">
        <is>
          <t>メニュー確認</t>
        </is>
      </c>
      <c r="E56" s="36" t="inlineStr"/>
      <c r="F56" s="36" t="inlineStr">
        <is>
          <t>「本人確認」に下記が表示されていること / 本人確認 / 本人確認仕掛照会 / 判定履歴照会            OK</t>
        </is>
      </c>
      <c r="G56" s="35" t="inlineStr"/>
      <c r="H56" s="37" t="inlineStr">
        <is>
          <t>A-14</t>
        </is>
      </c>
      <c r="I56" s="35" t="inlineStr">
        <is>
          <t>あり</t>
        </is>
      </c>
      <c r="J56" s="36" t="inlineStr">
        <is>
          <t>ケース23（リスク管理部）とまったく同じ3つ。→ 下の【所見2】参照 / 整理メモの対応表より A-14</t>
        </is>
      </c>
    </row>
    <row r="57" ht="30" customHeight="1">
      <c r="A57" s="34" t="n">
        <v>56</v>
      </c>
      <c r="B57" s="35" t="inlineStr">
        <is>
          <t>01_本人確認</t>
        </is>
      </c>
      <c r="C57" s="35" t="inlineStr">
        <is>
          <t>56</t>
        </is>
      </c>
      <c r="D57" s="36" t="inlineStr">
        <is>
          <t>本人確認</t>
        </is>
      </c>
      <c r="E57" s="36" t="inlineStr"/>
      <c r="F57" s="36" t="inlineStr"/>
      <c r="G57" s="35" t="inlineStr">
        <is>
          <t>OK</t>
        </is>
      </c>
      <c r="H57" s="35" t="inlineStr"/>
      <c r="I57" s="35" t="inlineStr">
        <is>
          <t>あり</t>
        </is>
      </c>
      <c r="J57" s="36" t="inlineStr"/>
    </row>
    <row r="58" ht="30" customHeight="1">
      <c r="A58" s="34" t="n">
        <v>57</v>
      </c>
      <c r="B58" s="35" t="inlineStr">
        <is>
          <t>01_本人確認</t>
        </is>
      </c>
      <c r="C58" s="35" t="inlineStr">
        <is>
          <t>57</t>
        </is>
      </c>
      <c r="D58" s="36" t="inlineStr">
        <is>
          <t>フィルタリング実行（無）</t>
        </is>
      </c>
      <c r="E58" s="36" t="inlineStr">
        <is>
          <t>法人／横浜花子太郎</t>
        </is>
      </c>
      <c r="F58" s="36" t="inlineStr"/>
      <c r="G58" s="35" t="inlineStr">
        <is>
          <t>OK</t>
        </is>
      </c>
      <c r="H58" s="35" t="inlineStr"/>
      <c r="I58" s="35" t="inlineStr">
        <is>
          <t>あり</t>
        </is>
      </c>
      <c r="J58" s="36" t="inlineStr"/>
    </row>
    <row r="59" ht="30" customHeight="1">
      <c r="A59" s="34" t="n">
        <v>58</v>
      </c>
      <c r="B59" s="35" t="inlineStr">
        <is>
          <t>01_本人確認</t>
        </is>
      </c>
      <c r="C59" s="35" t="inlineStr">
        <is>
          <t>58</t>
        </is>
      </c>
      <c r="D59" s="36" t="inlineStr">
        <is>
          <t>フィルタリング実行（有）</t>
        </is>
      </c>
      <c r="E59" s="36" t="inlineStr">
        <is>
          <t>法人／えるえふ太郎（フリガナ：エルエフタロウ） / 表示されること : OFAC / 警察庁（個人）/（法人） / ~~警察庁（IB）2026/06廃止のため非表示~~ / 全銀協（個人）/（法人）/ DJ 外国PEPs / DJ 国内PEPs / 全銀協（生保）/（損保）/ 行内要注意情報 / BファイルC情報 / DJ OFAC/企業リスト（赤字） / 表示されないこと : 財務省 / JCIF PEPs / DJ 船舶リスト                OK / → A-05 を5つ目のプロファイルでも確認</t>
        </is>
      </c>
      <c r="F59" s="36" t="inlineStr"/>
      <c r="G59" s="35" t="inlineStr"/>
      <c r="H59" s="37" t="inlineStr">
        <is>
          <t>A-04／A-05</t>
        </is>
      </c>
      <c r="I59" s="35" t="inlineStr">
        <is>
          <t>あり</t>
        </is>
      </c>
      <c r="J59" s="36" t="inlineStr">
        <is>
          <t>整理メモの対応表より A-04</t>
        </is>
      </c>
    </row>
    <row r="60" ht="30" customHeight="1">
      <c r="A60" s="34" t="n">
        <v>59</v>
      </c>
      <c r="B60" s="35" t="inlineStr">
        <is>
          <t>01_本人確認</t>
        </is>
      </c>
      <c r="C60" s="35" t="inlineStr">
        <is>
          <t>59</t>
        </is>
      </c>
      <c r="D60" s="36" t="inlineStr">
        <is>
          <t>本人確認仕掛照会 /</t>
        </is>
      </c>
      <c r="E60" s="36" t="inlineStr"/>
      <c r="F60" s="36" t="inlineStr"/>
      <c r="G60" s="35" t="inlineStr"/>
      <c r="H60" s="35" t="inlineStr"/>
      <c r="I60" s="35" t="inlineStr">
        <is>
          <t>あり</t>
        </is>
      </c>
      <c r="J60" s="36" t="inlineStr"/>
    </row>
    <row r="61" ht="30" customHeight="1">
      <c r="A61" s="34" t="n">
        <v>60</v>
      </c>
      <c r="B61" s="35" t="inlineStr">
        <is>
          <t>01_本人確認</t>
        </is>
      </c>
      <c r="C61" s="35" t="inlineStr">
        <is>
          <t>60</t>
        </is>
      </c>
      <c r="D61" s="36" t="inlineStr">
        <is>
          <t>検索（横浜花子が含まれない）</t>
        </is>
      </c>
      <c r="E61" s="36" t="inlineStr"/>
      <c r="F61" s="36" t="inlineStr"/>
      <c r="G61" s="35" t="inlineStr"/>
      <c r="H61" s="35" t="inlineStr"/>
      <c r="I61" s="35" t="inlineStr">
        <is>
          <t>あり</t>
        </is>
      </c>
      <c r="J61" s="36" t="inlineStr"/>
    </row>
    <row r="62" ht="30" customHeight="1">
      <c r="A62" s="34" t="n">
        <v>61</v>
      </c>
      <c r="B62" s="35" t="inlineStr">
        <is>
          <t>01_本人確認</t>
        </is>
      </c>
      <c r="C62" s="35" t="inlineStr">
        <is>
          <t>61</t>
        </is>
      </c>
      <c r="D62" s="36" t="inlineStr">
        <is>
          <t>CSV出力 /</t>
        </is>
      </c>
      <c r="E62" s="36" t="inlineStr"/>
      <c r="F62" s="36" t="inlineStr"/>
      <c r="G62" s="35" t="inlineStr"/>
      <c r="H62" s="35" t="inlineStr"/>
      <c r="I62" s="35" t="inlineStr">
        <is>
          <t>あり</t>
        </is>
      </c>
      <c r="J62" s="36" t="inlineStr"/>
    </row>
    <row r="63" ht="30" customHeight="1">
      <c r="A63" s="34" t="n">
        <v>62</v>
      </c>
      <c r="B63" s="35" t="inlineStr">
        <is>
          <t>01_本人確認</t>
        </is>
      </c>
      <c r="C63" s="35" t="inlineStr">
        <is>
          <t>62</t>
        </is>
      </c>
      <c r="D63" s="36" t="inlineStr">
        <is>
          <t>結果選択（58 と同じ内容）</t>
        </is>
      </c>
      <c r="E63" s="36" t="inlineStr"/>
      <c r="F63" s="36" t="inlineStr"/>
      <c r="G63" s="35" t="inlineStr">
        <is>
          <t>OK</t>
        </is>
      </c>
      <c r="H63" s="37" t="inlineStr">
        <is>
          <t>A-04／A-05</t>
        </is>
      </c>
      <c r="I63" s="35" t="inlineStr">
        <is>
          <t>あり</t>
        </is>
      </c>
      <c r="J63" s="36" t="inlineStr">
        <is>
          <t>整理メモの対応表より A-04・A-05</t>
        </is>
      </c>
    </row>
    <row r="64" ht="30" customHeight="1">
      <c r="A64" s="34" t="n">
        <v>63</v>
      </c>
      <c r="B64" s="35" t="inlineStr">
        <is>
          <t>01_本人確認</t>
        </is>
      </c>
      <c r="C64" s="35" t="inlineStr">
        <is>
          <t>63</t>
        </is>
      </c>
      <c r="D64" s="36" t="inlineStr">
        <is>
          <t>補助コメント</t>
        </is>
      </c>
      <c r="E64" s="36" t="inlineStr">
        <is>
          <t>40 と同じ。プルダウン6件・並び順修正あり</t>
        </is>
      </c>
      <c r="F64" s="36" t="inlineStr"/>
      <c r="G64" s="35" t="inlineStr">
        <is>
          <t>OK</t>
        </is>
      </c>
      <c r="H64" s="37" t="inlineStr">
        <is>
          <t>A-07</t>
        </is>
      </c>
      <c r="I64" s="35" t="inlineStr">
        <is>
          <t>あり</t>
        </is>
      </c>
      <c r="J64" s="36" t="inlineStr">
        <is>
          <t>整理メモの対応表より A-07</t>
        </is>
      </c>
    </row>
    <row r="65" ht="30" customHeight="1">
      <c r="A65" s="34" t="n">
        <v>64</v>
      </c>
      <c r="B65" s="35" t="inlineStr">
        <is>
          <t>01_本人確認</t>
        </is>
      </c>
      <c r="C65" s="35" t="inlineStr">
        <is>
          <t>64</t>
        </is>
      </c>
      <c r="D65" s="36" t="inlineStr">
        <is>
          <t>保留実施 /</t>
        </is>
      </c>
      <c r="E65" s="36" t="inlineStr"/>
      <c r="F65" s="36" t="inlineStr"/>
      <c r="G65" s="35" t="inlineStr"/>
      <c r="H65" s="35" t="inlineStr"/>
      <c r="I65" s="35" t="inlineStr">
        <is>
          <t>あり</t>
        </is>
      </c>
      <c r="J65" s="36" t="inlineStr"/>
    </row>
    <row r="66" ht="30" customHeight="1">
      <c r="A66" s="34" t="n">
        <v>65</v>
      </c>
      <c r="B66" s="35" t="inlineStr">
        <is>
          <t>01_本人確認</t>
        </is>
      </c>
      <c r="C66" s="35" t="inlineStr">
        <is>
          <t>65</t>
        </is>
      </c>
      <c r="D66" s="36" t="inlineStr">
        <is>
          <t>検索画面に戻る</t>
        </is>
      </c>
      <c r="E66" s="36" t="inlineStr"/>
      <c r="F66" s="36" t="inlineStr"/>
      <c r="G66" s="35" t="inlineStr">
        <is>
          <t>OK</t>
        </is>
      </c>
      <c r="H66" s="35" t="inlineStr"/>
      <c r="I66" s="35" t="inlineStr">
        <is>
          <t>あり</t>
        </is>
      </c>
      <c r="J66" s="36" t="inlineStr"/>
    </row>
    <row r="67" ht="30" customHeight="1">
      <c r="A67" s="34" t="n">
        <v>66</v>
      </c>
      <c r="B67" s="35" t="inlineStr">
        <is>
          <t>01_本人確認</t>
        </is>
      </c>
      <c r="C67" s="35" t="inlineStr">
        <is>
          <t>66</t>
        </is>
      </c>
      <c r="D67" s="36" t="inlineStr">
        <is>
          <t>判定実施（チェックなし ＋ 補助コメントテキスト欄入力）</t>
        </is>
      </c>
      <c r="E67" s="36" t="inlineStr"/>
      <c r="F67" s="36" t="inlineStr"/>
      <c r="G67" s="35" t="inlineStr"/>
      <c r="H67" s="37" t="inlineStr">
        <is>
          <t>A-07</t>
        </is>
      </c>
      <c r="I67" s="35" t="inlineStr">
        <is>
          <t>あり</t>
        </is>
      </c>
      <c r="J67" s="36" t="inlineStr">
        <is>
          <t>整理メモの対応表より A-07</t>
        </is>
      </c>
    </row>
    <row r="68" ht="30" customHeight="1">
      <c r="A68" s="34" t="n">
        <v>67</v>
      </c>
      <c r="B68" s="35" t="inlineStr">
        <is>
          <t>01_本人確認</t>
        </is>
      </c>
      <c r="C68" s="35" t="inlineStr">
        <is>
          <t>67</t>
        </is>
      </c>
      <c r="D68" s="36" t="inlineStr"/>
      <c r="E68" s="36" t="inlineStr"/>
      <c r="F68" s="36" t="inlineStr"/>
      <c r="G68" s="35" t="inlineStr"/>
      <c r="H68" s="35" t="inlineStr"/>
      <c r="I68" s="35" t="inlineStr">
        <is>
          <t>あり</t>
        </is>
      </c>
      <c r="J68" s="36" t="inlineStr"/>
    </row>
    <row r="69" ht="30" customHeight="1">
      <c r="A69" s="34" t="n">
        <v>68</v>
      </c>
      <c r="B69" s="35" t="inlineStr">
        <is>
          <t>01_本人確認</t>
        </is>
      </c>
      <c r="C69" s="35" t="inlineStr">
        <is>
          <t>68</t>
        </is>
      </c>
      <c r="D69" s="36" t="inlineStr">
        <is>
          <t>判定実施（チェックあり ＋ 補助コメントプルダウン選択）</t>
        </is>
      </c>
      <c r="E69" s="36" t="inlineStr">
        <is>
          <t>43 チェックなし＋プルダウン   45 チェックあり＋テキスト / 66 チェックなし＋テキスト     68 チェックあり＋プルダウン / → 2プロファイルを合わせて 4通りの組み合わせを網羅している。 / 意図的な設計と思われる。</t>
        </is>
      </c>
      <c r="F69" s="36" t="inlineStr"/>
      <c r="G69" s="35" t="inlineStr"/>
      <c r="H69" s="37" t="inlineStr">
        <is>
          <t>A-07</t>
        </is>
      </c>
      <c r="I69" s="35" t="inlineStr">
        <is>
          <t>あり</t>
        </is>
      </c>
      <c r="J69" s="36" t="inlineStr">
        <is>
          <t>ケース43/45 とは組み合わせが逆になっている。 / 整理メモの対応表より A-07</t>
        </is>
      </c>
    </row>
    <row r="70" ht="30" customHeight="1">
      <c r="A70" s="34" t="n">
        <v>69</v>
      </c>
      <c r="B70" s="35" t="inlineStr">
        <is>
          <t>01_本人確認</t>
        </is>
      </c>
      <c r="C70" s="35" t="inlineStr">
        <is>
          <t>69</t>
        </is>
      </c>
      <c r="D70" s="36" t="inlineStr">
        <is>
          <t>検索画面に戻る</t>
        </is>
      </c>
      <c r="E70" s="36" t="inlineStr"/>
      <c r="F70" s="36" t="inlineStr"/>
      <c r="G70" s="35" t="inlineStr">
        <is>
          <t>OK</t>
        </is>
      </c>
      <c r="H70" s="35" t="inlineStr"/>
      <c r="I70" s="35" t="inlineStr">
        <is>
          <t>あり</t>
        </is>
      </c>
      <c r="J70" s="36" t="inlineStr"/>
    </row>
    <row r="71" ht="30" customHeight="1">
      <c r="A71" s="34" t="n">
        <v>70</v>
      </c>
      <c r="B71" s="35" t="inlineStr">
        <is>
          <t>01_本人確認</t>
        </is>
      </c>
      <c r="C71" s="35" t="inlineStr">
        <is>
          <t>70</t>
        </is>
      </c>
      <c r="D71" s="36" t="inlineStr">
        <is>
          <t>判定履歴照会 /</t>
        </is>
      </c>
      <c r="E71" s="36" t="inlineStr"/>
      <c r="F71" s="36" t="inlineStr"/>
      <c r="G71" s="35" t="inlineStr"/>
      <c r="H71" s="35" t="inlineStr"/>
      <c r="I71" s="35" t="inlineStr">
        <is>
          <t>あり</t>
        </is>
      </c>
      <c r="J71" s="36" t="inlineStr"/>
    </row>
    <row r="72" ht="30" customHeight="1">
      <c r="A72" s="34" t="n">
        <v>71</v>
      </c>
      <c r="B72" s="35" t="inlineStr">
        <is>
          <t>01_本人確認</t>
        </is>
      </c>
      <c r="C72" s="35" t="inlineStr">
        <is>
          <t>71</t>
        </is>
      </c>
      <c r="D72" s="36" t="inlineStr">
        <is>
          <t>検索（横浜部店アカウントの判定履歴は出ない）</t>
        </is>
      </c>
      <c r="E72" s="36" t="inlineStr"/>
      <c r="F72" s="36" t="inlineStr"/>
      <c r="G72" s="35" t="inlineStr">
        <is>
          <t>OK</t>
        </is>
      </c>
      <c r="H72" s="35" t="inlineStr"/>
      <c r="I72" s="35" t="inlineStr">
        <is>
          <t>あり</t>
        </is>
      </c>
      <c r="J72" s="36" t="inlineStr"/>
    </row>
    <row r="73" ht="30" customHeight="1">
      <c r="A73" s="34" t="n">
        <v>72</v>
      </c>
      <c r="B73" s="35" t="inlineStr">
        <is>
          <t>01_本人確認</t>
        </is>
      </c>
      <c r="C73" s="35" t="inlineStr">
        <is>
          <t>72</t>
        </is>
      </c>
      <c r="D73" s="36" t="inlineStr">
        <is>
          <t>CSV出力 /</t>
        </is>
      </c>
      <c r="E73" s="36" t="inlineStr"/>
      <c r="F73" s="36" t="inlineStr"/>
      <c r="G73" s="35" t="inlineStr"/>
      <c r="H73" s="35" t="inlineStr"/>
      <c r="I73" s="35" t="inlineStr">
        <is>
          <t>あり</t>
        </is>
      </c>
      <c r="J73" s="36" t="inlineStr"/>
    </row>
    <row r="74" ht="30" customHeight="1">
      <c r="A74" s="34" t="n">
        <v>73</v>
      </c>
      <c r="B74" s="35" t="inlineStr">
        <is>
          <t>01_本人確認</t>
        </is>
      </c>
      <c r="C74" s="35" t="inlineStr">
        <is>
          <t>73</t>
        </is>
      </c>
      <c r="D74" s="36" t="inlineStr">
        <is>
          <t>ファイル出力</t>
        </is>
      </c>
      <c r="E74" s="36" t="inlineStr"/>
      <c r="F74" s="36" t="inlineStr"/>
      <c r="G74" s="35" t="inlineStr">
        <is>
          <t>OK</t>
        </is>
      </c>
      <c r="H74" s="35" t="inlineStr"/>
      <c r="I74" s="35" t="inlineStr">
        <is>
          <t>あり</t>
        </is>
      </c>
      <c r="J74" s="36" t="inlineStr"/>
    </row>
    <row r="75" ht="30" customHeight="1">
      <c r="A75" s="34" t="n">
        <v>74</v>
      </c>
      <c r="B75" s="35" t="inlineStr">
        <is>
          <t>01_本人確認</t>
        </is>
      </c>
      <c r="C75" s="35" t="inlineStr">
        <is>
          <t>74</t>
        </is>
      </c>
      <c r="D75" s="36" t="inlineStr">
        <is>
          <t>結果選択</t>
        </is>
      </c>
      <c r="E75" s="36" t="inlineStr">
        <is>
          <t>表示されること : OFAC / 警察庁（個人）/（法人）/ ~~警察庁（IB）~~ / 全銀協（個人）/（法人）/ DJ 外国PEPs / DJ 国内PEPs / 全銀協（生保）/（損保）/ 行内要注意情報 / BファイルC情報 / 表示されないこと : 財務省 / JCIF PEPs / DJ 船舶リスト</t>
        </is>
      </c>
      <c r="F75" s="36" t="inlineStr"/>
      <c r="G75" s="35" t="inlineStr"/>
      <c r="H75" s="37" t="inlineStr">
        <is>
          <t>A-04／A-05</t>
        </is>
      </c>
      <c r="I75" s="35" t="inlineStr">
        <is>
          <t>あり</t>
        </is>
      </c>
      <c r="J75" s="36" t="inlineStr">
        <is>
          <t>「DJ OFAC/企業リスト」が無い。 → 下の【所見1】参照 / 整理メモの対応表より A-04・A-05</t>
        </is>
      </c>
    </row>
    <row r="76" ht="30" customHeight="1">
      <c r="A76" s="34" t="n">
        <v>75</v>
      </c>
      <c r="B76" s="35" t="inlineStr">
        <is>
          <t>01_本人確認</t>
        </is>
      </c>
      <c r="C76" s="35" t="inlineStr">
        <is>
          <t>75</t>
        </is>
      </c>
      <c r="D76" s="36" t="inlineStr">
        <is>
          <t>判定実施  ※手順不可（赤字）</t>
        </is>
      </c>
      <c r="E76" s="36" t="inlineStr">
        <is>
          <t>①該当リスト一覧の「一致する」列のチェックボックスすべてにチェックを入れる / ②判定ボタン ③ダイアログ ④OK ⑤キャンセルボタン</t>
        </is>
      </c>
      <c r="F76" s="36" t="inlineStr">
        <is>
          <t>①すべてにチェックが入ること / ④判定日時・判定者・キャンセルボタン / ⑤未判定照会画面に遷移すること（検索結果は表示されたまま） / 実施件数の「− 3件」のうちの1つと思われる。→ 下の【所見3】参照</t>
        </is>
      </c>
      <c r="G76" s="35" t="inlineStr"/>
      <c r="H76" s="35" t="inlineStr"/>
      <c r="I76" s="35" t="inlineStr">
        <is>
          <t>あり</t>
        </is>
      </c>
      <c r="J76" s="36" t="inlineStr">
        <is>
          <t>赤字で「手順不可」と書かれている。</t>
        </is>
      </c>
    </row>
    <row r="77" ht="30" customHeight="1">
      <c r="A77" s="34" t="n">
        <v>76</v>
      </c>
      <c r="B77" s="35" t="inlineStr">
        <is>
          <t>01_本人確認</t>
        </is>
      </c>
      <c r="C77" s="35" t="inlineStr">
        <is>
          <t>76</t>
        </is>
      </c>
      <c r="D77" s="36" t="inlineStr">
        <is>
          <t>ログアウト</t>
        </is>
      </c>
      <c r="E77" s="36" t="inlineStr"/>
      <c r="F77" s="36" t="inlineStr"/>
      <c r="G77" s="35" t="inlineStr">
        <is>
          <t>OK</t>
        </is>
      </c>
      <c r="H77" s="35" t="inlineStr"/>
      <c r="I77" s="35" t="inlineStr">
        <is>
          <t>あり</t>
        </is>
      </c>
      <c r="J77" s="36" t="inlineStr"/>
    </row>
    <row r="78" ht="30" customHeight="1">
      <c r="A78" s="34" t="n">
        <v>77</v>
      </c>
      <c r="B78" s="35" t="inlineStr">
        <is>
          <t>01_本人確認</t>
        </is>
      </c>
      <c r="C78" s="35" t="inlineStr">
        <is>
          <t>77</t>
        </is>
      </c>
      <c r="D78" s="36" t="inlineStr">
        <is>
          <t>Web画面ログイン</t>
        </is>
      </c>
      <c r="E78" s="36" t="inlineStr">
        <is>
          <t>LF_PIC でログインできること</t>
        </is>
      </c>
      <c r="F78" s="36" t="inlineStr"/>
      <c r="G78" s="35" t="inlineStr">
        <is>
          <t>OK</t>
        </is>
      </c>
      <c r="H78" s="37" t="inlineStr">
        <is>
          <t>A-14</t>
        </is>
      </c>
      <c r="I78" s="35" t="inlineStr">
        <is>
          <t>あり</t>
        </is>
      </c>
      <c r="J78" s="36" t="inlineStr">
        <is>
          <t>整理メモの対応表より A-14</t>
        </is>
      </c>
    </row>
    <row r="79" ht="30" customHeight="1">
      <c r="A79" s="34" t="n">
        <v>78</v>
      </c>
      <c r="B79" s="35" t="inlineStr">
        <is>
          <t>01_本人確認</t>
        </is>
      </c>
      <c r="C79" s="35" t="inlineStr">
        <is>
          <t>78</t>
        </is>
      </c>
      <c r="D79" s="36" t="inlineStr">
        <is>
          <t>メニュー確認</t>
        </is>
      </c>
      <c r="E79" s="36" t="inlineStr">
        <is>
          <t>本人確認 / 本人確認仕掛照会 / 判定履歴照会</t>
        </is>
      </c>
      <c r="F79" s="36" t="inlineStr"/>
      <c r="G79" s="35" t="inlineStr"/>
      <c r="H79" s="37" t="inlineStr">
        <is>
          <t>A-14</t>
        </is>
      </c>
      <c r="I79" s="35" t="inlineStr">
        <is>
          <t>あり</t>
        </is>
      </c>
      <c r="J79" s="36" t="inlineStr">
        <is>
          <t>管理者2種（23・55）と同じ3メニュー                          OK / 整理メモの対応表より A-14</t>
        </is>
      </c>
    </row>
    <row r="80" ht="30" customHeight="1">
      <c r="A80" s="34" t="n">
        <v>79</v>
      </c>
      <c r="B80" s="35" t="inlineStr">
        <is>
          <t>01_本人確認</t>
        </is>
      </c>
      <c r="C80" s="35" t="inlineStr">
        <is>
          <t>79</t>
        </is>
      </c>
      <c r="D80" s="36" t="inlineStr">
        <is>
          <t>本人確認 /</t>
        </is>
      </c>
      <c r="E80" s="36" t="inlineStr"/>
      <c r="F80" s="36" t="inlineStr"/>
      <c r="G80" s="35" t="inlineStr"/>
      <c r="H80" s="35" t="inlineStr"/>
      <c r="I80" s="35" t="inlineStr">
        <is>
          <t>あり</t>
        </is>
      </c>
      <c r="J80" s="36" t="inlineStr"/>
    </row>
    <row r="81" ht="30" customHeight="1">
      <c r="A81" s="34" t="n">
        <v>80</v>
      </c>
      <c r="B81" s="35" t="inlineStr">
        <is>
          <t>01_本人確認</t>
        </is>
      </c>
      <c r="C81" s="35" t="inlineStr">
        <is>
          <t>80</t>
        </is>
      </c>
      <c r="D81" s="36" t="inlineStr">
        <is>
          <t>フィルタリング実行（無）</t>
        </is>
      </c>
      <c r="E81" s="36" t="inlineStr"/>
      <c r="F81" s="36" t="inlineStr"/>
      <c r="G81" s="35" t="inlineStr">
        <is>
          <t>OK</t>
        </is>
      </c>
      <c r="H81" s="35" t="inlineStr"/>
      <c r="I81" s="35" t="inlineStr">
        <is>
          <t>あり</t>
        </is>
      </c>
      <c r="J81" s="36" t="inlineStr"/>
    </row>
    <row r="82" ht="30" customHeight="1">
      <c r="A82" s="34" t="n">
        <v>81</v>
      </c>
      <c r="B82" s="35" t="inlineStr">
        <is>
          <t>01_本人確認</t>
        </is>
      </c>
      <c r="C82" s="35" t="inlineStr">
        <is>
          <t>81</t>
        </is>
      </c>
      <c r="D82" s="36" t="inlineStr">
        <is>
          <t>フィルタリング実行（有）</t>
        </is>
      </c>
      <c r="E82" s="36" t="inlineStr">
        <is>
          <t>法人／えるえふ太郎</t>
        </is>
      </c>
      <c r="F82" s="36" t="inlineStr">
        <is>
          <t>（ほぼ全文が赤字＝今回の変更点） / ~~該当リスト一覧が表示されないこと~~          ←赤字取消 / 該当リスト一覧に、下記のリストヒットが表示されること / OFAC / 警察庁（個人）/（法人）/ 全銀協（個人）/（法人） / DJ 外国PEPs / DJ 国内PEPs / 全銀協（生保）/（損保） / 行内要注意情報 / BファイルC情報 / DJ OFAC/企業リスト / 下記は表示されないこと / 財務省 / JCIF PEPs / DJ 船舶リスト / リスト情報は表示されないこと（ヒット箇所が不明なこと） / 判定ボタンが表示されないこと / OK / ・どのリストにヒットしたかは見える / ・ヒット箇所（リスト情報）は見えない / ・判定できない（判定ボタンが無い） / → これが管理者との権限差分。</t>
        </is>
      </c>
      <c r="G82" s="35" t="inlineStr"/>
      <c r="H82" s="37" t="inlineStr">
        <is>
          <t>A-04／A-05／A-14</t>
        </is>
      </c>
      <c r="I82" s="35" t="inlineStr">
        <is>
          <t>あり</t>
        </is>
      </c>
      <c r="J82" s="36" t="inlineStr">
        <is>
          <t>★★ 権限差分の核心 / 担当者は / 整理メモの対応表より A-04・A-05・A-14</t>
        </is>
      </c>
    </row>
    <row r="83" ht="30" customHeight="1">
      <c r="A83" s="34" t="n">
        <v>82</v>
      </c>
      <c r="B83" s="35" t="inlineStr">
        <is>
          <t>01_本人確認</t>
        </is>
      </c>
      <c r="C83" s="35" t="inlineStr">
        <is>
          <t>82</t>
        </is>
      </c>
      <c r="D83" s="36" t="inlineStr">
        <is>
          <t>本人確認仕掛照会</t>
        </is>
      </c>
      <c r="E83" s="36" t="inlineStr"/>
      <c r="F83" s="36" t="inlineStr"/>
      <c r="G83" s="35" t="inlineStr">
        <is>
          <t>OK</t>
        </is>
      </c>
      <c r="H83" s="35" t="inlineStr"/>
      <c r="I83" s="35" t="inlineStr">
        <is>
          <t>あり</t>
        </is>
      </c>
      <c r="J83" s="36" t="inlineStr"/>
    </row>
    <row r="84" ht="30" customHeight="1">
      <c r="A84" s="34" t="n">
        <v>83</v>
      </c>
      <c r="B84" s="35" t="inlineStr">
        <is>
          <t>01_本人確認</t>
        </is>
      </c>
      <c r="C84" s="35" t="inlineStr">
        <is>
          <t>83</t>
        </is>
      </c>
      <c r="D84" s="36" t="inlineStr">
        <is>
          <t>検索</t>
        </is>
      </c>
      <c r="E84" s="36" t="inlineStr">
        <is>
          <t>~~横浜花子が…~~ → 横浜アカウントの本人確認仕掛は表示されない</t>
        </is>
      </c>
      <c r="F84" s="36" t="inlineStr"/>
      <c r="G84" s="35" t="inlineStr">
        <is>
          <t>OK</t>
        </is>
      </c>
      <c r="H84" s="35" t="inlineStr"/>
      <c r="I84" s="35" t="inlineStr">
        <is>
          <t>あり</t>
        </is>
      </c>
      <c r="J84" s="36" t="inlineStr"/>
    </row>
    <row r="85" ht="30" customHeight="1">
      <c r="A85" s="34" t="n">
        <v>84</v>
      </c>
      <c r="B85" s="35" t="inlineStr">
        <is>
          <t>01_本人確認</t>
        </is>
      </c>
      <c r="C85" s="35" t="inlineStr">
        <is>
          <t>84</t>
        </is>
      </c>
      <c r="D85" s="36" t="inlineStr">
        <is>
          <t>CSV出力</t>
        </is>
      </c>
      <c r="E85" s="36" t="inlineStr"/>
      <c r="F85" s="36" t="inlineStr"/>
      <c r="G85" s="35" t="inlineStr">
        <is>
          <t>OK</t>
        </is>
      </c>
      <c r="H85" s="35" t="inlineStr"/>
      <c r="I85" s="35" t="inlineStr">
        <is>
          <t>あり</t>
        </is>
      </c>
      <c r="J85" s="36" t="inlineStr"/>
    </row>
    <row r="86" ht="30" customHeight="1">
      <c r="A86" s="34" t="n">
        <v>85</v>
      </c>
      <c r="B86" s="35" t="inlineStr">
        <is>
          <t>01_本人確認</t>
        </is>
      </c>
      <c r="C86" s="35" t="inlineStr">
        <is>
          <t>85</t>
        </is>
      </c>
      <c r="D86" s="36" t="inlineStr">
        <is>
          <t>結果選択</t>
        </is>
      </c>
      <c r="E86" s="36" t="inlineStr">
        <is>
          <t>81 と同じ（リスト情報なし・判定ボタンなし）</t>
        </is>
      </c>
      <c r="F86" s="36" t="inlineStr"/>
      <c r="G86" s="35" t="inlineStr">
        <is>
          <t>OK</t>
        </is>
      </c>
      <c r="H86" s="37" t="inlineStr">
        <is>
          <t>A-04／A-05／A-14</t>
        </is>
      </c>
      <c r="I86" s="35" t="inlineStr">
        <is>
          <t>あり</t>
        </is>
      </c>
      <c r="J86" s="36" t="inlineStr">
        <is>
          <t>整理メモの対応表より A-04・A-05・A-14</t>
        </is>
      </c>
    </row>
    <row r="87" ht="30" customHeight="1">
      <c r="A87" s="34" t="n">
        <v>86</v>
      </c>
      <c r="B87" s="35" t="inlineStr">
        <is>
          <t>01_本人確認</t>
        </is>
      </c>
      <c r="C87" s="35" t="inlineStr">
        <is>
          <t>86</t>
        </is>
      </c>
      <c r="D87" s="36" t="inlineStr">
        <is>
          <t>判定実施</t>
        </is>
      </c>
      <c r="E87" s="36" t="inlineStr">
        <is>
          <t>キャンセルボタンをクリック → 未判定照会画面へ</t>
        </is>
      </c>
      <c r="F87" s="36" t="inlineStr"/>
      <c r="G87" s="35" t="inlineStr">
        <is>
          <t>OK</t>
        </is>
      </c>
      <c r="H87" s="37" t="inlineStr">
        <is>
          <t>A-14</t>
        </is>
      </c>
      <c r="I87" s="35" t="inlineStr">
        <is>
          <t>あり</t>
        </is>
      </c>
      <c r="J87" s="36" t="inlineStr">
        <is>
          <t>判定できないので、テスト方法が「キャンセルを押すだけ」になっている。 / 整理メモの対応表より A-14</t>
        </is>
      </c>
    </row>
    <row r="88" ht="30" customHeight="1">
      <c r="A88" s="34" t="n">
        <v>87</v>
      </c>
      <c r="B88" s="35" t="inlineStr">
        <is>
          <t>01_本人確認</t>
        </is>
      </c>
      <c r="C88" s="35" t="inlineStr">
        <is>
          <t>87</t>
        </is>
      </c>
      <c r="D88" s="36" t="inlineStr">
        <is>
          <t>判定履歴照会 /</t>
        </is>
      </c>
      <c r="E88" s="36" t="inlineStr"/>
      <c r="F88" s="36" t="inlineStr"/>
      <c r="G88" s="35" t="inlineStr"/>
      <c r="H88" s="35" t="inlineStr"/>
      <c r="I88" s="35" t="inlineStr">
        <is>
          <t>あり</t>
        </is>
      </c>
      <c r="J88" s="36" t="inlineStr"/>
    </row>
    <row r="89" ht="30" customHeight="1">
      <c r="A89" s="34" t="n">
        <v>88</v>
      </c>
      <c r="B89" s="35" t="inlineStr">
        <is>
          <t>01_本人確認</t>
        </is>
      </c>
      <c r="C89" s="35" t="inlineStr">
        <is>
          <t>88</t>
        </is>
      </c>
      <c r="D89" s="36" t="inlineStr">
        <is>
          <t>検索（横浜花子が含まれない）</t>
        </is>
      </c>
      <c r="E89" s="36" t="inlineStr"/>
      <c r="F89" s="36" t="inlineStr"/>
      <c r="G89" s="35" t="inlineStr">
        <is>
          <t>OK</t>
        </is>
      </c>
      <c r="H89" s="35" t="inlineStr"/>
      <c r="I89" s="35" t="inlineStr">
        <is>
          <t>あり</t>
        </is>
      </c>
      <c r="J89" s="36" t="inlineStr"/>
    </row>
    <row r="90" ht="30" customHeight="1">
      <c r="A90" s="34" t="n">
        <v>89</v>
      </c>
      <c r="B90" s="35" t="inlineStr">
        <is>
          <t>01_本人確認</t>
        </is>
      </c>
      <c r="C90" s="35" t="inlineStr">
        <is>
          <t>89</t>
        </is>
      </c>
      <c r="D90" s="36" t="inlineStr">
        <is>
          <t>CSV出力 /</t>
        </is>
      </c>
      <c r="E90" s="36" t="inlineStr"/>
      <c r="F90" s="36" t="inlineStr"/>
      <c r="G90" s="35" t="inlineStr"/>
      <c r="H90" s="35" t="inlineStr"/>
      <c r="I90" s="35" t="inlineStr">
        <is>
          <t>あり</t>
        </is>
      </c>
      <c r="J90" s="36" t="inlineStr"/>
    </row>
    <row r="91" ht="30" customHeight="1">
      <c r="A91" s="34" t="n">
        <v>90</v>
      </c>
      <c r="B91" s="35" t="inlineStr">
        <is>
          <t>01_本人確認</t>
        </is>
      </c>
      <c r="C91" s="35" t="inlineStr">
        <is>
          <t>90</t>
        </is>
      </c>
      <c r="D91" s="36" t="inlineStr">
        <is>
          <t>ファイル出力</t>
        </is>
      </c>
      <c r="E91" s="36" t="inlineStr"/>
      <c r="F91" s="36" t="inlineStr"/>
      <c r="G91" s="35" t="inlineStr">
        <is>
          <t>OK</t>
        </is>
      </c>
      <c r="H91" s="35" t="inlineStr"/>
      <c r="I91" s="35" t="inlineStr">
        <is>
          <t>あり</t>
        </is>
      </c>
      <c r="J91" s="36" t="inlineStr"/>
    </row>
    <row r="92" ht="30" customHeight="1">
      <c r="A92" s="34" t="n">
        <v>91</v>
      </c>
      <c r="B92" s="35" t="inlineStr">
        <is>
          <t>01_本人確認</t>
        </is>
      </c>
      <c r="C92" s="35" t="inlineStr">
        <is>
          <t>91</t>
        </is>
      </c>
      <c r="D92" s="36" t="inlineStr">
        <is>
          <t>結果選択</t>
        </is>
      </c>
      <c r="E92" s="36" t="inlineStr">
        <is>
          <t>検索結果の左側の「判定表示」ボタンをクリックする  ←赤字（判定→判定表示）</t>
        </is>
      </c>
      <c r="F92" s="36" t="inlineStr">
        <is>
          <t>~~該当リスト一覧が表示されないこと~~ ←赤字取消 / リスト情報が表示されないこと     ←赤字 / 判定ボタンが表示されないこと / OK</t>
        </is>
      </c>
      <c r="G92" s="35" t="inlineStr"/>
      <c r="H92" s="37" t="inlineStr">
        <is>
          <t>A-14</t>
        </is>
      </c>
      <c r="I92" s="35" t="inlineStr">
        <is>
          <t>あり</t>
        </is>
      </c>
      <c r="J92" s="36" t="inlineStr">
        <is>
          <t>担当者はボタン名まで「判定」→「判定表示」と変わる。 / 整理メモの対応表より A-14</t>
        </is>
      </c>
    </row>
    <row r="93" ht="30" customHeight="1">
      <c r="A93" s="34" t="n">
        <v>92</v>
      </c>
      <c r="B93" s="35" t="inlineStr">
        <is>
          <t>01_本人確認</t>
        </is>
      </c>
      <c r="C93" s="35" t="inlineStr">
        <is>
          <t>92</t>
        </is>
      </c>
      <c r="D93" s="36" t="inlineStr">
        <is>
          <t>判定実施</t>
        </is>
      </c>
      <c r="E93" s="36" t="inlineStr">
        <is>
          <t>キャンセルボタン</t>
        </is>
      </c>
      <c r="F93" s="36" t="inlineStr"/>
      <c r="G93" s="35" t="inlineStr">
        <is>
          <t>OK</t>
        </is>
      </c>
      <c r="H93" s="37" t="inlineStr">
        <is>
          <t>A-14</t>
        </is>
      </c>
      <c r="I93" s="35" t="inlineStr">
        <is>
          <t>あり</t>
        </is>
      </c>
      <c r="J93" s="36" t="inlineStr">
        <is>
          <t>整理メモの対応表より A-14</t>
        </is>
      </c>
    </row>
    <row r="94" ht="30" customHeight="1">
      <c r="A94" s="34" t="n">
        <v>93</v>
      </c>
      <c r="B94" s="35" t="inlineStr">
        <is>
          <t>01_本人確認</t>
        </is>
      </c>
      <c r="C94" s="35" t="inlineStr">
        <is>
          <t>93</t>
        </is>
      </c>
      <c r="D94" s="36" t="inlineStr">
        <is>
          <t>ログアウト</t>
        </is>
      </c>
      <c r="E94" s="36" t="inlineStr">
        <is>
          <t>→ 93ケース、すべて読み終わった。</t>
        </is>
      </c>
      <c r="F94" s="36" t="inlineStr"/>
      <c r="G94" s="35" t="inlineStr">
        <is>
          <t>OK</t>
        </is>
      </c>
      <c r="H94" s="35" t="inlineStr"/>
      <c r="I94" s="35" t="inlineStr">
        <is>
          <t>あり</t>
        </is>
      </c>
      <c r="J94" s="36" t="inlineStr"/>
    </row>
    <row r="95" ht="30" customHeight="1">
      <c r="A95" s="34" t="n">
        <v>94</v>
      </c>
      <c r="B95" s="35" t="inlineStr">
        <is>
          <t>02_管理</t>
        </is>
      </c>
      <c r="C95" s="35" t="inlineStr">
        <is>
          <t>01</t>
        </is>
      </c>
      <c r="D95" s="36" t="inlineStr">
        <is>
          <t>Web画面ログイン</t>
        </is>
      </c>
      <c r="E95" s="36" t="inlineStr">
        <is>
          <t>LF_ADMIN_RISK でログインできること</t>
        </is>
      </c>
      <c r="F95" s="36" t="inlineStr"/>
      <c r="G95" s="35" t="inlineStr"/>
      <c r="H95" s="35" t="inlineStr"/>
      <c r="I95" s="35" t="inlineStr">
        <is>
          <t>あり</t>
        </is>
      </c>
      <c r="J95" s="36" t="inlineStr"/>
    </row>
    <row r="96" ht="30" customHeight="1">
      <c r="A96" s="34" t="n">
        <v>95</v>
      </c>
      <c r="B96" s="35" t="inlineStr">
        <is>
          <t>02_管理</t>
        </is>
      </c>
      <c r="C96" s="35" t="inlineStr">
        <is>
          <t>02</t>
        </is>
      </c>
      <c r="D96" s="36" t="inlineStr">
        <is>
          <t>メニュー確認</t>
        </is>
      </c>
      <c r="E96" s="36" t="inlineStr"/>
      <c r="F96" s="36" t="inlineStr">
        <is>
          <t>「管理」に下記が表示されていること / パスワード変更 / ユーザ管理 / 操作ログ照会 / に対する答え。「管理」グループはこの SCL で確認されている。</t>
        </is>
      </c>
      <c r="G96" s="35" t="inlineStr"/>
      <c r="H96" s="35" t="inlineStr"/>
      <c r="I96" s="35" t="inlineStr">
        <is>
          <t>あり</t>
        </is>
      </c>
      <c r="J96" s="36" t="inlineStr">
        <is>
          <t>★重要 / SCL#1 の所見2（メニュー確認が「本人確認」グループしか見ていない）</t>
        </is>
      </c>
    </row>
    <row r="97" ht="30" customHeight="1">
      <c r="A97" s="34" t="n">
        <v>96</v>
      </c>
      <c r="B97" s="35" t="inlineStr">
        <is>
          <t>02_管理</t>
        </is>
      </c>
      <c r="C97" s="35" t="inlineStr">
        <is>
          <t>03</t>
        </is>
      </c>
      <c r="D97" s="36" t="inlineStr">
        <is>
          <t>パスワード変更</t>
        </is>
      </c>
      <c r="E97" s="36" t="inlineStr">
        <is>
          <t>管理－パスワード変更 をクリック</t>
        </is>
      </c>
      <c r="F97" s="36" t="inlineStr">
        <is>
          <t>パスワード変更画面が表示される / ログインに使用したユーザコードが表示されていること</t>
        </is>
      </c>
      <c r="G97" s="35" t="inlineStr"/>
      <c r="H97" s="35" t="inlineStr"/>
      <c r="I97" s="35" t="inlineStr">
        <is>
          <t>あり</t>
        </is>
      </c>
      <c r="J97" s="36" t="inlineStr"/>
    </row>
    <row r="98" ht="30" customHeight="1">
      <c r="A98" s="34" t="n">
        <v>97</v>
      </c>
      <c r="B98" s="35" t="inlineStr">
        <is>
          <t>02_管理</t>
        </is>
      </c>
      <c r="C98" s="35" t="inlineStr">
        <is>
          <t>04</t>
        </is>
      </c>
      <c r="D98" s="36" t="inlineStr">
        <is>
          <t>確定</t>
        </is>
      </c>
      <c r="E98" s="36" t="inlineStr">
        <is>
          <t>現在のパスワードと新しいパスワード（Computer1）を入力し確定</t>
        </is>
      </c>
      <c r="F98" s="36" t="inlineStr">
        <is>
          <t>エラーが発生しないこと / 変更後のパスワードでログインできること</t>
        </is>
      </c>
      <c r="G98" s="35" t="inlineStr"/>
      <c r="H98" s="35" t="inlineStr"/>
      <c r="I98" s="35" t="inlineStr">
        <is>
          <t>あり</t>
        </is>
      </c>
      <c r="J98" s="36" t="inlineStr"/>
    </row>
    <row r="99" ht="30" customHeight="1">
      <c r="A99" s="34" t="n">
        <v>98</v>
      </c>
      <c r="B99" s="35" t="inlineStr">
        <is>
          <t>02_管理</t>
        </is>
      </c>
      <c r="C99" s="35" t="inlineStr">
        <is>
          <t>05</t>
        </is>
      </c>
      <c r="D99" s="36" t="inlineStr">
        <is>
          <t>ユーザ管理</t>
        </is>
      </c>
      <c r="E99" s="36" t="inlineStr">
        <is>
          <t>管理－ユーザ管理 → ユーザ管理画面が表示される</t>
        </is>
      </c>
      <c r="F99" s="36" t="inlineStr"/>
      <c r="G99" s="35" t="inlineStr"/>
      <c r="H99" s="35" t="inlineStr"/>
      <c r="I99" s="35" t="inlineStr">
        <is>
          <t>あり</t>
        </is>
      </c>
      <c r="J99" s="36" t="inlineStr"/>
    </row>
    <row r="100" ht="30" customHeight="1">
      <c r="A100" s="34" t="n">
        <v>99</v>
      </c>
      <c r="B100" s="35" t="inlineStr">
        <is>
          <t>02_管理</t>
        </is>
      </c>
      <c r="C100" s="35" t="inlineStr">
        <is>
          <t>06</t>
        </is>
      </c>
      <c r="D100" s="36" t="inlineStr">
        <is>
          <t>所属部店名</t>
        </is>
      </c>
      <c r="E100" s="36" t="inlineStr">
        <is>
          <t>プルダウンを表示する</t>
        </is>
      </c>
      <c r="F100" s="36" t="inlineStr">
        <is>
          <t>下記L&amp;F部店を含んだリストが表示されること / 一括照合用 / 監査部 / 経営企画部 / 業務改革室 / 人財部 / リスク管理部 / 財務経理部 / ITソリューション部 / 営業戦略部 / 営業推進部 / 与信企画室 / 融資第一部 / 融資第二部 / 債権管理部 / 本店営業第一部 / 本店営業第二部 / 本店営業第四部 / 新宿支店 / 池袋支店 / 横浜支店 / 大阪支店 / 名古屋支店 / 仙台支店 / 福岡支店 / 広島営業部 / 名称・順番とも一致。A-15 の落とし込みができている。</t>
        </is>
      </c>
      <c r="G100" s="35" t="inlineStr"/>
      <c r="H100" s="37" t="inlineStr">
        <is>
          <t>A-15</t>
        </is>
      </c>
      <c r="I100" s="35" t="inlineStr">
        <is>
          <t>あり</t>
        </is>
      </c>
      <c r="J100" s="36" t="inlineStr">
        <is>
          <t>★★★ A-15 の直接対応 / 25件すべてがヒアリングシート_部店コード（LF001〜LF025）と完全一致。</t>
        </is>
      </c>
    </row>
    <row r="101" ht="30" customHeight="1">
      <c r="A101" s="34" t="n">
        <v>100</v>
      </c>
      <c r="B101" s="35" t="inlineStr">
        <is>
          <t>02_管理</t>
        </is>
      </c>
      <c r="C101" s="35" t="inlineStr">
        <is>
          <t>07</t>
        </is>
      </c>
      <c r="D101" s="36" t="inlineStr">
        <is>
          <t>プロファイル</t>
        </is>
      </c>
      <c r="E101" s="36" t="inlineStr">
        <is>
          <t>プルダウンを表示する</t>
        </is>
      </c>
      <c r="F101" s="36" t="inlineStr">
        <is>
          <t>下記が表示されること / リスク管理部門（役席） / リスク管理部門（担当） / その他部門（役席） / その他部門（担当） / シミュレーション管理者 / シミュレーション担当者 / ロールなし / L&amp;F管理者（リスク管理部） / L&amp;F管理者（リスク管理部以外） / L&amp;F担当者 / 既存7種＋新規3種＝10種。 / 「L&amp;F管理者（リスク管理部）」の1件しか書かれていないが、 / SCL は3種とも検証している。 / → ヒアリングシート2部_プロファイル設定 に3種とも書かれているはず。 / Sheet1 に拾えていない可能性が高い。要確認。</t>
        </is>
      </c>
      <c r="G101" s="35" t="inlineStr"/>
      <c r="H101" s="37" t="inlineStr">
        <is>
          <t>A-14</t>
        </is>
      </c>
      <c r="I101" s="35" t="inlineStr">
        <is>
          <t>あり</t>
        </is>
      </c>
      <c r="J101" s="36" t="inlineStr">
        <is>
          <t>★★★ A-14 の直接対応 / L&amp;Fの新規プロファイル3種がすべて明記されている。 / 指摘候補⑤の裏付け。ヒアリング（A-14）は</t>
        </is>
      </c>
    </row>
    <row r="102" ht="30" customHeight="1">
      <c r="A102" s="34" t="n">
        <v>101</v>
      </c>
      <c r="B102" s="35" t="inlineStr">
        <is>
          <t>02_管理</t>
        </is>
      </c>
      <c r="C102" s="35" t="inlineStr">
        <is>
          <t>08</t>
        </is>
      </c>
      <c r="D102" s="36" t="inlineStr">
        <is>
          <t>ユーザ追加</t>
        </is>
      </c>
      <c r="E102" s="36" t="inlineStr">
        <is>
          <t>①「新規登録」ボタンをクリック ②プロファイル、担当部店を選択し追加</t>
        </is>
      </c>
      <c r="F102" s="36" t="inlineStr">
        <is>
          <t>エラーが発生しないこと / 入力したアカウント・パスワードでログインできること / （パスワード変更画面が表示されること）</t>
        </is>
      </c>
      <c r="G102" s="35" t="inlineStr"/>
      <c r="H102" s="35" t="inlineStr"/>
      <c r="I102" s="35" t="inlineStr">
        <is>
          <t>あり</t>
        </is>
      </c>
      <c r="J102" s="36" t="inlineStr"/>
    </row>
    <row r="103" ht="30" customHeight="1">
      <c r="A103" s="34" t="n">
        <v>102</v>
      </c>
      <c r="B103" s="35" t="inlineStr">
        <is>
          <t>02_管理</t>
        </is>
      </c>
      <c r="C103" s="35" t="inlineStr">
        <is>
          <t>09</t>
        </is>
      </c>
      <c r="D103" s="36" t="inlineStr">
        <is>
          <t>検索</t>
        </is>
      </c>
      <c r="E103" s="36" t="inlineStr">
        <is>
          <t>検索ボタンをクリック</t>
        </is>
      </c>
      <c r="F103" s="36" t="inlineStr">
        <is>
          <t>検索結果が表示される / 本人確認（SCL#1）では「横浜アカウントは表示されない」だったが、 / 管理機能では会社をまたいで見えるという設計。 / → 本人確認＝業務データは分離、管理＝ユーザ管理は横断、という使い分け。 / 意図どおりか確認する価値あり。</t>
        </is>
      </c>
      <c r="G103" s="35" t="inlineStr"/>
      <c r="H103" s="35" t="inlineStr"/>
      <c r="I103" s="35" t="inlineStr">
        <is>
          <t>あり</t>
        </is>
      </c>
      <c r="J103" s="36" t="inlineStr">
        <is>
          <t>横浜ユーザも表示される / SCL 本文に ★ が付いている＝注目点。</t>
        </is>
      </c>
    </row>
    <row r="104" ht="30" customHeight="1">
      <c r="A104" s="34" t="n">
        <v>103</v>
      </c>
      <c r="B104" s="35" t="inlineStr">
        <is>
          <t>02_管理</t>
        </is>
      </c>
      <c r="C104" s="35" t="inlineStr">
        <is>
          <t>10</t>
        </is>
      </c>
      <c r="D104" s="36" t="inlineStr">
        <is>
          <t>詳細</t>
        </is>
      </c>
      <c r="E104" s="36" t="inlineStr">
        <is>
          <t>ラジオボタン選択→詳細ボタン → ユーザ詳細画面</t>
        </is>
      </c>
      <c r="F104" s="36" t="inlineStr"/>
      <c r="G104" s="35" t="inlineStr"/>
      <c r="H104" s="35" t="inlineStr"/>
      <c r="I104" s="35" t="inlineStr">
        <is>
          <t>あり</t>
        </is>
      </c>
      <c r="J104" s="36" t="inlineStr"/>
    </row>
    <row r="105" ht="30" customHeight="1">
      <c r="A105" s="34" t="n">
        <v>104</v>
      </c>
      <c r="B105" s="35" t="inlineStr">
        <is>
          <t>02_管理</t>
        </is>
      </c>
      <c r="C105" s="35" t="inlineStr">
        <is>
          <t>11</t>
        </is>
      </c>
      <c r="D105" s="36" t="inlineStr">
        <is>
          <t>一覧画面へ → ユーザ管理画面</t>
        </is>
      </c>
      <c r="E105" s="36" t="inlineStr"/>
      <c r="F105" s="36" t="inlineStr"/>
      <c r="G105" s="35" t="inlineStr"/>
      <c r="H105" s="35" t="inlineStr"/>
      <c r="I105" s="35" t="inlineStr">
        <is>
          <t>あり</t>
        </is>
      </c>
      <c r="J105" s="36" t="inlineStr"/>
    </row>
    <row r="106" ht="30" customHeight="1">
      <c r="A106" s="34" t="n">
        <v>105</v>
      </c>
      <c r="B106" s="35" t="inlineStr">
        <is>
          <t>02_管理</t>
        </is>
      </c>
      <c r="C106" s="35" t="inlineStr">
        <is>
          <t>12</t>
        </is>
      </c>
      <c r="D106" s="36" t="inlineStr">
        <is>
          <t>変更</t>
        </is>
      </c>
      <c r="E106" s="36" t="inlineStr">
        <is>
          <t>ラジオボタン選択→変更ボタン → ユーザ登録変更画面</t>
        </is>
      </c>
      <c r="F106" s="36" t="inlineStr"/>
      <c r="G106" s="35" t="inlineStr"/>
      <c r="H106" s="35" t="inlineStr"/>
      <c r="I106" s="35" t="inlineStr">
        <is>
          <t>あり</t>
        </is>
      </c>
      <c r="J106" s="36" t="inlineStr"/>
    </row>
    <row r="107" ht="30" customHeight="1">
      <c r="A107" s="34" t="n">
        <v>106</v>
      </c>
      <c r="B107" s="35" t="inlineStr">
        <is>
          <t>02_管理</t>
        </is>
      </c>
      <c r="C107" s="35" t="inlineStr">
        <is>
          <t>13</t>
        </is>
      </c>
      <c r="D107" s="36" t="inlineStr">
        <is>
          <t>確定</t>
        </is>
      </c>
      <c r="E107" s="36" t="inlineStr">
        <is>
          <t>氏名・プロファイル・担当部店・パスワードを入力し確定 / → エラーが発生しないこと／入力したアカウントでログインできること</t>
        </is>
      </c>
      <c r="F107" s="36" t="inlineStr"/>
      <c r="G107" s="35" t="inlineStr"/>
      <c r="H107" s="35" t="inlineStr"/>
      <c r="I107" s="35" t="inlineStr">
        <is>
          <t>あり</t>
        </is>
      </c>
      <c r="J107" s="36" t="inlineStr"/>
    </row>
    <row r="108" ht="30" customHeight="1">
      <c r="A108" s="34" t="n">
        <v>107</v>
      </c>
      <c r="B108" s="35" t="inlineStr">
        <is>
          <t>02_管理</t>
        </is>
      </c>
      <c r="C108" s="35" t="inlineStr">
        <is>
          <t>14</t>
        </is>
      </c>
      <c r="D108" s="36" t="inlineStr">
        <is>
          <t>一覧画面へ</t>
        </is>
      </c>
      <c r="E108" s="36" t="inlineStr"/>
      <c r="F108" s="36" t="inlineStr"/>
      <c r="G108" s="35" t="inlineStr"/>
      <c r="H108" s="35" t="inlineStr"/>
      <c r="I108" s="35" t="inlineStr">
        <is>
          <t>あり</t>
        </is>
      </c>
      <c r="J108" s="36" t="inlineStr"/>
    </row>
    <row r="109" ht="30" customHeight="1">
      <c r="A109" s="34" t="n">
        <v>108</v>
      </c>
      <c r="B109" s="35" t="inlineStr">
        <is>
          <t>02_管理</t>
        </is>
      </c>
      <c r="C109" s="35" t="inlineStr">
        <is>
          <t>15</t>
        </is>
      </c>
      <c r="D109" s="36" t="inlineStr">
        <is>
          <t>変更</t>
        </is>
      </c>
      <c r="E109" s="36" t="inlineStr">
        <is>
          <t>ユーザ登録変更画面</t>
        </is>
      </c>
      <c r="F109" s="36" t="inlineStr"/>
      <c r="G109" s="35" t="inlineStr"/>
      <c r="H109" s="35" t="inlineStr"/>
      <c r="I109" s="35" t="inlineStr">
        <is>
          <t>あり</t>
        </is>
      </c>
      <c r="J109" s="36" t="inlineStr"/>
    </row>
    <row r="110" ht="30" customHeight="1">
      <c r="A110" s="34" t="n">
        <v>109</v>
      </c>
      <c r="B110" s="35" t="inlineStr">
        <is>
          <t>02_管理</t>
        </is>
      </c>
      <c r="C110" s="35" t="inlineStr">
        <is>
          <t>16</t>
        </is>
      </c>
      <c r="D110" s="36" t="inlineStr">
        <is>
          <t>（画面に出ていない。未確認）</t>
        </is>
      </c>
      <c r="E110" s="36" t="inlineStr"/>
      <c r="F110" s="36" t="inlineStr"/>
      <c r="G110" s="35" t="inlineStr"/>
      <c r="H110" s="35" t="inlineStr"/>
      <c r="I110" s="35" t="inlineStr">
        <is>
          <t>あり</t>
        </is>
      </c>
      <c r="J110" s="36" t="inlineStr"/>
    </row>
    <row r="111" ht="30" customHeight="1">
      <c r="A111" s="34" t="n">
        <v>110</v>
      </c>
      <c r="B111" s="35" t="inlineStr">
        <is>
          <t>02_管理</t>
        </is>
      </c>
      <c r="C111" s="35" t="inlineStr">
        <is>
          <t>17</t>
        </is>
      </c>
      <c r="D111" s="36" t="inlineStr">
        <is>
          <t>一覧画面へ → ユーザ管理画面</t>
        </is>
      </c>
      <c r="E111" s="36" t="inlineStr"/>
      <c r="F111" s="36" t="inlineStr"/>
      <c r="G111" s="35" t="inlineStr"/>
      <c r="H111" s="35" t="inlineStr"/>
      <c r="I111" s="35" t="inlineStr">
        <is>
          <t>あり</t>
        </is>
      </c>
      <c r="J111" s="36" t="inlineStr"/>
    </row>
    <row r="112" ht="30" customHeight="1">
      <c r="A112" s="34" t="n">
        <v>111</v>
      </c>
      <c r="B112" s="35" t="inlineStr">
        <is>
          <t>02_管理</t>
        </is>
      </c>
      <c r="C112" s="35" t="inlineStr">
        <is>
          <t>18</t>
        </is>
      </c>
      <c r="D112" s="36" t="inlineStr">
        <is>
          <t>操作ログ照会</t>
        </is>
      </c>
      <c r="E112" s="36" t="inlineStr">
        <is>
          <t>管理－操作ログ照会 → 操作ログ照会画面</t>
        </is>
      </c>
      <c r="F112" s="36" t="inlineStr"/>
      <c r="G112" s="35" t="inlineStr"/>
      <c r="H112" s="35" t="inlineStr"/>
      <c r="I112" s="35" t="inlineStr">
        <is>
          <t>あり</t>
        </is>
      </c>
      <c r="J112" s="36" t="inlineStr"/>
    </row>
    <row r="113" ht="30" customHeight="1">
      <c r="A113" s="34" t="n">
        <v>112</v>
      </c>
      <c r="B113" s="35" t="inlineStr">
        <is>
          <t>02_管理</t>
        </is>
      </c>
      <c r="C113" s="35" t="inlineStr">
        <is>
          <t>19</t>
        </is>
      </c>
      <c r="D113" s="36" t="inlineStr">
        <is>
          <t>検索</t>
        </is>
      </c>
      <c r="E113" s="36" t="inlineStr">
        <is>
          <t>操作ログの一覧が表示される</t>
        </is>
      </c>
      <c r="F113" s="36" t="inlineStr"/>
      <c r="G113" s="35" t="inlineStr"/>
      <c r="H113" s="35" t="inlineStr"/>
      <c r="I113" s="35" t="inlineStr">
        <is>
          <t>あり</t>
        </is>
      </c>
      <c r="J113" s="36" t="inlineStr"/>
    </row>
    <row r="114" ht="30" customHeight="1">
      <c r="A114" s="34" t="n">
        <v>113</v>
      </c>
      <c r="B114" s="35" t="inlineStr">
        <is>
          <t>02_管理</t>
        </is>
      </c>
      <c r="C114" s="35" t="inlineStr">
        <is>
          <t>20</t>
        </is>
      </c>
      <c r="D114" s="36" t="inlineStr">
        <is>
          <t>CSV出力</t>
        </is>
      </c>
      <c r="E114" s="36" t="inlineStr"/>
      <c r="F114" s="36" t="inlineStr">
        <is>
          <t>検索結果がCSV形式でダウンロードされる / CSVの内容は、操作ログ照会画面の検索結果と同一であること</t>
        </is>
      </c>
      <c r="G114" s="35" t="inlineStr"/>
      <c r="H114" s="35" t="inlineStr"/>
      <c r="I114" s="35" t="inlineStr">
        <is>
          <t>あり</t>
        </is>
      </c>
      <c r="J114" s="36" t="inlineStr"/>
    </row>
    <row r="115" ht="30" customHeight="1">
      <c r="A115" s="34" t="n">
        <v>114</v>
      </c>
      <c r="B115" s="35" t="inlineStr">
        <is>
          <t>02_管理</t>
        </is>
      </c>
      <c r="C115" s="35" t="inlineStr">
        <is>
          <t>21</t>
        </is>
      </c>
      <c r="D115" s="36" t="inlineStr">
        <is>
          <t>詳細</t>
        </is>
      </c>
      <c r="E115" s="36" t="inlineStr">
        <is>
          <t>「詳細ボタン」→ 操作ログ詳細画面に遷移する</t>
        </is>
      </c>
      <c r="F115" s="36" t="inlineStr"/>
      <c r="G115" s="35" t="inlineStr"/>
      <c r="H115" s="35" t="inlineStr"/>
      <c r="I115" s="35" t="inlineStr">
        <is>
          <t>あり</t>
        </is>
      </c>
      <c r="J115" s="36" t="inlineStr"/>
    </row>
    <row r="116" ht="30" customHeight="1">
      <c r="A116" s="34" t="n">
        <v>115</v>
      </c>
      <c r="B116" s="35" t="inlineStr">
        <is>
          <t>02_管理</t>
        </is>
      </c>
      <c r="C116" s="35" t="inlineStr">
        <is>
          <t>22</t>
        </is>
      </c>
      <c r="D116" s="36" t="inlineStr">
        <is>
          <t>一覧画面へ</t>
        </is>
      </c>
      <c r="E116" s="36" t="inlineStr">
        <is>
          <t>「一覧画面へ」ボタン → 操作ログ照会画面が表示される</t>
        </is>
      </c>
      <c r="F116" s="36" t="inlineStr"/>
      <c r="G116" s="35" t="inlineStr"/>
      <c r="H116" s="35" t="inlineStr"/>
      <c r="I116" s="35" t="inlineStr">
        <is>
          <t>あり</t>
        </is>
      </c>
      <c r="J116" s="36" t="inlineStr"/>
    </row>
    <row r="117" ht="30" customHeight="1">
      <c r="A117" s="34" t="n">
        <v>116</v>
      </c>
      <c r="B117" s="35" t="inlineStr">
        <is>
          <t>02_管理</t>
        </is>
      </c>
      <c r="C117" s="35" t="inlineStr">
        <is>
          <t>23</t>
        </is>
      </c>
      <c r="D117" s="36" t="inlineStr">
        <is>
          <t>ログアウト</t>
        </is>
      </c>
      <c r="E117" s="36" t="inlineStr">
        <is>
          <t>ログイン画面が表示される</t>
        </is>
      </c>
      <c r="F117" s="36" t="inlineStr"/>
      <c r="G117" s="35" t="inlineStr"/>
      <c r="H117" s="35" t="inlineStr"/>
      <c r="I117" s="35" t="inlineStr">
        <is>
          <t>あり</t>
        </is>
      </c>
      <c r="J117" s="36" t="inlineStr"/>
    </row>
    <row r="118" ht="30" customHeight="1">
      <c r="A118" s="34" t="n">
        <v>117</v>
      </c>
      <c r="B118" s="35" t="inlineStr">
        <is>
          <t>02_管理</t>
        </is>
      </c>
      <c r="C118" s="35" t="inlineStr">
        <is>
          <t>24</t>
        </is>
      </c>
      <c r="D118" s="36" t="inlineStr">
        <is>
          <t>Web画面ログイン</t>
        </is>
      </c>
      <c r="E118" s="36" t="inlineStr">
        <is>
          <t>LF_ADMIN_RISK_EXC でログインできること</t>
        </is>
      </c>
      <c r="F118" s="36" t="inlineStr"/>
      <c r="G118" s="35" t="inlineStr"/>
      <c r="H118" s="35" t="inlineStr"/>
      <c r="I118" s="35" t="inlineStr">
        <is>
          <t>あり</t>
        </is>
      </c>
      <c r="J118" s="36" t="inlineStr"/>
    </row>
    <row r="119" ht="30" customHeight="1">
      <c r="A119" s="34" t="n">
        <v>118</v>
      </c>
      <c r="B119" s="35" t="inlineStr">
        <is>
          <t>02_管理</t>
        </is>
      </c>
      <c r="C119" s="35" t="inlineStr">
        <is>
          <t>25</t>
        </is>
      </c>
      <c r="D119" s="36" t="inlineStr">
        <is>
          <t>メニュー確認</t>
        </is>
      </c>
      <c r="E119" s="36" t="inlineStr"/>
      <c r="F119" s="36" t="inlineStr">
        <is>
          <t>「管理」に下記が表示されていること / パスワード変更    ← これ1つだけ</t>
        </is>
      </c>
      <c r="G119" s="35" t="inlineStr"/>
      <c r="H119" s="35" t="inlineStr"/>
      <c r="I119" s="35" t="inlineStr">
        <is>
          <t>あり</t>
        </is>
      </c>
      <c r="J119" s="36" t="inlineStr">
        <is>
          <t>★★★</t>
        </is>
      </c>
    </row>
    <row r="120" ht="30" customHeight="1">
      <c r="A120" s="34" t="n">
        <v>119</v>
      </c>
      <c r="B120" s="35" t="inlineStr">
        <is>
          <t>02_管理</t>
        </is>
      </c>
      <c r="C120" s="35" t="inlineStr">
        <is>
          <t>26</t>
        </is>
      </c>
      <c r="D120" s="36" t="inlineStr">
        <is>
          <t>パスワード変更</t>
        </is>
      </c>
      <c r="E120" s="36" t="inlineStr">
        <is>
          <t>画面が表示される／ログインに使用したユーザコードが表示される</t>
        </is>
      </c>
      <c r="F120" s="36" t="inlineStr"/>
      <c r="G120" s="35" t="inlineStr"/>
      <c r="H120" s="35" t="inlineStr"/>
      <c r="I120" s="35" t="inlineStr">
        <is>
          <t>あり</t>
        </is>
      </c>
      <c r="J120" s="36" t="inlineStr"/>
    </row>
    <row r="121" ht="30" customHeight="1">
      <c r="A121" s="34" t="n">
        <v>120</v>
      </c>
      <c r="B121" s="35" t="inlineStr">
        <is>
          <t>02_管理</t>
        </is>
      </c>
      <c r="C121" s="35" t="inlineStr">
        <is>
          <t>27</t>
        </is>
      </c>
      <c r="D121" s="36" t="inlineStr">
        <is>
          <t>確定</t>
        </is>
      </c>
      <c r="E121" s="36" t="inlineStr">
        <is>
          <t>新しいパスワード Computer1 → エラーなし／変更後のパスワードでログイン可</t>
        </is>
      </c>
      <c r="F121" s="36" t="inlineStr"/>
      <c r="G121" s="35" t="inlineStr"/>
      <c r="H121" s="35" t="inlineStr"/>
      <c r="I121" s="35" t="inlineStr">
        <is>
          <t>あり</t>
        </is>
      </c>
      <c r="J121" s="36" t="inlineStr"/>
    </row>
    <row r="122" ht="30" customHeight="1">
      <c r="A122" s="34" t="n">
        <v>121</v>
      </c>
      <c r="B122" s="35" t="inlineStr">
        <is>
          <t>02_管理</t>
        </is>
      </c>
      <c r="C122" s="35" t="inlineStr">
        <is>
          <t>28</t>
        </is>
      </c>
      <c r="D122" s="36" t="inlineStr">
        <is>
          <t>ログアウト</t>
        </is>
      </c>
      <c r="E122" s="36" t="inlineStr"/>
      <c r="F122" s="36" t="inlineStr"/>
      <c r="G122" s="35" t="inlineStr"/>
      <c r="H122" s="35" t="inlineStr"/>
      <c r="I122" s="35" t="inlineStr">
        <is>
          <t>あり</t>
        </is>
      </c>
      <c r="J122" s="36" t="inlineStr"/>
    </row>
    <row r="123" ht="30" customHeight="1">
      <c r="A123" s="34" t="n">
        <v>122</v>
      </c>
      <c r="B123" s="35" t="inlineStr">
        <is>
          <t>02_管理</t>
        </is>
      </c>
      <c r="C123" s="35" t="inlineStr">
        <is>
          <t>29</t>
        </is>
      </c>
      <c r="D123" s="36" t="inlineStr">
        <is>
          <t>Web画面ログイン</t>
        </is>
      </c>
      <c r="E123" s="36" t="inlineStr">
        <is>
          <t>LF_PIC でログインできること</t>
        </is>
      </c>
      <c r="F123" s="36" t="inlineStr"/>
      <c r="G123" s="35" t="inlineStr"/>
      <c r="H123" s="35" t="inlineStr"/>
      <c r="I123" s="35" t="inlineStr">
        <is>
          <t>あり</t>
        </is>
      </c>
      <c r="J123" s="36" t="inlineStr"/>
    </row>
    <row r="124" ht="30" customHeight="1">
      <c r="A124" s="34" t="n">
        <v>123</v>
      </c>
      <c r="B124" s="35" t="inlineStr">
        <is>
          <t>02_管理</t>
        </is>
      </c>
      <c r="C124" s="35" t="inlineStr">
        <is>
          <t>30</t>
        </is>
      </c>
      <c r="D124" s="36" t="inlineStr">
        <is>
          <t>メニュー確認</t>
        </is>
      </c>
      <c r="E124" s="36" t="inlineStr"/>
      <c r="F124" s="36" t="inlineStr">
        <is>
          <t>「管理」に下記が表示されていること / パスワード変更    ← これ1つだけ</t>
        </is>
      </c>
      <c r="G124" s="35" t="inlineStr"/>
      <c r="H124" s="35" t="inlineStr"/>
      <c r="I124" s="35" t="inlineStr">
        <is>
          <t>あり</t>
        </is>
      </c>
      <c r="J124" s="36" t="inlineStr">
        <is>
          <t>★★★</t>
        </is>
      </c>
    </row>
    <row r="125" ht="30" customHeight="1">
      <c r="A125" s="34" t="n">
        <v>124</v>
      </c>
      <c r="B125" s="35" t="inlineStr">
        <is>
          <t>02_管理</t>
        </is>
      </c>
      <c r="C125" s="35" t="inlineStr">
        <is>
          <t>31</t>
        </is>
      </c>
      <c r="D125" s="36" t="inlineStr">
        <is>
          <t>パスワード変更</t>
        </is>
      </c>
      <c r="E125" s="36" t="inlineStr">
        <is>
          <t>画面が表示される／ユーザコードが表示される</t>
        </is>
      </c>
      <c r="F125" s="36" t="inlineStr"/>
      <c r="G125" s="35" t="inlineStr"/>
      <c r="H125" s="35" t="inlineStr"/>
      <c r="I125" s="35" t="inlineStr">
        <is>
          <t>あり</t>
        </is>
      </c>
      <c r="J125" s="36" t="inlineStr"/>
    </row>
    <row r="126" ht="30" customHeight="1">
      <c r="A126" s="34" t="n">
        <v>125</v>
      </c>
      <c r="B126" s="35" t="inlineStr">
        <is>
          <t>02_管理</t>
        </is>
      </c>
      <c r="C126" s="35" t="inlineStr">
        <is>
          <t>32</t>
        </is>
      </c>
      <c r="D126" s="36" t="inlineStr">
        <is>
          <t>確定</t>
        </is>
      </c>
      <c r="E126" s="36" t="inlineStr">
        <is>
          <t>エラーなし／変更後のパスワードでログイン可</t>
        </is>
      </c>
      <c r="F126" s="36" t="inlineStr"/>
      <c r="G126" s="35" t="inlineStr"/>
      <c r="H126" s="35" t="inlineStr"/>
      <c r="I126" s="35" t="inlineStr">
        <is>
          <t>あり</t>
        </is>
      </c>
      <c r="J126" s="36" t="inlineStr"/>
    </row>
    <row r="127" ht="30" customHeight="1">
      <c r="A127" s="34" t="n">
        <v>126</v>
      </c>
      <c r="B127" s="35" t="inlineStr">
        <is>
          <t>02_管理</t>
        </is>
      </c>
      <c r="C127" s="35" t="inlineStr">
        <is>
          <t>33</t>
        </is>
      </c>
      <c r="D127" s="36" t="inlineStr">
        <is>
          <t>ログアウト</t>
        </is>
      </c>
      <c r="E127" s="36" t="inlineStr">
        <is>
          <t>→ 33ケース、すべて読み終わった。</t>
        </is>
      </c>
      <c r="F127" s="36" t="inlineStr"/>
      <c r="G127" s="35" t="inlineStr"/>
      <c r="H127" s="35" t="inlineStr"/>
      <c r="I127" s="35" t="inlineStr">
        <is>
          <t>あり</t>
        </is>
      </c>
      <c r="J127" s="36" t="inlineStr"/>
    </row>
    <row r="128" ht="30" customHeight="1">
      <c r="A128" s="34" t="n">
        <v>127</v>
      </c>
      <c r="B128" s="35" t="inlineStr">
        <is>
          <t>03_リスト管理</t>
        </is>
      </c>
      <c r="C128" s="35" t="inlineStr">
        <is>
          <t>01</t>
        </is>
      </c>
      <c r="D128" s="36" t="inlineStr">
        <is>
          <t>Web画面ログイン</t>
        </is>
      </c>
      <c r="E128" s="36" t="inlineStr">
        <is>
          <t>LF_ADMIN_RISK でログインできること</t>
        </is>
      </c>
      <c r="F128" s="36" t="inlineStr"/>
      <c r="G128" s="35" t="inlineStr"/>
      <c r="H128" s="35" t="inlineStr"/>
      <c r="I128" s="35" t="inlineStr">
        <is>
          <t>あり</t>
        </is>
      </c>
      <c r="J128" s="36" t="inlineStr"/>
    </row>
    <row r="129" ht="30" customHeight="1">
      <c r="A129" s="34" t="n">
        <v>128</v>
      </c>
      <c r="B129" s="35" t="inlineStr">
        <is>
          <t>03_リスト管理</t>
        </is>
      </c>
      <c r="C129" s="35" t="inlineStr">
        <is>
          <t>02</t>
        </is>
      </c>
      <c r="D129" s="36" t="inlineStr">
        <is>
          <t>メニュー確認</t>
        </is>
      </c>
      <c r="E129" s="36" t="inlineStr"/>
      <c r="F129" s="36" t="inlineStr">
        <is>
          <t>「リスト管理」に下記が表示されていること / 登録済リスト参照 / リストアップロード / ホワイトリスト登録 / 本人確認   … SCL#1 ケース23・55・78 / 管理       … SCL#2 ケース02・25・30 / リスト管理 … SCL#3 ケース02</t>
        </is>
      </c>
      <c r="G129" s="35" t="inlineStr"/>
      <c r="H129" s="37" t="inlineStr">
        <is>
          <t>A-14</t>
        </is>
      </c>
      <c r="I129" s="35" t="inlineStr">
        <is>
          <t>あり</t>
        </is>
      </c>
      <c r="J129" s="36" t="inlineStr">
        <is>
          <t>★重要 / これで メニュー確認 は3グループそろった / 整理メモの対応表より A-14</t>
        </is>
      </c>
    </row>
    <row r="130" ht="30" customHeight="1">
      <c r="A130" s="34" t="n">
        <v>129</v>
      </c>
      <c r="B130" s="35" t="inlineStr">
        <is>
          <t>03_リスト管理</t>
        </is>
      </c>
      <c r="C130" s="35" t="inlineStr">
        <is>
          <t>03</t>
        </is>
      </c>
      <c r="D130" s="36" t="inlineStr">
        <is>
          <t>登録済リスト参照</t>
        </is>
      </c>
      <c r="E130" s="36" t="inlineStr">
        <is>
          <t>リスト管理－登録済リスト参照 → 画面が表示される</t>
        </is>
      </c>
      <c r="F130" s="36" t="inlineStr"/>
      <c r="G130" s="35" t="inlineStr"/>
      <c r="H130" s="35" t="inlineStr"/>
      <c r="I130" s="35" t="inlineStr">
        <is>
          <t>あり</t>
        </is>
      </c>
      <c r="J130" s="36" t="inlineStr"/>
    </row>
    <row r="131" ht="30" customHeight="1">
      <c r="A131" s="34" t="n">
        <v>130</v>
      </c>
      <c r="B131" s="35" t="inlineStr">
        <is>
          <t>03_リスト管理</t>
        </is>
      </c>
      <c r="C131" s="35" t="inlineStr">
        <is>
          <t>04</t>
        </is>
      </c>
      <c r="D131" s="36" t="inlineStr">
        <is>
          <t>ダウンロード</t>
        </is>
      </c>
      <c r="E131" s="36" t="inlineStr">
        <is>
          <t>表示されるリストのいずれかの右側「ダウンロード」 / → ファイルがダウンロードされる</t>
        </is>
      </c>
      <c r="F131" s="36" t="inlineStr"/>
      <c r="G131" s="35" t="inlineStr"/>
      <c r="H131" s="35" t="inlineStr"/>
      <c r="I131" s="35" t="inlineStr">
        <is>
          <t>あり</t>
        </is>
      </c>
      <c r="J131" s="36" t="inlineStr"/>
    </row>
    <row r="132" ht="30" customHeight="1">
      <c r="A132" s="34" t="n">
        <v>131</v>
      </c>
      <c r="B132" s="35" t="inlineStr">
        <is>
          <t>03_リスト管理</t>
        </is>
      </c>
      <c r="C132" s="35" t="inlineStr">
        <is>
          <t>05</t>
        </is>
      </c>
      <c r="D132" s="36" t="inlineStr">
        <is>
          <t>リストアップロード</t>
        </is>
      </c>
      <c r="E132" s="36" t="inlineStr">
        <is>
          <t>リスト管理－リストアップロード → 画面が表示される</t>
        </is>
      </c>
      <c r="F132" s="36" t="inlineStr"/>
      <c r="G132" s="35" t="inlineStr"/>
      <c r="H132" s="35" t="inlineStr"/>
      <c r="I132" s="35" t="inlineStr">
        <is>
          <t>あり</t>
        </is>
      </c>
      <c r="J132" s="36" t="inlineStr"/>
    </row>
    <row r="133" ht="30" customHeight="1">
      <c r="A133" s="34" t="n">
        <v>132</v>
      </c>
      <c r="B133" s="35" t="inlineStr">
        <is>
          <t>03_リスト管理</t>
        </is>
      </c>
      <c r="C133" s="35" t="inlineStr">
        <is>
          <t>06</t>
        </is>
      </c>
      <c r="D133" s="36" t="inlineStr">
        <is>
          <t>更新対象リスト</t>
        </is>
      </c>
      <c r="E133" s="36" t="inlineStr">
        <is>
          <t>更新対象リストのプルダウンを表示する</t>
        </is>
      </c>
      <c r="F133" s="36" t="inlineStr">
        <is>
          <t>下記が表示されること / 詐欺凍結口座（個人） / 詐欺凍結口座（法人） / IB不正送金先口座名義人リスト   ← ★所見1 / 全銀協反社リスト（個人） / 全銀協反社リスト（法人） / 全銀協反社リスト（生保） / 全銀協反社リスト（損保） / BファイルC情報                ← A-13</t>
        </is>
      </c>
      <c r="G133" s="35" t="inlineStr"/>
      <c r="H133" s="37" t="inlineStr">
        <is>
          <t>A-13</t>
        </is>
      </c>
      <c r="I133" s="35" t="inlineStr">
        <is>
          <t>あり</t>
        </is>
      </c>
      <c r="J133" s="36" t="inlineStr">
        <is>
          <t>★★重要 / BファイルC情報 が更新対象リストに載っていることの確認。</t>
        </is>
      </c>
    </row>
    <row r="134" ht="30" customHeight="1">
      <c r="A134" s="34" t="n">
        <v>133</v>
      </c>
      <c r="B134" s="35" t="inlineStr">
        <is>
          <t>03_リスト管理</t>
        </is>
      </c>
      <c r="C134" s="35" t="inlineStr">
        <is>
          <t>07</t>
        </is>
      </c>
      <c r="D134" s="36" t="inlineStr">
        <is>
          <t>ファイルアップロード</t>
        </is>
      </c>
      <c r="E134" s="36" t="inlineStr">
        <is>
          <t>①更新対象リストから「BファイルC情報」を選択 / ②更新種別「一括」を選択 / ③ファイルアップロードから「BファイルC情報.csv」をアップロード / ④アップロードボタンをクリック</t>
        </is>
      </c>
      <c r="F134" s="36" t="inlineStr">
        <is>
          <t>アップロードしたファイル情報が表示されること / アップロード履歴一覧に、アップロードされたファイルが / 「処理中」で追加されること</t>
        </is>
      </c>
      <c r="G134" s="35" t="inlineStr"/>
      <c r="H134" s="37" t="inlineStr">
        <is>
          <t>A-13</t>
        </is>
      </c>
      <c r="I134" s="35" t="inlineStr">
        <is>
          <t>あり</t>
        </is>
      </c>
      <c r="J134" s="36" t="inlineStr">
        <is>
          <t>整理メモの対応表より A-13</t>
        </is>
      </c>
    </row>
    <row r="135" ht="30" customHeight="1">
      <c r="A135" s="34" t="n">
        <v>134</v>
      </c>
      <c r="B135" s="35" t="inlineStr">
        <is>
          <t>03_リスト管理</t>
        </is>
      </c>
      <c r="C135" s="35" t="inlineStr">
        <is>
          <t>08</t>
        </is>
      </c>
      <c r="D135" s="36" t="inlineStr">
        <is>
          <t>取消</t>
        </is>
      </c>
      <c r="E135" s="36" t="inlineStr">
        <is>
          <t>取消ボタンを押下する</t>
        </is>
      </c>
      <c r="F135" s="36" t="inlineStr">
        <is>
          <t>タスクが正常終了すること / アップロード履歴一覧の処理状態が「取込済」になること</t>
        </is>
      </c>
      <c r="G135" s="35" t="inlineStr"/>
      <c r="H135" s="35" t="inlineStr"/>
      <c r="I135" s="35" t="inlineStr">
        <is>
          <t>あり</t>
        </is>
      </c>
      <c r="J135" s="36" t="inlineStr">
        <is>
          <t>★所見2</t>
        </is>
      </c>
    </row>
    <row r="136" ht="30" customHeight="1">
      <c r="A136" s="34" t="n">
        <v>135</v>
      </c>
      <c r="B136" s="35" t="inlineStr">
        <is>
          <t>03_リスト管理</t>
        </is>
      </c>
      <c r="C136" s="35" t="inlineStr">
        <is>
          <t>09</t>
        </is>
      </c>
      <c r="D136" s="36" t="inlineStr">
        <is>
          <t>ファイルアップロード</t>
        </is>
      </c>
      <c r="E136" s="36" t="inlineStr">
        <is>
          <t>07 と同じ手順（取消後に再アップロード）</t>
        </is>
      </c>
      <c r="F136" s="36" t="inlineStr"/>
      <c r="G136" s="35" t="inlineStr"/>
      <c r="H136" s="37" t="inlineStr">
        <is>
          <t>A-13</t>
        </is>
      </c>
      <c r="I136" s="35" t="inlineStr">
        <is>
          <t>あり</t>
        </is>
      </c>
      <c r="J136" s="36" t="inlineStr">
        <is>
          <t>整理メモの対応表より A-13</t>
        </is>
      </c>
    </row>
    <row r="137" ht="30" customHeight="1">
      <c r="A137" s="34" t="n">
        <v>136</v>
      </c>
      <c r="B137" s="35" t="inlineStr">
        <is>
          <t>03_リスト管理</t>
        </is>
      </c>
      <c r="C137" s="35" t="inlineStr">
        <is>
          <t>10</t>
        </is>
      </c>
      <c r="D137" s="36" t="inlineStr">
        <is>
          <t>タスク実行</t>
        </is>
      </c>
      <c r="E137" s="36" t="inlineStr">
        <is>
          <t>タスク「リストアップロード制御」を実行する</t>
        </is>
      </c>
      <c r="F137" s="36" t="inlineStr">
        <is>
          <t>タスクが正常終了すること / アップロード履歴一覧の処理状態が「取込済」になること</t>
        </is>
      </c>
      <c r="G137" s="35" t="inlineStr"/>
      <c r="H137" s="37" t="inlineStr">
        <is>
          <t>A-13</t>
        </is>
      </c>
      <c r="I137" s="35" t="inlineStr">
        <is>
          <t>あり</t>
        </is>
      </c>
      <c r="J137" s="36" t="inlineStr">
        <is>
          <t>整理メモの対応表より A-13</t>
        </is>
      </c>
    </row>
    <row r="138" ht="30" customHeight="1">
      <c r="A138" s="34" t="n">
        <v>137</v>
      </c>
      <c r="B138" s="35" t="inlineStr">
        <is>
          <t>03_リスト管理</t>
        </is>
      </c>
      <c r="C138" s="35" t="inlineStr">
        <is>
          <t>11</t>
        </is>
      </c>
      <c r="D138" s="36" t="inlineStr">
        <is>
          <t>エラーCSV</t>
        </is>
      </c>
      <c r="E138" s="36" t="inlineStr">
        <is>
          <t>エラーCSVボタンをクリックする → CSVファイルがダウンロードされること / ※ SCL の原文は「ダウンロードさえること」（誤字）</t>
        </is>
      </c>
      <c r="F138" s="36" t="inlineStr"/>
      <c r="G138" s="35" t="inlineStr"/>
      <c r="H138" s="35" t="inlineStr"/>
      <c r="I138" s="35" t="inlineStr">
        <is>
          <t>あり</t>
        </is>
      </c>
      <c r="J138" s="36" t="inlineStr"/>
    </row>
    <row r="139" ht="30" customHeight="1">
      <c r="A139" s="34" t="n">
        <v>138</v>
      </c>
      <c r="B139" s="35" t="inlineStr">
        <is>
          <t>03_リスト管理</t>
        </is>
      </c>
      <c r="C139" s="35" t="inlineStr">
        <is>
          <t>12</t>
        </is>
      </c>
      <c r="D139" s="36" t="inlineStr">
        <is>
          <t>ホワイトリスト登録</t>
        </is>
      </c>
      <c r="E139" s="36" t="inlineStr">
        <is>
          <t>リスト管理－ホワイトリスト登録 → ホワイトリスト登録・削除画面が表示される</t>
        </is>
      </c>
      <c r="F139" s="36" t="inlineStr"/>
      <c r="G139" s="35" t="inlineStr"/>
      <c r="H139" s="35" t="inlineStr"/>
      <c r="I139" s="35" t="inlineStr">
        <is>
          <t>あり</t>
        </is>
      </c>
      <c r="J139" s="36" t="inlineStr"/>
    </row>
    <row r="140" ht="30" customHeight="1">
      <c r="A140" s="34" t="n">
        <v>139</v>
      </c>
      <c r="B140" s="35" t="inlineStr">
        <is>
          <t>03_リスト管理</t>
        </is>
      </c>
      <c r="C140" s="35" t="inlineStr">
        <is>
          <t>13</t>
        </is>
      </c>
      <c r="D140" s="36" t="inlineStr">
        <is>
          <t>登録</t>
        </is>
      </c>
      <c r="E140" s="36" t="inlineStr">
        <is>
          <t>キー情報・レコード番号を入力し、登録ボタンをクリックする</t>
        </is>
      </c>
      <c r="F140" s="36" t="inlineStr">
        <is>
          <t>確認画面に遷移する / 入力したキー番号・レコード番号が表示される</t>
        </is>
      </c>
      <c r="G140" s="35" t="inlineStr"/>
      <c r="H140" s="35" t="inlineStr"/>
      <c r="I140" s="35" t="inlineStr">
        <is>
          <t>あり</t>
        </is>
      </c>
      <c r="J140" s="36" t="inlineStr"/>
    </row>
    <row r="141" ht="30" customHeight="1">
      <c r="A141" s="34" t="n">
        <v>140</v>
      </c>
      <c r="B141" s="35" t="inlineStr">
        <is>
          <t>03_リスト管理</t>
        </is>
      </c>
      <c r="C141" s="35" t="inlineStr">
        <is>
          <t>14</t>
        </is>
      </c>
      <c r="D141" s="36" t="inlineStr">
        <is>
          <t>確定</t>
        </is>
      </c>
      <c r="E141" s="36" t="inlineStr">
        <is>
          <t>確定ボタン → 結果画面に遷移する</t>
        </is>
      </c>
      <c r="F141" s="36" t="inlineStr"/>
      <c r="G141" s="35" t="inlineStr"/>
      <c r="H141" s="35" t="inlineStr"/>
      <c r="I141" s="35" t="inlineStr">
        <is>
          <t>あり</t>
        </is>
      </c>
      <c r="J141" s="36" t="inlineStr"/>
    </row>
    <row r="142" ht="30" customHeight="1">
      <c r="A142" s="34" t="n">
        <v>141</v>
      </c>
      <c r="B142" s="35" t="inlineStr">
        <is>
          <t>03_リスト管理</t>
        </is>
      </c>
      <c r="C142" s="35" t="inlineStr">
        <is>
          <t>15</t>
        </is>
      </c>
      <c r="D142" s="36" t="inlineStr">
        <is>
          <t>ホワイトリスト登録・削除画面へ</t>
        </is>
      </c>
      <c r="E142" s="36" t="inlineStr">
        <is>
          <t>「ホワイトリスト登録・削除画面へ」ボタン → 同画面に遷移する</t>
        </is>
      </c>
      <c r="F142" s="36" t="inlineStr"/>
      <c r="G142" s="35" t="inlineStr"/>
      <c r="H142" s="35" t="inlineStr"/>
      <c r="I142" s="35" t="inlineStr">
        <is>
          <t>あり</t>
        </is>
      </c>
      <c r="J142" s="36" t="inlineStr"/>
    </row>
    <row r="143" ht="30" customHeight="1">
      <c r="A143" s="34" t="n">
        <v>142</v>
      </c>
      <c r="B143" s="35" t="inlineStr">
        <is>
          <t>03_リスト管理</t>
        </is>
      </c>
      <c r="C143" s="35" t="inlineStr">
        <is>
          <t>16</t>
        </is>
      </c>
      <c r="D143" s="36" t="inlineStr">
        <is>
          <t>検索</t>
        </is>
      </c>
      <c r="E143" s="36" t="inlineStr">
        <is>
          <t>キー情報・レコード番号を入力し検索 → 検索結果が表示される</t>
        </is>
      </c>
      <c r="F143" s="36" t="inlineStr"/>
      <c r="G143" s="35" t="inlineStr"/>
      <c r="H143" s="35" t="inlineStr"/>
      <c r="I143" s="35" t="inlineStr">
        <is>
          <t>あり</t>
        </is>
      </c>
      <c r="J143" s="36" t="inlineStr"/>
    </row>
    <row r="144" ht="30" customHeight="1">
      <c r="A144" s="34" t="n">
        <v>143</v>
      </c>
      <c r="B144" s="35" t="inlineStr">
        <is>
          <t>03_リスト管理</t>
        </is>
      </c>
      <c r="C144" s="35" t="inlineStr">
        <is>
          <t>17</t>
        </is>
      </c>
      <c r="D144" s="36" t="inlineStr">
        <is>
          <t>削除</t>
        </is>
      </c>
      <c r="E144" s="36" t="inlineStr">
        <is>
          <t>検索結果一覧の左側の「削除」ボタンをクリックする</t>
        </is>
      </c>
      <c r="F144" s="36" t="inlineStr">
        <is>
          <t>確認画面に遷移する / 選択したキー番号・レコード番号が表示される</t>
        </is>
      </c>
      <c r="G144" s="35" t="inlineStr"/>
      <c r="H144" s="35" t="inlineStr"/>
      <c r="I144" s="35" t="inlineStr">
        <is>
          <t>あり</t>
        </is>
      </c>
      <c r="J144" s="36" t="inlineStr"/>
    </row>
    <row r="145" ht="30" customHeight="1">
      <c r="A145" s="34" t="n">
        <v>144</v>
      </c>
      <c r="B145" s="35" t="inlineStr">
        <is>
          <t>03_リスト管理</t>
        </is>
      </c>
      <c r="C145" s="35" t="inlineStr">
        <is>
          <t>18</t>
        </is>
      </c>
      <c r="D145" s="36" t="inlineStr">
        <is>
          <t>確定</t>
        </is>
      </c>
      <c r="E145" s="36" t="inlineStr">
        <is>
          <t>確定ボタン → 結果画面に遷移する</t>
        </is>
      </c>
      <c r="F145" s="36" t="inlineStr"/>
      <c r="G145" s="35" t="inlineStr"/>
      <c r="H145" s="35" t="inlineStr"/>
      <c r="I145" s="35" t="inlineStr">
        <is>
          <t>あり</t>
        </is>
      </c>
      <c r="J145" s="36" t="inlineStr"/>
    </row>
    <row r="146" ht="30" customHeight="1">
      <c r="A146" s="34" t="n">
        <v>145</v>
      </c>
      <c r="B146" s="35" t="inlineStr">
        <is>
          <t>03_リスト管理</t>
        </is>
      </c>
      <c r="C146" s="35" t="inlineStr">
        <is>
          <t>19</t>
        </is>
      </c>
      <c r="D146" s="36" t="inlineStr">
        <is>
          <t>ログアウト</t>
        </is>
      </c>
      <c r="E146" s="36" t="inlineStr">
        <is>
          <t>ログイン画面が表示される / → 12〜18 は ホワイトリストの登録と削除をひと通り。 / ヒアリング項目 A-01〜A-15 には直接対応しない（既存機能の確認）。</t>
        </is>
      </c>
      <c r="F146" s="36" t="inlineStr"/>
      <c r="G146" s="35" t="inlineStr"/>
      <c r="H146" s="35" t="inlineStr"/>
      <c r="I146" s="35" t="inlineStr">
        <is>
          <t>あり</t>
        </is>
      </c>
      <c r="J146" s="36" t="inlineStr"/>
    </row>
    <row r="147" ht="30" customHeight="1">
      <c r="A147" s="34" t="n">
        <v>146</v>
      </c>
      <c r="B147" s="35" t="inlineStr">
        <is>
          <t>03_リスト管理</t>
        </is>
      </c>
      <c r="C147" s="35" t="inlineStr">
        <is>
          <t>20</t>
        </is>
      </c>
      <c r="D147" s="36" t="inlineStr">
        <is>
          <t>Web画面ログイン</t>
        </is>
      </c>
      <c r="E147" s="36" t="inlineStr">
        <is>
          <t>LF_ADMIN_RISK_EXC でログインできること</t>
        </is>
      </c>
      <c r="F147" s="36" t="inlineStr"/>
      <c r="G147" s="35" t="inlineStr"/>
      <c r="H147" s="35" t="inlineStr"/>
      <c r="I147" s="35" t="inlineStr">
        <is>
          <t>あり</t>
        </is>
      </c>
      <c r="J147" s="36" t="inlineStr"/>
    </row>
    <row r="148" ht="30" customHeight="1">
      <c r="A148" s="34" t="n">
        <v>147</v>
      </c>
      <c r="B148" s="35" t="inlineStr">
        <is>
          <t>03_リスト管理</t>
        </is>
      </c>
      <c r="C148" s="35" t="inlineStr">
        <is>
          <t>21</t>
        </is>
      </c>
      <c r="D148" s="36" t="inlineStr">
        <is>
          <t>メニュー確認</t>
        </is>
      </c>
      <c r="E148" s="36" t="inlineStr"/>
      <c r="F148" s="36" t="inlineStr">
        <is>
          <t>「リスト管理」が表示…（画面右端で切れており未確認） / リスト管理が使えるなら 参照・アップロード・ホワイトリスト の / 操作ケースが続くはずだが、無い。 / → 「表示されていないこと」とほぼ断定できる。 / 実ファイルで文言を確認すること。</t>
        </is>
      </c>
      <c r="G148" s="35" t="inlineStr"/>
      <c r="H148" s="37" t="inlineStr">
        <is>
          <t>A-14</t>
        </is>
      </c>
      <c r="I148" s="35" t="inlineStr">
        <is>
          <t>あり</t>
        </is>
      </c>
      <c r="J148" s="36" t="inlineStr">
        <is>
          <t>ただし ケース20・21・22 の3ケースしかない。 / 整理メモの対応表より A-14</t>
        </is>
      </c>
    </row>
    <row r="149" ht="30" customHeight="1">
      <c r="A149" s="34" t="n">
        <v>148</v>
      </c>
      <c r="B149" s="35" t="inlineStr">
        <is>
          <t>03_リスト管理</t>
        </is>
      </c>
      <c r="C149" s="35" t="inlineStr">
        <is>
          <t>22</t>
        </is>
      </c>
      <c r="D149" s="36" t="inlineStr">
        <is>
          <t>ログアウト</t>
        </is>
      </c>
      <c r="E149" s="36" t="inlineStr"/>
      <c r="F149" s="36" t="inlineStr"/>
      <c r="G149" s="35" t="inlineStr"/>
      <c r="H149" s="35" t="inlineStr"/>
      <c r="I149" s="35" t="inlineStr">
        <is>
          <t>あり</t>
        </is>
      </c>
      <c r="J149" s="36" t="inlineStr"/>
    </row>
    <row r="150" ht="30" customHeight="1">
      <c r="A150" s="34" t="n">
        <v>149</v>
      </c>
      <c r="B150" s="35" t="inlineStr">
        <is>
          <t>03_リスト管理</t>
        </is>
      </c>
      <c r="C150" s="35" t="inlineStr">
        <is>
          <t>23</t>
        </is>
      </c>
      <c r="D150" s="36" t="inlineStr">
        <is>
          <t>Web画面ログイン</t>
        </is>
      </c>
      <c r="E150" s="36" t="inlineStr">
        <is>
          <t>LF_PIC でログインできること</t>
        </is>
      </c>
      <c r="F150" s="36" t="inlineStr"/>
      <c r="G150" s="35" t="inlineStr"/>
      <c r="H150" s="35" t="inlineStr"/>
      <c r="I150" s="35" t="inlineStr">
        <is>
          <t>あり</t>
        </is>
      </c>
      <c r="J150" s="36" t="inlineStr"/>
    </row>
    <row r="151" ht="30" customHeight="1">
      <c r="A151" s="34" t="n">
        <v>150</v>
      </c>
      <c r="B151" s="35" t="inlineStr">
        <is>
          <t>03_リスト管理</t>
        </is>
      </c>
      <c r="C151" s="35" t="inlineStr">
        <is>
          <t>24</t>
        </is>
      </c>
      <c r="D151" s="36" t="inlineStr">
        <is>
          <t>メニュー確認</t>
        </is>
      </c>
      <c r="E151" s="36" t="inlineStr"/>
      <c r="F151" s="36" t="inlineStr">
        <is>
          <t>「リスト管理」が表示されていないこと   ←明記されている</t>
        </is>
      </c>
      <c r="G151" s="35" t="inlineStr"/>
      <c r="H151" s="37" t="inlineStr">
        <is>
          <t>A-14</t>
        </is>
      </c>
      <c r="I151" s="35" t="inlineStr">
        <is>
          <t>あり</t>
        </is>
      </c>
      <c r="J151" s="36" t="inlineStr">
        <is>
          <t>整理メモの対応表より A-14</t>
        </is>
      </c>
    </row>
    <row r="152" ht="30" customHeight="1">
      <c r="A152" s="34" t="n">
        <v>151</v>
      </c>
      <c r="B152" s="35" t="inlineStr">
        <is>
          <t>03_リスト管理</t>
        </is>
      </c>
      <c r="C152" s="35" t="inlineStr">
        <is>
          <t>25</t>
        </is>
      </c>
      <c r="D152" s="36" t="inlineStr">
        <is>
          <t>ログアウト</t>
        </is>
      </c>
      <c r="E152" s="36" t="inlineStr">
        <is>
          <t>→ 25ケース、すべて読み終わった。</t>
        </is>
      </c>
      <c r="F152" s="36" t="inlineStr"/>
      <c r="G152" s="35" t="inlineStr"/>
      <c r="H152" s="35" t="inlineStr"/>
      <c r="I152" s="35" t="inlineStr">
        <is>
          <t>あり</t>
        </is>
      </c>
      <c r="J152" s="36" t="inlineStr"/>
    </row>
    <row r="153" ht="30" customHeight="1">
      <c r="A153" s="34" t="n">
        <v>152</v>
      </c>
      <c r="B153" s="35" t="inlineStr">
        <is>
          <t>04_SOAP</t>
        </is>
      </c>
      <c r="C153" s="35" t="inlineStr">
        <is>
          <t>01</t>
        </is>
      </c>
      <c r="D153" s="36" t="inlineStr">
        <is>
          <t>SOAP連携フィルタリングを実施</t>
        </is>
      </c>
      <c r="E153" s="36" t="inlineStr">
        <is>
          <t>SOAP_TESTフォルダに当該ケースのテストデータを格納する / soap_send.bat を実行する / 実行ログを確認する / ■配置先 : O\TEST用\soap\SOAP_TEST</t>
        </is>
      </c>
      <c r="F153" s="36" t="inlineStr">
        <is>
          <t>エラーが発生せず正常に終了すること / 【対象ファイル】RESULT_yyyymmdd_hhmmss.log</t>
        </is>
      </c>
      <c r="G153" s="35" t="inlineStr"/>
      <c r="H153" s="35" t="inlineStr"/>
      <c r="I153" s="35" t="inlineStr">
        <is>
          <t>あり</t>
        </is>
      </c>
      <c r="J153" s="36" t="inlineStr"/>
    </row>
    <row r="154" ht="30" customHeight="1">
      <c r="A154" s="34" t="n">
        <v>153</v>
      </c>
      <c r="B154" s="35" t="inlineStr">
        <is>
          <t>04_SOAP</t>
        </is>
      </c>
      <c r="C154" s="35" t="inlineStr">
        <is>
          <t>02</t>
        </is>
      </c>
      <c r="D154" s="36" t="inlineStr">
        <is>
          <t>Web画面ログイン</t>
        </is>
      </c>
      <c r="E154" s="36" t="inlineStr">
        <is>
          <t>YOKOHAMA_OTHER_ADMIN でログインできること</t>
        </is>
      </c>
      <c r="F154" s="36" t="inlineStr"/>
      <c r="G154" s="35" t="inlineStr"/>
      <c r="H154" s="35" t="inlineStr"/>
      <c r="I154" s="35" t="inlineStr">
        <is>
          <t>あり</t>
        </is>
      </c>
      <c r="J154" s="36" t="inlineStr"/>
    </row>
    <row r="155" ht="30" customHeight="1">
      <c r="A155" s="34" t="n">
        <v>154</v>
      </c>
      <c r="B155" s="35" t="inlineStr">
        <is>
          <t>04_SOAP</t>
        </is>
      </c>
      <c r="C155" s="35" t="inlineStr">
        <is>
          <t>03</t>
        </is>
      </c>
      <c r="D155" s="36" t="inlineStr">
        <is>
          <t>未判定照会（連動）</t>
        </is>
      </c>
      <c r="E155" s="36" t="inlineStr">
        <is>
          <t>左メニューから「未判定照会（連動）」をクリック</t>
        </is>
      </c>
      <c r="F155" s="36" t="inlineStr">
        <is>
          <t>未判定照会（連動）画面が表示される</t>
        </is>
      </c>
      <c r="G155" s="35" t="inlineStr"/>
      <c r="H155" s="35" t="inlineStr"/>
      <c r="I155" s="35" t="inlineStr">
        <is>
          <t>あり</t>
        </is>
      </c>
      <c r="J155" s="36" t="inlineStr"/>
    </row>
    <row r="156" ht="30" customHeight="1">
      <c r="A156" s="34" t="n">
        <v>155</v>
      </c>
      <c r="B156" s="35" t="inlineStr">
        <is>
          <t>04_SOAP</t>
        </is>
      </c>
      <c r="C156" s="35" t="inlineStr">
        <is>
          <t>04</t>
        </is>
      </c>
      <c r="D156" s="36" t="inlineStr">
        <is>
          <t>検索</t>
        </is>
      </c>
      <c r="E156" s="36" t="inlineStr">
        <is>
          <t>入力日：YYYYMMDD〜当日（項番3を実行した日をFromに設定）</t>
        </is>
      </c>
      <c r="F156" s="36" t="inlineStr">
        <is>
          <t>検索結果が表示される / えるえふ太郎が検索結果に含まれない / 自部店のみで、横浜銀行他部店・L&amp;F部店が表示されないこと / → 連動（SOAP経由）でも部店スコープが効いていることの確認。</t>
        </is>
      </c>
      <c r="G156" s="35" t="inlineStr"/>
      <c r="H156" s="35" t="inlineStr"/>
      <c r="I156" s="35" t="inlineStr">
        <is>
          <t>あり</t>
        </is>
      </c>
      <c r="J156" s="36" t="inlineStr"/>
    </row>
    <row r="157" ht="30" customHeight="1">
      <c r="A157" s="34" t="n">
        <v>156</v>
      </c>
      <c r="B157" s="35" t="inlineStr">
        <is>
          <t>04_SOAP</t>
        </is>
      </c>
      <c r="C157" s="35" t="inlineStr">
        <is>
          <t>05</t>
        </is>
      </c>
      <c r="D157" s="36" t="inlineStr">
        <is>
          <t>結果選択</t>
        </is>
      </c>
      <c r="E157" s="36" t="inlineStr">
        <is>
          <t>検索結果の左側の「判定」ボタンをクリックする</t>
        </is>
      </c>
      <c r="F157" s="36" t="inlineStr">
        <is>
          <t>判定画面が表示される / 該当リスト一覧に下記のリストヒットが表示されること / OFAC / 財務省 / JCIF PEPs / 警察庁（個人）/ 警察庁（法人）/ 警察庁（IB）  ← 取消線なし / 全銀協（個人）/ 全銀協（法人） / DJ OFAC/企業リスト / DJ 船舶リスト / DJ 外国PEPs / DJ 国内PEPs / 全銀協（生保）/ 全銀協（損保） / SCL#1 の横浜プロファイルでは「BファイルC情報は表示されないこと」があった。</t>
        </is>
      </c>
      <c r="G157" s="35" t="inlineStr"/>
      <c r="H157" s="37" t="inlineStr">
        <is>
          <t>A-04</t>
        </is>
      </c>
      <c r="I157" s="35" t="inlineStr">
        <is>
          <t>あり</t>
        </is>
      </c>
      <c r="J157" s="36" t="inlineStr">
        <is>
          <t>★所見1 / 「下記は表示されないこと」の記載があるかは画面で切れており未確認。 / 整理メモの対応表より A-04</t>
        </is>
      </c>
    </row>
    <row r="158" ht="30" customHeight="1">
      <c r="A158" s="34" t="n">
        <v>157</v>
      </c>
      <c r="B158" s="35" t="inlineStr">
        <is>
          <t>04_SOAP</t>
        </is>
      </c>
      <c r="C158" s="35" t="inlineStr">
        <is>
          <t>06</t>
        </is>
      </c>
      <c r="D158" s="36" t="inlineStr">
        <is>
          <t>判定実施</t>
        </is>
      </c>
      <c r="E158" s="36" t="inlineStr">
        <is>
          <t>①一致するリストのいずれかにチェックを入れる / ②補助コメントを入力する / ③判定ボタンを押下する</t>
        </is>
      </c>
      <c r="F158" s="36" t="inlineStr">
        <is>
          <t>判定済画面が表示される</t>
        </is>
      </c>
      <c r="G158" s="35" t="inlineStr"/>
      <c r="H158" s="35" t="inlineStr"/>
      <c r="I158" s="35" t="inlineStr">
        <is>
          <t>あり</t>
        </is>
      </c>
      <c r="J158" s="36" t="inlineStr"/>
    </row>
    <row r="159" ht="30" customHeight="1">
      <c r="A159" s="34" t="n">
        <v>158</v>
      </c>
      <c r="B159" s="35" t="inlineStr">
        <is>
          <t>04_SOAP</t>
        </is>
      </c>
      <c r="C159" s="35" t="inlineStr">
        <is>
          <t>07</t>
        </is>
      </c>
      <c r="D159" s="36" t="inlineStr">
        <is>
          <t>判定済照会（連動）</t>
        </is>
      </c>
      <c r="E159" s="36" t="inlineStr">
        <is>
          <t>左メニューから「リアルフィルタリング－判定済照会（連動）」をクリック</t>
        </is>
      </c>
      <c r="F159" s="36" t="inlineStr">
        <is>
          <t>判定済照会（連動）画面が表示される</t>
        </is>
      </c>
      <c r="G159" s="35" t="inlineStr"/>
      <c r="H159" s="35" t="inlineStr"/>
      <c r="I159" s="35" t="inlineStr">
        <is>
          <t>あり</t>
        </is>
      </c>
      <c r="J159" s="36" t="inlineStr"/>
    </row>
    <row r="160" ht="30" customHeight="1">
      <c r="A160" s="34" t="n">
        <v>159</v>
      </c>
      <c r="B160" s="35" t="inlineStr">
        <is>
          <t>04_SOAP</t>
        </is>
      </c>
      <c r="C160" s="35" t="inlineStr">
        <is>
          <t>08</t>
        </is>
      </c>
      <c r="D160" s="36" t="inlineStr">
        <is>
          <t>検索</t>
        </is>
      </c>
      <c r="E160" s="36" t="inlineStr">
        <is>
          <t>04 と同じ（えるえふ太郎が含まれない／自部店のみ）</t>
        </is>
      </c>
      <c r="F160" s="36" t="inlineStr"/>
      <c r="G160" s="35" t="inlineStr"/>
      <c r="H160" s="35" t="inlineStr"/>
      <c r="I160" s="35" t="inlineStr">
        <is>
          <t>あり</t>
        </is>
      </c>
      <c r="J160" s="36" t="inlineStr"/>
    </row>
    <row r="161" ht="30" customHeight="1">
      <c r="A161" s="34" t="n">
        <v>160</v>
      </c>
      <c r="B161" s="35" t="inlineStr">
        <is>
          <t>04_SOAP</t>
        </is>
      </c>
      <c r="C161" s="35" t="inlineStr">
        <is>
          <t>09</t>
        </is>
      </c>
      <c r="D161" s="36" t="inlineStr">
        <is>
          <t>結果選択</t>
        </is>
      </c>
      <c r="E161" s="36" t="inlineStr">
        <is>
          <t>05 と同じリスト（警察庁（IB） を含む）</t>
        </is>
      </c>
      <c r="F161" s="36" t="inlineStr"/>
      <c r="G161" s="35" t="inlineStr"/>
      <c r="H161" s="37" t="inlineStr">
        <is>
          <t>A-04</t>
        </is>
      </c>
      <c r="I161" s="35" t="inlineStr">
        <is>
          <t>あり</t>
        </is>
      </c>
      <c r="J161" s="36" t="inlineStr">
        <is>
          <t>整理メモの対応表より A-04</t>
        </is>
      </c>
    </row>
    <row r="162" ht="30" customHeight="1">
      <c r="A162" s="34" t="n">
        <v>161</v>
      </c>
      <c r="B162" s="35" t="inlineStr">
        <is>
          <t>04_SOAP</t>
        </is>
      </c>
      <c r="C162" s="35" t="inlineStr">
        <is>
          <t>10</t>
        </is>
      </c>
      <c r="D162" s="36" t="inlineStr">
        <is>
          <t>（画面に出ていない。未確認）</t>
        </is>
      </c>
      <c r="E162" s="36" t="inlineStr"/>
      <c r="F162" s="36" t="inlineStr"/>
      <c r="G162" s="35" t="inlineStr"/>
      <c r="H162" s="35" t="inlineStr"/>
      <c r="I162" s="35" t="inlineStr">
        <is>
          <t>あり</t>
        </is>
      </c>
      <c r="J162" s="36" t="inlineStr"/>
    </row>
    <row r="163" ht="30" customHeight="1">
      <c r="A163" s="34" t="n">
        <v>162</v>
      </c>
      <c r="B163" s="35" t="inlineStr">
        <is>
          <t>04_SOAP</t>
        </is>
      </c>
      <c r="C163" s="35" t="inlineStr">
        <is>
          <t>11</t>
        </is>
      </c>
      <c r="D163" s="36" t="inlineStr">
        <is>
          <t>Web画面ログイン</t>
        </is>
      </c>
      <c r="E163" s="36" t="inlineStr">
        <is>
          <t>YOKOHAMA_OTHER でログインできること</t>
        </is>
      </c>
      <c r="F163" s="36" t="inlineStr"/>
      <c r="G163" s="35" t="inlineStr"/>
      <c r="H163" s="35" t="inlineStr"/>
      <c r="I163" s="35" t="inlineStr">
        <is>
          <t>あり</t>
        </is>
      </c>
      <c r="J163" s="36" t="inlineStr"/>
    </row>
    <row r="164" ht="30" customHeight="1">
      <c r="A164" s="34" t="n">
        <v>163</v>
      </c>
      <c r="B164" s="35" t="inlineStr">
        <is>
          <t>04_SOAP</t>
        </is>
      </c>
      <c r="C164" s="35" t="inlineStr">
        <is>
          <t>12</t>
        </is>
      </c>
      <c r="D164" s="36" t="inlineStr">
        <is>
          <t>未判定照会（連動）</t>
        </is>
      </c>
      <c r="E164" s="36" t="inlineStr">
        <is>
          <t>画面が表示される</t>
        </is>
      </c>
      <c r="F164" s="36" t="inlineStr"/>
      <c r="G164" s="35" t="inlineStr"/>
      <c r="H164" s="35" t="inlineStr"/>
      <c r="I164" s="35" t="inlineStr">
        <is>
          <t>あり</t>
        </is>
      </c>
      <c r="J164" s="36" t="inlineStr"/>
    </row>
    <row r="165" ht="30" customHeight="1">
      <c r="A165" s="34" t="n">
        <v>164</v>
      </c>
      <c r="B165" s="35" t="inlineStr">
        <is>
          <t>04_SOAP</t>
        </is>
      </c>
      <c r="C165" s="35" t="inlineStr">
        <is>
          <t>13</t>
        </is>
      </c>
      <c r="D165" s="36" t="inlineStr">
        <is>
          <t>検索</t>
        </is>
      </c>
      <c r="E165" s="36" t="inlineStr">
        <is>
          <t>04 と同じ</t>
        </is>
      </c>
      <c r="F165" s="36" t="inlineStr"/>
      <c r="G165" s="35" t="inlineStr"/>
      <c r="H165" s="35" t="inlineStr"/>
      <c r="I165" s="35" t="inlineStr">
        <is>
          <t>あり</t>
        </is>
      </c>
      <c r="J165" s="36" t="inlineStr"/>
    </row>
    <row r="166" ht="30" customHeight="1">
      <c r="A166" s="34" t="n">
        <v>165</v>
      </c>
      <c r="B166" s="35" t="inlineStr">
        <is>
          <t>04_SOAP</t>
        </is>
      </c>
      <c r="C166" s="35" t="inlineStr">
        <is>
          <t>14</t>
        </is>
      </c>
      <c r="D166" s="36" t="inlineStr">
        <is>
          <t>YOKOHAMA_OTHER で 03〜09 と同じ流れを繰り返し（内容同一のため省略）</t>
        </is>
      </c>
      <c r="E166" s="36" t="inlineStr"/>
      <c r="F166" s="36" t="inlineStr"/>
      <c r="G166" s="35" t="inlineStr"/>
      <c r="H166" s="35" t="inlineStr"/>
      <c r="I166" s="35" t="inlineStr">
        <is>
          <t>あり</t>
        </is>
      </c>
      <c r="J166" s="36" t="inlineStr"/>
    </row>
    <row r="167" ht="30" customHeight="1">
      <c r="A167" s="34" t="n">
        <v>166</v>
      </c>
      <c r="B167" s="35" t="inlineStr">
        <is>
          <t>04_SOAP</t>
        </is>
      </c>
      <c r="C167" s="35" t="inlineStr">
        <is>
          <t>15</t>
        </is>
      </c>
      <c r="D167" s="36" t="inlineStr">
        <is>
          <t>YOKOHAMA_OTHER で 03〜09 と同じ流れを繰り返し（内容同一のため省略）</t>
        </is>
      </c>
      <c r="E167" s="36" t="inlineStr"/>
      <c r="F167" s="36" t="inlineStr"/>
      <c r="G167" s="35" t="inlineStr"/>
      <c r="H167" s="35" t="inlineStr"/>
      <c r="I167" s="35" t="inlineStr">
        <is>
          <t>あり</t>
        </is>
      </c>
      <c r="J167" s="36" t="inlineStr"/>
    </row>
    <row r="168" ht="30" customHeight="1">
      <c r="A168" s="34" t="n">
        <v>167</v>
      </c>
      <c r="B168" s="35" t="inlineStr">
        <is>
          <t>04_SOAP</t>
        </is>
      </c>
      <c r="C168" s="35" t="inlineStr">
        <is>
          <t>16</t>
        </is>
      </c>
      <c r="D168" s="36" t="inlineStr">
        <is>
          <t>YOKOHAMA_OTHER で 03〜09 と同じ流れを繰り返し（内容同一のため省略）</t>
        </is>
      </c>
      <c r="E168" s="36" t="inlineStr"/>
      <c r="F168" s="36" t="inlineStr"/>
      <c r="G168" s="35" t="inlineStr"/>
      <c r="H168" s="35" t="inlineStr"/>
      <c r="I168" s="35" t="inlineStr">
        <is>
          <t>あり</t>
        </is>
      </c>
      <c r="J168" s="36" t="inlineStr"/>
    </row>
    <row r="169" ht="30" customHeight="1">
      <c r="A169" s="34" t="n">
        <v>168</v>
      </c>
      <c r="B169" s="35" t="inlineStr">
        <is>
          <t>04_SOAP</t>
        </is>
      </c>
      <c r="C169" s="35" t="inlineStr">
        <is>
          <t>17</t>
        </is>
      </c>
      <c r="D169" s="36" t="inlineStr">
        <is>
          <t>YOKOHAMA_OTHER で 03〜09 と同じ流れを繰り返し（内容同一のため省略）</t>
        </is>
      </c>
      <c r="E169" s="36" t="inlineStr"/>
      <c r="F169" s="36" t="inlineStr"/>
      <c r="G169" s="35" t="inlineStr"/>
      <c r="H169" s="35" t="inlineStr"/>
      <c r="I169" s="35" t="inlineStr">
        <is>
          <t>あり</t>
        </is>
      </c>
      <c r="J169" s="36" t="inlineStr"/>
    </row>
    <row r="170" ht="30" customHeight="1">
      <c r="A170" s="34" t="n">
        <v>169</v>
      </c>
      <c r="B170" s="35" t="inlineStr">
        <is>
          <t>04_SOAP</t>
        </is>
      </c>
      <c r="C170" s="35" t="inlineStr">
        <is>
          <t>18</t>
        </is>
      </c>
      <c r="D170" s="36" t="inlineStr">
        <is>
          <t>YOKOHAMA_OTHER で 03〜09 と同じ流れを繰り返し（内容同一のため省略）</t>
        </is>
      </c>
      <c r="E170" s="36" t="inlineStr"/>
      <c r="F170" s="36" t="inlineStr"/>
      <c r="G170" s="35" t="inlineStr"/>
      <c r="H170" s="35" t="inlineStr"/>
      <c r="I170" s="35" t="inlineStr">
        <is>
          <t>あり</t>
        </is>
      </c>
      <c r="J170" s="36" t="inlineStr"/>
    </row>
    <row r="171" ht="30" customHeight="1">
      <c r="A171" s="34" t="n">
        <v>170</v>
      </c>
      <c r="B171" s="35" t="inlineStr">
        <is>
          <t>04_SOAP</t>
        </is>
      </c>
      <c r="C171" s="35" t="inlineStr">
        <is>
          <t>19</t>
        </is>
      </c>
      <c r="D171" s="36" t="inlineStr">
        <is>
          <t>YOKOHAMA_OTHER で 03〜09 と同じ流れを繰り返し（内容同一のため省略）</t>
        </is>
      </c>
      <c r="E171" s="36" t="inlineStr"/>
      <c r="F171" s="36" t="inlineStr"/>
      <c r="G171" s="35" t="inlineStr"/>
      <c r="H171" s="35" t="inlineStr"/>
      <c r="I171" s="35" t="inlineStr">
        <is>
          <t>あり</t>
        </is>
      </c>
      <c r="J171" s="36" t="inlineStr"/>
    </row>
    <row r="172" ht="30" customHeight="1">
      <c r="A172" s="34" t="n">
        <v>171</v>
      </c>
      <c r="B172" s="35" t="inlineStr">
        <is>
          <t>04_SOAP</t>
        </is>
      </c>
      <c r="C172" s="35" t="inlineStr">
        <is>
          <t>20</t>
        </is>
      </c>
      <c r="D172" s="36" t="inlineStr">
        <is>
          <t>Web画面ログイン</t>
        </is>
      </c>
      <c r="E172" s="36" t="inlineStr">
        <is>
          <t>LF_ADMIN_RISK でログインできること</t>
        </is>
      </c>
      <c r="F172" s="36" t="inlineStr"/>
      <c r="G172" s="35" t="inlineStr"/>
      <c r="H172" s="35" t="inlineStr"/>
      <c r="I172" s="35" t="inlineStr">
        <is>
          <t>あり</t>
        </is>
      </c>
      <c r="J172" s="36" t="inlineStr"/>
    </row>
    <row r="173" ht="30" customHeight="1">
      <c r="A173" s="34" t="n">
        <v>172</v>
      </c>
      <c r="B173" s="35" t="inlineStr">
        <is>
          <t>04_SOAP</t>
        </is>
      </c>
      <c r="C173" s="35" t="inlineStr">
        <is>
          <t>21</t>
        </is>
      </c>
      <c r="D173" s="36" t="inlineStr">
        <is>
          <t>メニュー</t>
        </is>
      </c>
      <c r="E173" s="36" t="inlineStr">
        <is>
          <t>左側に表示されるメニューを表示する</t>
        </is>
      </c>
      <c r="F173" s="36" t="inlineStr">
        <is>
          <t>「未判定照会（連動）」が表示されないこと</t>
        </is>
      </c>
      <c r="G173" s="35" t="inlineStr"/>
      <c r="H173" s="35" t="inlineStr"/>
      <c r="I173" s="35" t="inlineStr">
        <is>
          <t>あり</t>
        </is>
      </c>
      <c r="J173" s="36" t="inlineStr">
        <is>
          <t>★★★</t>
        </is>
      </c>
    </row>
    <row r="174" ht="30" customHeight="1">
      <c r="A174" s="34" t="n">
        <v>173</v>
      </c>
      <c r="B174" s="35" t="inlineStr">
        <is>
          <t>04_SOAP</t>
        </is>
      </c>
      <c r="C174" s="35" t="inlineStr">
        <is>
          <t>22</t>
        </is>
      </c>
      <c r="D174" s="36" t="inlineStr">
        <is>
          <t>ログアウト</t>
        </is>
      </c>
      <c r="E174" s="36" t="inlineStr"/>
      <c r="F174" s="36" t="inlineStr"/>
      <c r="G174" s="35" t="inlineStr"/>
      <c r="H174" s="35" t="inlineStr"/>
      <c r="I174" s="35" t="inlineStr">
        <is>
          <t>あり</t>
        </is>
      </c>
      <c r="J174" s="36" t="inlineStr"/>
    </row>
    <row r="175" ht="30" customHeight="1">
      <c r="A175" s="34" t="n">
        <v>174</v>
      </c>
      <c r="B175" s="35" t="inlineStr">
        <is>
          <t>04_SOAP</t>
        </is>
      </c>
      <c r="C175" s="35" t="inlineStr">
        <is>
          <t>23</t>
        </is>
      </c>
      <c r="D175" s="36" t="inlineStr">
        <is>
          <t>Web画面ログイン</t>
        </is>
      </c>
      <c r="E175" s="36" t="inlineStr">
        <is>
          <t>LF_ADMIN_RISK_EXC</t>
        </is>
      </c>
      <c r="F175" s="36" t="inlineStr"/>
      <c r="G175" s="35" t="inlineStr"/>
      <c r="H175" s="35" t="inlineStr"/>
      <c r="I175" s="35" t="inlineStr">
        <is>
          <t>あり</t>
        </is>
      </c>
      <c r="J175" s="36" t="inlineStr"/>
    </row>
    <row r="176" ht="30" customHeight="1">
      <c r="A176" s="34" t="n">
        <v>175</v>
      </c>
      <c r="B176" s="35" t="inlineStr">
        <is>
          <t>04_SOAP</t>
        </is>
      </c>
      <c r="C176" s="35" t="inlineStr">
        <is>
          <t>24</t>
        </is>
      </c>
      <c r="D176" s="36" t="inlineStr">
        <is>
          <t>メニュー</t>
        </is>
      </c>
      <c r="E176" s="36" t="inlineStr">
        <is>
          <t>「未判定照会（連動）」が表示されないこと</t>
        </is>
      </c>
      <c r="F176" s="36" t="inlineStr"/>
      <c r="G176" s="35" t="inlineStr"/>
      <c r="H176" s="35" t="inlineStr"/>
      <c r="I176" s="35" t="inlineStr">
        <is>
          <t>あり</t>
        </is>
      </c>
      <c r="J176" s="36" t="inlineStr"/>
    </row>
    <row r="177" ht="30" customHeight="1">
      <c r="A177" s="34" t="n">
        <v>176</v>
      </c>
      <c r="B177" s="35" t="inlineStr">
        <is>
          <t>04_SOAP</t>
        </is>
      </c>
      <c r="C177" s="35" t="inlineStr">
        <is>
          <t>25</t>
        </is>
      </c>
      <c r="D177" s="36" t="inlineStr">
        <is>
          <t>ログアウト</t>
        </is>
      </c>
      <c r="E177" s="36" t="inlineStr"/>
      <c r="F177" s="36" t="inlineStr"/>
      <c r="G177" s="35" t="inlineStr"/>
      <c r="H177" s="35" t="inlineStr"/>
      <c r="I177" s="35" t="inlineStr">
        <is>
          <t>あり</t>
        </is>
      </c>
      <c r="J177" s="36" t="inlineStr"/>
    </row>
    <row r="178" ht="30" customHeight="1">
      <c r="A178" s="34" t="n">
        <v>177</v>
      </c>
      <c r="B178" s="35" t="inlineStr">
        <is>
          <t>04_SOAP</t>
        </is>
      </c>
      <c r="C178" s="35" t="inlineStr">
        <is>
          <t>26</t>
        </is>
      </c>
      <c r="D178" s="36" t="inlineStr">
        <is>
          <t>Web画面ログイン</t>
        </is>
      </c>
      <c r="E178" s="36" t="inlineStr">
        <is>
          <t>LF_PIC</t>
        </is>
      </c>
      <c r="F178" s="36" t="inlineStr"/>
      <c r="G178" s="35" t="inlineStr"/>
      <c r="H178" s="35" t="inlineStr"/>
      <c r="I178" s="35" t="inlineStr">
        <is>
          <t>あり</t>
        </is>
      </c>
      <c r="J178" s="36" t="inlineStr"/>
    </row>
    <row r="179" ht="30" customHeight="1">
      <c r="A179" s="34" t="n">
        <v>178</v>
      </c>
      <c r="B179" s="35" t="inlineStr">
        <is>
          <t>04_SOAP</t>
        </is>
      </c>
      <c r="C179" s="35" t="inlineStr">
        <is>
          <t>27</t>
        </is>
      </c>
      <c r="D179" s="36" t="inlineStr">
        <is>
          <t>メニュー</t>
        </is>
      </c>
      <c r="E179" s="36" t="inlineStr">
        <is>
          <t>「未判定照会（連動）」が表示されないこと</t>
        </is>
      </c>
      <c r="F179" s="36" t="inlineStr"/>
      <c r="G179" s="35" t="inlineStr"/>
      <c r="H179" s="35" t="inlineStr"/>
      <c r="I179" s="35" t="inlineStr">
        <is>
          <t>あり</t>
        </is>
      </c>
      <c r="J179" s="36" t="inlineStr"/>
    </row>
    <row r="180" ht="30" customHeight="1">
      <c r="A180" s="34" t="n">
        <v>179</v>
      </c>
      <c r="B180" s="35" t="inlineStr">
        <is>
          <t>04_SOAP</t>
        </is>
      </c>
      <c r="C180" s="35" t="inlineStr">
        <is>
          <t>28</t>
        </is>
      </c>
      <c r="D180" s="36" t="inlineStr">
        <is>
          <t>ログアウト</t>
        </is>
      </c>
      <c r="E180" s="36" t="inlineStr">
        <is>
          <t>→ 28ケース、構成がすべて判明した。 / 01        SOAP送信 / 02〜10    YOKOHAMA_OTHER_ADMIN   （9ケース・フル機能） / 11〜19    YOKOHAMA_OTHER         （9ケース・フル機能） / 20〜22    LF_ADMIN_RISK          （3ケース・メニューが無いことの確認のみ） / 23〜25    LF_ADMIN_RISK_EXC      （3ケース・同上） / 26〜28    LF_PIC                 （3ケース・同上） / 計 28 ✓</t>
        </is>
      </c>
      <c r="F180" s="36" t="inlineStr"/>
      <c r="G180" s="35" t="inlineStr"/>
      <c r="H180" s="35" t="inlineStr"/>
      <c r="I180" s="35" t="inlineStr">
        <is>
          <t>あり</t>
        </is>
      </c>
      <c r="J180" s="36" t="inlineStr"/>
    </row>
    <row r="181" ht="30" customHeight="1">
      <c r="A181" s="34" t="n">
        <v>180</v>
      </c>
      <c r="B181" s="35" t="inlineStr">
        <is>
          <t>05_バッチフィルタリング</t>
        </is>
      </c>
      <c r="C181" s="35" t="inlineStr">
        <is>
          <t>01</t>
        </is>
      </c>
      <c r="D181" s="36" t="inlineStr">
        <is>
          <t>ファイル配置</t>
        </is>
      </c>
      <c r="E181" s="36" t="inlineStr">
        <is>
          <t>CIFファイル・リストファイルを配置する / ・CIFファイル / C:\FileRCV\output\0000000138C_YYYYMMDD002.txt / ・リストファイル / C:\LIST_BATCH\BLACKLIST / OFAC\sdn.xml / MOF\MOF.csv / JP\PEPs.csv / DJ_SEISAI\DSE.xml / DJ_SHIPS\DSH.xml / DJ_GAIKOKU_PEPS\DGP.xml / DJ_KOKUNAI_PEPS\DKP.xml / ORIGINAL\行内要注意情報.csv</t>
        </is>
      </c>
      <c r="F181" s="36" t="inlineStr">
        <is>
          <t>CIFファイル・リストファイルが配置されていること</t>
        </is>
      </c>
      <c r="G181" s="35" t="inlineStr"/>
      <c r="H181" s="35" t="inlineStr"/>
      <c r="I181" s="35" t="inlineStr">
        <is>
          <t>あり</t>
        </is>
      </c>
      <c r="J181" s="36" t="inlineStr">
        <is>
          <t>所見1 … ユーザ情報ファイルの記載が無い</t>
        </is>
      </c>
    </row>
    <row r="182" ht="30" customHeight="1">
      <c r="A182" s="34" t="n">
        <v>181</v>
      </c>
      <c r="B182" s="35" t="inlineStr">
        <is>
          <t>05_バッチフィルタリング</t>
        </is>
      </c>
      <c r="C182" s="35" t="inlineStr">
        <is>
          <t>02</t>
        </is>
      </c>
      <c r="D182" s="36" t="inlineStr">
        <is>
          <t>リストアップロード－横浜</t>
        </is>
      </c>
      <c r="E182" s="36" t="inlineStr">
        <is>
          <t>RISK_ADMIN_001 でログインし、下記をアップロード / 警察庁（個人）－凍結口座名義人リスト.csv / 警察庁（法人）－凍結口座名義人リスト法人版.csv / 警察庁（IB）－IB不正送金先口座名義人リスト.csv   ← 取消線なし / ASI.csv－全銀協（個人）/ ASC.csv－全銀協（法人） / 全銀協生保.csv／全銀協損保.csv</t>
        </is>
      </c>
      <c r="F182" s="36" t="inlineStr">
        <is>
          <t>リストのアップロードがエラーなく完了すること</t>
        </is>
      </c>
      <c r="G182" s="35" t="inlineStr"/>
      <c r="H182" s="35" t="inlineStr"/>
      <c r="I182" s="35" t="inlineStr">
        <is>
          <t>あり</t>
        </is>
      </c>
      <c r="J182" s="36" t="inlineStr">
        <is>
          <t>所見2 … 廃止したはずの 警察庁（IB）が残っている</t>
        </is>
      </c>
    </row>
    <row r="183" ht="30" customHeight="1">
      <c r="A183" s="34" t="n">
        <v>182</v>
      </c>
      <c r="B183" s="35" t="inlineStr">
        <is>
          <t>05_バッチフィルタリング</t>
        </is>
      </c>
      <c r="C183" s="35" t="inlineStr">
        <is>
          <t>03</t>
        </is>
      </c>
      <c r="D183" s="36" t="inlineStr">
        <is>
          <t>リストアップロード－L&amp;F</t>
        </is>
      </c>
      <c r="E183" s="36" t="inlineStr">
        <is>
          <t>LF_ADMIN_RISK でログインし「BファイルC情報.csv－BファイルC情報」をアップロード</t>
        </is>
      </c>
      <c r="F183" s="36" t="inlineStr"/>
      <c r="G183" s="35" t="inlineStr"/>
      <c r="H183" s="37" t="inlineStr">
        <is>
          <t>A-13</t>
        </is>
      </c>
      <c r="I183" s="35" t="inlineStr">
        <is>
          <t>あり</t>
        </is>
      </c>
      <c r="J183" s="36" t="inlineStr">
        <is>
          <t>整理メモの対応表より A-13</t>
        </is>
      </c>
    </row>
    <row r="184" ht="30" customHeight="1">
      <c r="A184" s="34" t="n">
        <v>183</v>
      </c>
      <c r="B184" s="35" t="inlineStr">
        <is>
          <t>05_バッチフィルタリング</t>
        </is>
      </c>
      <c r="C184" s="35" t="inlineStr">
        <is>
          <t>04</t>
        </is>
      </c>
      <c r="D184" s="36" t="inlineStr">
        <is>
          <t>タスク実行－リスト作成</t>
        </is>
      </c>
      <c r="E184" s="36" t="inlineStr">
        <is>
          <t>タスクスケジューラより 11_リスト作成処理 を実行</t>
        </is>
      </c>
      <c r="F184" s="36" t="inlineStr">
        <is>
          <t>「11_リスト作成処理」「12_リスト反映処理」の2タスクが正常終了 / イベントビューアでエラーログがないこと / 下記ログファイルでエラーログがないこと / C:\LogFiles\%PC_NAME%\TaskTarget_YYYYMMDDHHII.log</t>
        </is>
      </c>
      <c r="G184" s="35" t="inlineStr"/>
      <c r="H184" s="35" t="inlineStr"/>
      <c r="I184" s="35" t="inlineStr">
        <is>
          <t>あり</t>
        </is>
      </c>
      <c r="J184" s="36" t="inlineStr">
        <is>
          <t>所見3 … ログファイル名が TaskTarget。#1 では TaskTrg に修正済み</t>
        </is>
      </c>
    </row>
    <row r="185" ht="30" customHeight="1">
      <c r="A185" s="34" t="n">
        <v>184</v>
      </c>
      <c r="B185" s="35" t="inlineStr">
        <is>
          <t>05_バッチフィルタリング</t>
        </is>
      </c>
      <c r="C185" s="35" t="inlineStr">
        <is>
          <t>05</t>
        </is>
      </c>
      <c r="D185" s="36" t="inlineStr">
        <is>
          <t>タスク実行－環境初期化</t>
        </is>
      </c>
      <c r="E185" s="36" t="inlineStr">
        <is>
          <t>①システム時間を午前2時に設定 ②01_環境初期化処理 を実行 ③時間を戻す</t>
        </is>
      </c>
      <c r="F185" s="36" t="inlineStr">
        <is>
          <t>下記8処理が正常終了すること / 01_環境初期化処理 / 02_全量フィルタリング処理 / 03_対象ファイル到着時間チェック処理 / 04_ユーザー情報取込処理 / 05_差分CIFバッチフィルタリング処理 / 06_検索対象者一覧バッチフィルタリング処理 / 16_AIスコアリング処理 / 08_バッチフィルタリング後処理</t>
        </is>
      </c>
      <c r="G185" s="35" t="inlineStr"/>
      <c r="H185" s="35" t="inlineStr"/>
      <c r="I185" s="35" t="inlineStr">
        <is>
          <t>あり</t>
        </is>
      </c>
      <c r="J185" s="36" t="inlineStr"/>
    </row>
    <row r="186" ht="30" customHeight="1">
      <c r="A186" s="34" t="n">
        <v>185</v>
      </c>
      <c r="B186" s="35" t="inlineStr">
        <is>
          <t>05_バッチフィルタリング</t>
        </is>
      </c>
      <c r="C186" s="35" t="inlineStr">
        <is>
          <t>06</t>
        </is>
      </c>
      <c r="D186" s="36" t="inlineStr">
        <is>
          <t>Web画面ログイン</t>
        </is>
      </c>
      <c r="E186" s="36" t="inlineStr">
        <is>
          <t>YOKOHAMA_OTHER_ADMIN</t>
        </is>
      </c>
      <c r="F186" s="36" t="inlineStr"/>
      <c r="G186" s="35" t="inlineStr"/>
      <c r="H186" s="35" t="inlineStr"/>
      <c r="I186" s="35" t="inlineStr">
        <is>
          <t>あり</t>
        </is>
      </c>
      <c r="J186" s="36" t="inlineStr"/>
    </row>
    <row r="187" ht="30" customHeight="1">
      <c r="A187" s="34" t="n">
        <v>186</v>
      </c>
      <c r="B187" s="35" t="inlineStr">
        <is>
          <t>05_バッチフィルタリング</t>
        </is>
      </c>
      <c r="C187" s="35" t="inlineStr">
        <is>
          <t>07</t>
        </is>
      </c>
      <c r="D187" s="36" t="inlineStr">
        <is>
          <t>未判定照会</t>
        </is>
      </c>
      <c r="E187" s="36" t="inlineStr">
        <is>
          <t>左メニューから「未判定照会」をクリック → 未判定照会画面が表示される / → リアルフィルタリング グループには4つのメニューがあると思われる / 未判定照会 ／ 未判定照会（連動） / 判定済照会 ／ 判定済照会（連動）</t>
        </is>
      </c>
      <c r="F187" s="36" t="inlineStr"/>
      <c r="G187" s="35" t="inlineStr"/>
      <c r="H187" s="35" t="inlineStr"/>
      <c r="I187" s="35" t="inlineStr">
        <is>
          <t>あり</t>
        </is>
      </c>
      <c r="J187" s="36" t="inlineStr">
        <is>
          <t>SOAP（#4）は「未判定照会（連動）」。こちらは連動なし。</t>
        </is>
      </c>
    </row>
    <row r="188" ht="30" customHeight="1">
      <c r="A188" s="34" t="n">
        <v>187</v>
      </c>
      <c r="B188" s="35" t="inlineStr">
        <is>
          <t>05_バッチフィルタリング</t>
        </is>
      </c>
      <c r="C188" s="35" t="inlineStr">
        <is>
          <t>08</t>
        </is>
      </c>
      <c r="D188" s="36" t="inlineStr">
        <is>
          <t>検索</t>
        </is>
      </c>
      <c r="E188" s="36" t="inlineStr"/>
      <c r="F188" s="36" t="inlineStr">
        <is>
          <t>検索結果が表示される / えるえふ太郎が検索結果に含まれない / 自部店のみで、横浜銀行他部店・L&amp;F部店が表示されないこと</t>
        </is>
      </c>
      <c r="G188" s="35" t="inlineStr"/>
      <c r="H188" s="35" t="inlineStr"/>
      <c r="I188" s="35" t="inlineStr">
        <is>
          <t>あり</t>
        </is>
      </c>
      <c r="J188" s="36" t="inlineStr"/>
    </row>
    <row r="189" ht="30" customHeight="1">
      <c r="A189" s="34" t="n">
        <v>188</v>
      </c>
      <c r="B189" s="35" t="inlineStr">
        <is>
          <t>05_バッチフィルタリング</t>
        </is>
      </c>
      <c r="C189" s="35" t="inlineStr">
        <is>
          <t>09</t>
        </is>
      </c>
      <c r="D189" s="36" t="inlineStr">
        <is>
          <t>結果選択</t>
        </is>
      </c>
      <c r="E189" s="36" t="inlineStr"/>
      <c r="F189" s="36" t="inlineStr">
        <is>
          <t>判定画面が表示される / 該当リスト一覧に下記が表示されること / OFAC / 財務省 / JCIF PEPs / 警察庁（個人）/ 警察庁（法人）/ 警察庁（IB） ← 取消線なし / 全銀協（個人）/ 全銀協（法人） / DJ OFAC/企業リスト / DJ 船舶リスト / DJ 外国PEPs / DJ 国内PEPs / 全銀協（生保）/ 全銀協（損保） / 下記は表示されないこと / 行内要注意情報     ← #1 では「表示される」に変更済み / BファイルC情報</t>
        </is>
      </c>
      <c r="G189" s="35" t="inlineStr"/>
      <c r="H189" s="37" t="inlineStr">
        <is>
          <t>A-04</t>
        </is>
      </c>
      <c r="I189" s="35" t="inlineStr">
        <is>
          <t>あり</t>
        </is>
      </c>
      <c r="J189" s="36" t="inlineStr">
        <is>
          <t>★所見4 / 整理メモの対応表より A-04</t>
        </is>
      </c>
    </row>
    <row r="190" ht="30" customHeight="1">
      <c r="A190" s="34" t="n">
        <v>189</v>
      </c>
      <c r="B190" s="35" t="inlineStr">
        <is>
          <t>05_バッチフィルタリング</t>
        </is>
      </c>
      <c r="C190" s="35" t="inlineStr">
        <is>
          <t>10</t>
        </is>
      </c>
      <c r="D190" s="36" t="inlineStr">
        <is>
          <t>判定実施</t>
        </is>
      </c>
      <c r="E190" s="36" t="inlineStr">
        <is>
          <t>①一致するリストのいずれかにチェックを入れる / ②補助コメントを入力する ③判定ボタンを押下する</t>
        </is>
      </c>
      <c r="F190" s="36" t="inlineStr">
        <is>
          <t>判定済画面が表示される</t>
        </is>
      </c>
      <c r="G190" s="35" t="inlineStr"/>
      <c r="H190" s="35" t="inlineStr"/>
      <c r="I190" s="35" t="inlineStr">
        <is>
          <t>あり</t>
        </is>
      </c>
      <c r="J190" s="36" t="inlineStr"/>
    </row>
    <row r="191" ht="30" customHeight="1">
      <c r="A191" s="34" t="n">
        <v>190</v>
      </c>
      <c r="B191" s="35" t="inlineStr">
        <is>
          <t>05_バッチフィルタリング</t>
        </is>
      </c>
      <c r="C191" s="35" t="inlineStr">
        <is>
          <t>11</t>
        </is>
      </c>
      <c r="D191" s="36" t="inlineStr">
        <is>
          <t>判定済照会</t>
        </is>
      </c>
      <c r="E191" s="36" t="inlineStr">
        <is>
          <t>左メニューから「リアルフィルタリング－判定済照会」をクリック</t>
        </is>
      </c>
      <c r="F191" s="36" t="inlineStr">
        <is>
          <t>判定済照会画面が表示される</t>
        </is>
      </c>
      <c r="G191" s="35" t="inlineStr"/>
      <c r="H191" s="35" t="inlineStr"/>
      <c r="I191" s="35" t="inlineStr">
        <is>
          <t>あり</t>
        </is>
      </c>
      <c r="J191" s="36" t="inlineStr"/>
    </row>
    <row r="192" ht="30" customHeight="1">
      <c r="A192" s="34" t="n">
        <v>191</v>
      </c>
      <c r="B192" s="35" t="inlineStr">
        <is>
          <t>05_バッチフィルタリング</t>
        </is>
      </c>
      <c r="C192" s="35" t="inlineStr">
        <is>
          <t>12</t>
        </is>
      </c>
      <c r="D192" s="36" t="inlineStr">
        <is>
          <t>検索</t>
        </is>
      </c>
      <c r="E192" s="36" t="inlineStr">
        <is>
          <t>08 と同じ</t>
        </is>
      </c>
      <c r="F192" s="36" t="inlineStr"/>
      <c r="G192" s="35" t="inlineStr"/>
      <c r="H192" s="35" t="inlineStr"/>
      <c r="I192" s="35" t="inlineStr">
        <is>
          <t>あり</t>
        </is>
      </c>
      <c r="J192" s="36" t="inlineStr"/>
    </row>
    <row r="193" ht="30" customHeight="1">
      <c r="A193" s="34" t="n">
        <v>192</v>
      </c>
      <c r="B193" s="35" t="inlineStr">
        <is>
          <t>05_バッチフィルタリング</t>
        </is>
      </c>
      <c r="C193" s="35" t="inlineStr">
        <is>
          <t>13</t>
        </is>
      </c>
      <c r="D193" s="36" t="inlineStr">
        <is>
          <t>結果選択</t>
        </is>
      </c>
      <c r="E193" s="36" t="inlineStr">
        <is>
          <t>09 と同じ（警察庁（IB）あり／行内要注意情報は表示されない）</t>
        </is>
      </c>
      <c r="F193" s="36" t="inlineStr"/>
      <c r="G193" s="35" t="inlineStr"/>
      <c r="H193" s="37" t="inlineStr">
        <is>
          <t>A-04</t>
        </is>
      </c>
      <c r="I193" s="35" t="inlineStr">
        <is>
          <t>あり</t>
        </is>
      </c>
      <c r="J193" s="36" t="inlineStr">
        <is>
          <t>整理メモの対応表より A-04</t>
        </is>
      </c>
    </row>
    <row r="194" ht="30" customHeight="1">
      <c r="A194" s="34" t="n">
        <v>193</v>
      </c>
      <c r="B194" s="35" t="inlineStr">
        <is>
          <t>05_バッチフィルタリング</t>
        </is>
      </c>
      <c r="C194" s="35" t="inlineStr">
        <is>
          <t>14</t>
        </is>
      </c>
      <c r="D194" s="36" t="inlineStr">
        <is>
          <t>ログアウト</t>
        </is>
      </c>
      <c r="E194" s="36" t="inlineStr"/>
      <c r="F194" s="36" t="inlineStr"/>
      <c r="G194" s="35" t="inlineStr"/>
      <c r="H194" s="35" t="inlineStr"/>
      <c r="I194" s="35" t="inlineStr">
        <is>
          <t>あり</t>
        </is>
      </c>
      <c r="J194" s="36" t="inlineStr"/>
    </row>
    <row r="195" ht="30" customHeight="1">
      <c r="A195" s="34" t="n">
        <v>194</v>
      </c>
      <c r="B195" s="35" t="inlineStr">
        <is>
          <t>05_バッチフィルタリング</t>
        </is>
      </c>
      <c r="C195" s="35" t="inlineStr">
        <is>
          <t>15</t>
        </is>
      </c>
      <c r="D195" s="36" t="inlineStr">
        <is>
          <t>Web画面ログイン</t>
        </is>
      </c>
      <c r="E195" s="36" t="inlineStr">
        <is>
          <t>YOKOHAMA_OTHER</t>
        </is>
      </c>
      <c r="F195" s="36" t="inlineStr"/>
      <c r="G195" s="35" t="inlineStr"/>
      <c r="H195" s="35" t="inlineStr"/>
      <c r="I195" s="35" t="inlineStr">
        <is>
          <t>あり</t>
        </is>
      </c>
      <c r="J195" s="36" t="inlineStr"/>
    </row>
    <row r="196" ht="30" customHeight="1">
      <c r="A196" s="34" t="n">
        <v>195</v>
      </c>
      <c r="B196" s="35" t="inlineStr">
        <is>
          <t>05_バッチフィルタリング</t>
        </is>
      </c>
      <c r="C196" s="35" t="inlineStr">
        <is>
          <t>16</t>
        </is>
      </c>
      <c r="D196" s="36" t="inlineStr">
        <is>
          <t>未判定照会</t>
        </is>
      </c>
      <c r="E196" s="36" t="inlineStr">
        <is>
          <t>「未判定照会」をクリック</t>
        </is>
      </c>
      <c r="F196" s="36" t="inlineStr"/>
      <c r="G196" s="35" t="inlineStr"/>
      <c r="H196" s="35" t="inlineStr"/>
      <c r="I196" s="35" t="inlineStr">
        <is>
          <t>あり</t>
        </is>
      </c>
      <c r="J196" s="36" t="inlineStr"/>
    </row>
    <row r="197" ht="30" customHeight="1">
      <c r="A197" s="34" t="n">
        <v>196</v>
      </c>
      <c r="B197" s="35" t="inlineStr">
        <is>
          <t>05_バッチフィルタリング</t>
        </is>
      </c>
      <c r="C197" s="35" t="inlineStr">
        <is>
          <t>17</t>
        </is>
      </c>
      <c r="D197" s="36" t="inlineStr">
        <is>
          <t>検索</t>
        </is>
      </c>
      <c r="E197" s="36" t="inlineStr">
        <is>
          <t>えるえふ太郎が含まれない／自部店のみ</t>
        </is>
      </c>
      <c r="F197" s="36" t="inlineStr"/>
      <c r="G197" s="35" t="inlineStr"/>
      <c r="H197" s="35" t="inlineStr"/>
      <c r="I197" s="35" t="inlineStr">
        <is>
          <t>あり</t>
        </is>
      </c>
      <c r="J197" s="36" t="inlineStr"/>
    </row>
    <row r="198" ht="30" customHeight="1">
      <c r="A198" s="34" t="n">
        <v>197</v>
      </c>
      <c r="B198" s="35" t="inlineStr">
        <is>
          <t>05_バッチフィルタリング</t>
        </is>
      </c>
      <c r="C198" s="35" t="inlineStr">
        <is>
          <t>18</t>
        </is>
      </c>
      <c r="D198" s="36" t="inlineStr">
        <is>
          <t>結果選択</t>
        </is>
      </c>
      <c r="E198" s="36" t="inlineStr">
        <is>
          <t>09 と同じ（警察庁（IB）あり／行内要注意情報は表示されない）</t>
        </is>
      </c>
      <c r="F198" s="36" t="inlineStr"/>
      <c r="G198" s="35" t="inlineStr"/>
      <c r="H198" s="37" t="inlineStr">
        <is>
          <t>A-04</t>
        </is>
      </c>
      <c r="I198" s="35" t="inlineStr">
        <is>
          <t>あり</t>
        </is>
      </c>
      <c r="J198" s="36" t="inlineStr">
        <is>
          <t>整理メモの対応表より A-04</t>
        </is>
      </c>
    </row>
    <row r="199" ht="30" customHeight="1">
      <c r="A199" s="34" t="n">
        <v>198</v>
      </c>
      <c r="B199" s="35" t="inlineStr">
        <is>
          <t>05_バッチフィルタリング</t>
        </is>
      </c>
      <c r="C199" s="35" t="inlineStr">
        <is>
          <t>19</t>
        </is>
      </c>
      <c r="D199" s="36" t="inlineStr">
        <is>
          <t>判定実施</t>
        </is>
      </c>
      <c r="E199" s="36" t="inlineStr"/>
      <c r="F199" s="36" t="inlineStr"/>
      <c r="G199" s="35" t="inlineStr"/>
      <c r="H199" s="35" t="inlineStr"/>
      <c r="I199" s="35" t="inlineStr">
        <is>
          <t>あり</t>
        </is>
      </c>
      <c r="J199" s="36" t="inlineStr"/>
    </row>
    <row r="200" ht="30" customHeight="1">
      <c r="A200" s="34" t="n">
        <v>199</v>
      </c>
      <c r="B200" s="35" t="inlineStr">
        <is>
          <t>05_バッチフィルタリング</t>
        </is>
      </c>
      <c r="C200" s="35" t="inlineStr">
        <is>
          <t>20</t>
        </is>
      </c>
      <c r="D200" s="36" t="inlineStr">
        <is>
          <t>判定済照会</t>
        </is>
      </c>
      <c r="E200" s="36" t="inlineStr">
        <is>
          <t>「リアルフィルタリング－判定済照会」</t>
        </is>
      </c>
      <c r="F200" s="36" t="inlineStr"/>
      <c r="G200" s="35" t="inlineStr"/>
      <c r="H200" s="35" t="inlineStr"/>
      <c r="I200" s="35" t="inlineStr">
        <is>
          <t>あり</t>
        </is>
      </c>
      <c r="J200" s="36" t="inlineStr">
        <is>
          <t>★所見5</t>
        </is>
      </c>
    </row>
    <row r="201" ht="30" customHeight="1">
      <c r="A201" s="34" t="n">
        <v>200</v>
      </c>
      <c r="B201" s="35" t="inlineStr">
        <is>
          <t>05_バッチフィルタリング</t>
        </is>
      </c>
      <c r="C201" s="35" t="inlineStr">
        <is>
          <t>21</t>
        </is>
      </c>
      <c r="D201" s="36" t="inlineStr">
        <is>
          <t>検索</t>
        </is>
      </c>
      <c r="E201" s="36" t="inlineStr">
        <is>
          <t>同上</t>
        </is>
      </c>
      <c r="F201" s="36" t="inlineStr"/>
      <c r="G201" s="35" t="inlineStr"/>
      <c r="H201" s="35" t="inlineStr"/>
      <c r="I201" s="35" t="inlineStr">
        <is>
          <t>あり</t>
        </is>
      </c>
      <c r="J201" s="36" t="inlineStr"/>
    </row>
    <row r="202" ht="30" customHeight="1">
      <c r="A202" s="34" t="n">
        <v>201</v>
      </c>
      <c r="B202" s="35" t="inlineStr">
        <is>
          <t>05_バッチフィルタリング</t>
        </is>
      </c>
      <c r="C202" s="35" t="inlineStr">
        <is>
          <t>22</t>
        </is>
      </c>
      <c r="D202" s="36" t="inlineStr">
        <is>
          <t>結果選択</t>
        </is>
      </c>
      <c r="E202" s="36" t="inlineStr">
        <is>
          <t>18 と同じ</t>
        </is>
      </c>
      <c r="F202" s="36" t="inlineStr"/>
      <c r="G202" s="35" t="inlineStr"/>
      <c r="H202" s="37" t="inlineStr">
        <is>
          <t>A-04</t>
        </is>
      </c>
      <c r="I202" s="35" t="inlineStr">
        <is>
          <t>あり</t>
        </is>
      </c>
      <c r="J202" s="36" t="inlineStr">
        <is>
          <t>整理メモの対応表より A-04</t>
        </is>
      </c>
    </row>
    <row r="203" ht="30" customHeight="1">
      <c r="A203" s="34" t="n">
        <v>202</v>
      </c>
      <c r="B203" s="35" t="inlineStr">
        <is>
          <t>05_バッチフィルタリング</t>
        </is>
      </c>
      <c r="C203" s="35" t="inlineStr">
        <is>
          <t>23</t>
        </is>
      </c>
      <c r="D203" s="36" t="inlineStr">
        <is>
          <t>ログアウト</t>
        </is>
      </c>
      <c r="E203" s="36" t="inlineStr"/>
      <c r="F203" s="36" t="inlineStr"/>
      <c r="G203" s="35" t="inlineStr"/>
      <c r="H203" s="35" t="inlineStr"/>
      <c r="I203" s="35" t="inlineStr">
        <is>
          <t>あり</t>
        </is>
      </c>
      <c r="J203" s="36" t="inlineStr"/>
    </row>
    <row r="204" ht="30" customHeight="1">
      <c r="A204" s="34" t="n">
        <v>203</v>
      </c>
      <c r="B204" s="35" t="inlineStr">
        <is>
          <t>05_バッチフィルタリング</t>
        </is>
      </c>
      <c r="C204" s="35" t="inlineStr">
        <is>
          <t>24</t>
        </is>
      </c>
      <c r="D204" s="36" t="inlineStr">
        <is>
          <t>Web画面ログイン</t>
        </is>
      </c>
      <c r="E204" s="36" t="inlineStr">
        <is>
          <t>LF_ADMIN_RISK</t>
        </is>
      </c>
      <c r="F204" s="36" t="inlineStr"/>
      <c r="G204" s="35" t="inlineStr"/>
      <c r="H204" s="35" t="inlineStr"/>
      <c r="I204" s="35" t="inlineStr">
        <is>
          <t>あり</t>
        </is>
      </c>
      <c r="J204" s="36" t="inlineStr"/>
    </row>
    <row r="205" ht="30" customHeight="1">
      <c r="A205" s="34" t="n">
        <v>204</v>
      </c>
      <c r="B205" s="35" t="inlineStr">
        <is>
          <t>05_バッチフィルタリング</t>
        </is>
      </c>
      <c r="C205" s="35" t="inlineStr">
        <is>
          <t>25</t>
        </is>
      </c>
      <c r="D205" s="36" t="inlineStr">
        <is>
          <t>メニュー確認</t>
        </is>
      </c>
      <c r="E205" s="36" t="inlineStr"/>
      <c r="F205" s="36" t="inlineStr">
        <is>
          <t>「バッチフィルタリング」に下記が表示されていること / 未判定照会 / 判定済照会 / ファイル処理状況照会 / 検索対象者一覧アップロード</t>
        </is>
      </c>
      <c r="G205" s="35" t="inlineStr"/>
      <c r="H205" s="37" t="inlineStr">
        <is>
          <t>A-14</t>
        </is>
      </c>
      <c r="I205" s="35" t="inlineStr">
        <is>
          <t>あり</t>
        </is>
      </c>
      <c r="J205" s="36" t="inlineStr">
        <is>
          <t>★★★ 5つ目のメニューグループ / 所見6 … この一覧に「判定履歴照会」が無いが、ケース46 で使っている / 整理メモの対応表より A-14</t>
        </is>
      </c>
    </row>
    <row r="206" ht="30" customHeight="1">
      <c r="A206" s="34" t="n">
        <v>205</v>
      </c>
      <c r="B206" s="35" t="inlineStr">
        <is>
          <t>05_バッチフィルタリング</t>
        </is>
      </c>
      <c r="C206" s="35" t="inlineStr">
        <is>
          <t>26</t>
        </is>
      </c>
      <c r="D206" s="36" t="inlineStr">
        <is>
          <t>未判定照会</t>
        </is>
      </c>
      <c r="E206" s="36" t="inlineStr">
        <is>
          <t>「バッチフィルタリング－未判定照会」</t>
        </is>
      </c>
      <c r="F206" s="36" t="inlineStr">
        <is>
          <t>仕掛中一覧画面が表示される</t>
        </is>
      </c>
      <c r="G206" s="35" t="inlineStr"/>
      <c r="H206" s="35" t="inlineStr"/>
      <c r="I206" s="35" t="inlineStr">
        <is>
          <t>あり</t>
        </is>
      </c>
      <c r="J206" s="36" t="inlineStr"/>
    </row>
    <row r="207" ht="30" customHeight="1">
      <c r="A207" s="34" t="n">
        <v>206</v>
      </c>
      <c r="B207" s="35" t="inlineStr">
        <is>
          <t>05_バッチフィルタリング</t>
        </is>
      </c>
      <c r="C207" s="35" t="inlineStr">
        <is>
          <t>27</t>
        </is>
      </c>
      <c r="D207" s="36" t="inlineStr">
        <is>
          <t>検索</t>
        </is>
      </c>
      <c r="E207" s="36" t="inlineStr">
        <is>
          <t>横浜花子が検索結果に含まれない</t>
        </is>
      </c>
      <c r="F207" s="36" t="inlineStr"/>
      <c r="G207" s="35" t="inlineStr"/>
      <c r="H207" s="35" t="inlineStr"/>
      <c r="I207" s="35" t="inlineStr">
        <is>
          <t>あり</t>
        </is>
      </c>
      <c r="J207" s="36" t="inlineStr"/>
    </row>
    <row r="208" ht="30" customHeight="1">
      <c r="A208" s="34" t="n">
        <v>207</v>
      </c>
      <c r="B208" s="35" t="inlineStr">
        <is>
          <t>05_バッチフィルタリング</t>
        </is>
      </c>
      <c r="C208" s="35" t="inlineStr">
        <is>
          <t>28</t>
        </is>
      </c>
      <c r="D208" s="36" t="inlineStr">
        <is>
          <t>CSV出力</t>
        </is>
      </c>
      <c r="E208" s="36" t="inlineStr">
        <is>
          <t>検索結果がCSV形式でダウンロードされる</t>
        </is>
      </c>
      <c r="F208" s="36" t="inlineStr"/>
      <c r="G208" s="35" t="inlineStr"/>
      <c r="H208" s="35" t="inlineStr"/>
      <c r="I208" s="35" t="inlineStr">
        <is>
          <t>あり</t>
        </is>
      </c>
      <c r="J208" s="36" t="inlineStr"/>
    </row>
    <row r="209" ht="30" customHeight="1">
      <c r="A209" s="34" t="n">
        <v>208</v>
      </c>
      <c r="B209" s="35" t="inlineStr">
        <is>
          <t>05_バッチフィルタリング</t>
        </is>
      </c>
      <c r="C209" s="35" t="inlineStr">
        <is>
          <t>29</t>
        </is>
      </c>
      <c r="D209" s="36" t="inlineStr">
        <is>
          <t>結果選択</t>
        </is>
      </c>
      <c r="E209" s="36" t="inlineStr"/>
      <c r="F209" s="36" t="inlineStr">
        <is>
          <t>判定画面が表示される / 該当リスト一覧に下記が表示されること / OFAC / 警察庁（個人）/ 警察庁（法人）/ 警察庁（IB）  ← 取消線なし / 全銀協（個人）/ 全銀協（法人） / DJ 外国PEPs / DJ 国内PEPs / 全銀協（生保）/ 全銀協（損保） / 行内要注意情報 / BファイルC情報 / 下記は表示されないこと / 財務省 / JCIF PEPs / DJ 船舶リスト / 横浜側（18・22）では表示されない、と裏表そろっている。</t>
        </is>
      </c>
      <c r="G209" s="35" t="inlineStr"/>
      <c r="H209" s="37" t="inlineStr">
        <is>
          <t>A-04／A-05</t>
        </is>
      </c>
      <c r="I209" s="35" t="inlineStr">
        <is>
          <t>あり</t>
        </is>
      </c>
      <c r="J209" s="36" t="inlineStr">
        <is>
          <t>★★★ A-04 / A-05 のバッチ経路での確認 / A-05 のバッチ経路での確認（MOF／JPI／DJ_SHIPS が出ない） / A-04 のバッチ経路での確認（L&amp;F側では BファイルC情報 が出る）</t>
        </is>
      </c>
    </row>
    <row r="210" ht="30" customHeight="1">
      <c r="A210" s="34" t="n">
        <v>209</v>
      </c>
      <c r="B210" s="35" t="inlineStr">
        <is>
          <t>05_バッチフィルタリング</t>
        </is>
      </c>
      <c r="C210" s="35" t="inlineStr">
        <is>
          <t>30</t>
        </is>
      </c>
      <c r="D210" s="36" t="inlineStr">
        <is>
          <t>フィルタリング結果確認（BファイルC情報）</t>
        </is>
      </c>
      <c r="E210" s="36" t="inlineStr">
        <is>
          <t>ケース  レコード番号      強調される項目 / 30    LF00000001      名称 / フリガナ / 生年月日</t>
        </is>
      </c>
      <c r="F210" s="36" t="inlineStr"/>
      <c r="G210" s="35" t="inlineStr"/>
      <c r="H210" s="37" t="inlineStr">
        <is>
          <t>A-13</t>
        </is>
      </c>
      <c r="I210" s="35" t="inlineStr">
        <is>
          <t>あり</t>
        </is>
      </c>
      <c r="J210" s="36" t="inlineStr">
        <is>
          <t>整理メモの対応表より A-13</t>
        </is>
      </c>
    </row>
    <row r="211" ht="30" customHeight="1">
      <c r="A211" s="34" t="n">
        <v>210</v>
      </c>
      <c r="B211" s="35" t="inlineStr">
        <is>
          <t>05_バッチフィルタリング</t>
        </is>
      </c>
      <c r="C211" s="35" t="inlineStr">
        <is>
          <t>31</t>
        </is>
      </c>
      <c r="D211" s="36" t="inlineStr">
        <is>
          <t>フィルタリング結果確認（BファイルC情報）</t>
        </is>
      </c>
      <c r="E211" s="36" t="inlineStr">
        <is>
          <t>ケース  レコード番号      強調される項目 / 31    LF00000002      名称 / 生年月日</t>
        </is>
      </c>
      <c r="F211" s="36" t="inlineStr"/>
      <c r="G211" s="35" t="inlineStr"/>
      <c r="H211" s="37" t="inlineStr">
        <is>
          <t>A-13</t>
        </is>
      </c>
      <c r="I211" s="35" t="inlineStr">
        <is>
          <t>あり</t>
        </is>
      </c>
      <c r="J211" s="36" t="inlineStr">
        <is>
          <t>整理メモの対応表より A-13</t>
        </is>
      </c>
    </row>
    <row r="212" ht="30" customHeight="1">
      <c r="A212" s="34" t="n">
        <v>211</v>
      </c>
      <c r="B212" s="35" t="inlineStr">
        <is>
          <t>05_バッチフィルタリング</t>
        </is>
      </c>
      <c r="C212" s="35" t="inlineStr">
        <is>
          <t>32</t>
        </is>
      </c>
      <c r="D212" s="36" t="inlineStr">
        <is>
          <t>フィルタリング結果確認（BファイルC情報）</t>
        </is>
      </c>
      <c r="E212" s="36" t="inlineStr">
        <is>
          <t>ケース  レコード番号      強調される項目 / 32    LF00000003      名称 / 生年月日</t>
        </is>
      </c>
      <c r="F212" s="36" t="inlineStr"/>
      <c r="G212" s="35" t="inlineStr"/>
      <c r="H212" s="37" t="inlineStr">
        <is>
          <t>A-13</t>
        </is>
      </c>
      <c r="I212" s="35" t="inlineStr">
        <is>
          <t>あり</t>
        </is>
      </c>
      <c r="J212" s="36" t="inlineStr">
        <is>
          <t>整理メモの対応表より A-13</t>
        </is>
      </c>
    </row>
    <row r="213" ht="30" customHeight="1">
      <c r="A213" s="34" t="n">
        <v>212</v>
      </c>
      <c r="B213" s="35" t="inlineStr">
        <is>
          <t>05_バッチフィルタリング</t>
        </is>
      </c>
      <c r="C213" s="35" t="inlineStr">
        <is>
          <t>33</t>
        </is>
      </c>
      <c r="D213" s="36" t="inlineStr">
        <is>
          <t>フィルタリング結果確認（BファイルC情報）</t>
        </is>
      </c>
      <c r="E213" s="36" t="inlineStr">
        <is>
          <t>ケース  レコード番号      強調される項目 / 33    LF00000004      フリガナ / 生年月日     ← ★所見7</t>
        </is>
      </c>
      <c r="F213" s="36" t="inlineStr"/>
      <c r="G213" s="35" t="inlineStr"/>
      <c r="H213" s="37" t="inlineStr">
        <is>
          <t>A-13</t>
        </is>
      </c>
      <c r="I213" s="35" t="inlineStr">
        <is>
          <t>あり</t>
        </is>
      </c>
      <c r="J213" s="36" t="inlineStr">
        <is>
          <t>整理メモの対応表より A-13</t>
        </is>
      </c>
    </row>
    <row r="214" ht="30" customHeight="1">
      <c r="A214" s="34" t="n">
        <v>213</v>
      </c>
      <c r="B214" s="35" t="inlineStr">
        <is>
          <t>05_バッチフィルタリング</t>
        </is>
      </c>
      <c r="C214" s="35" t="inlineStr">
        <is>
          <t>34</t>
        </is>
      </c>
      <c r="D214" s="36" t="inlineStr">
        <is>
          <t>フィルタリング結果確認（BファイルC情報）</t>
        </is>
      </c>
      <c r="E214" s="36" t="inlineStr">
        <is>
          <t>ケース  レコード番号      強調される項目 / 34    LF00000007      フリガナ / 生年月日</t>
        </is>
      </c>
      <c r="F214" s="36" t="inlineStr"/>
      <c r="G214" s="35" t="inlineStr"/>
      <c r="H214" s="37" t="inlineStr">
        <is>
          <t>A-13</t>
        </is>
      </c>
      <c r="I214" s="35" t="inlineStr">
        <is>
          <t>あり</t>
        </is>
      </c>
      <c r="J214" s="36" t="inlineStr">
        <is>
          <t>整理メモの対応表より A-13</t>
        </is>
      </c>
    </row>
    <row r="215" ht="30" customHeight="1">
      <c r="A215" s="34" t="n">
        <v>214</v>
      </c>
      <c r="B215" s="35" t="inlineStr">
        <is>
          <t>05_バッチフィルタリング</t>
        </is>
      </c>
      <c r="C215" s="35" t="inlineStr">
        <is>
          <t>35</t>
        </is>
      </c>
      <c r="D215" s="36" t="inlineStr">
        <is>
          <t>フィルタリング結果確認（BファイルC情報）</t>
        </is>
      </c>
      <c r="E215" s="36" t="inlineStr">
        <is>
          <t>ケース  レコード番号      強調される項目 / 35    LF00000019      名称 / フリガナ</t>
        </is>
      </c>
      <c r="F215" s="36" t="inlineStr"/>
      <c r="G215" s="35" t="inlineStr"/>
      <c r="H215" s="37" t="inlineStr">
        <is>
          <t>A-13</t>
        </is>
      </c>
      <c r="I215" s="35" t="inlineStr">
        <is>
          <t>あり</t>
        </is>
      </c>
      <c r="J215" s="36" t="inlineStr">
        <is>
          <t>整理メモの対応表より A-13</t>
        </is>
      </c>
    </row>
    <row r="216" ht="30" customHeight="1">
      <c r="A216" s="34" t="n">
        <v>215</v>
      </c>
      <c r="B216" s="35" t="inlineStr">
        <is>
          <t>05_バッチフィルタリング</t>
        </is>
      </c>
      <c r="C216" s="35" t="inlineStr">
        <is>
          <t>36</t>
        </is>
      </c>
      <c r="D216" s="36" t="inlineStr">
        <is>
          <t>フィルタリング結果確認（BファイルC情報）</t>
        </is>
      </c>
      <c r="E216" s="36" t="inlineStr">
        <is>
          <t>ケース  レコード番号      強調される項目 / 36    LF00000020      名称</t>
        </is>
      </c>
      <c r="F216" s="36" t="inlineStr"/>
      <c r="G216" s="35" t="inlineStr"/>
      <c r="H216" s="37" t="inlineStr">
        <is>
          <t>A-13</t>
        </is>
      </c>
      <c r="I216" s="35" t="inlineStr">
        <is>
          <t>あり</t>
        </is>
      </c>
      <c r="J216" s="36" t="inlineStr">
        <is>
          <t>整理メモの対応表より A-13</t>
        </is>
      </c>
    </row>
    <row r="217" ht="30" customHeight="1">
      <c r="A217" s="34" t="n">
        <v>216</v>
      </c>
      <c r="B217" s="35" t="inlineStr">
        <is>
          <t>05_バッチフィルタリング</t>
        </is>
      </c>
      <c r="C217" s="35" t="inlineStr">
        <is>
          <t>37</t>
        </is>
      </c>
      <c r="D217" s="36" t="inlineStr">
        <is>
          <t>（画面に出ていない）</t>
        </is>
      </c>
      <c r="E217" s="36" t="inlineStr"/>
      <c r="F217" s="36" t="inlineStr"/>
      <c r="G217" s="35" t="inlineStr"/>
      <c r="H217" s="35" t="inlineStr"/>
      <c r="I217" s="35" t="inlineStr">
        <is>
          <t>あり</t>
        </is>
      </c>
      <c r="J217" s="36" t="inlineStr"/>
    </row>
    <row r="218" ht="30" customHeight="1">
      <c r="A218" s="34" t="n">
        <v>217</v>
      </c>
      <c r="B218" s="35" t="inlineStr">
        <is>
          <t>05_バッチフィルタリング</t>
        </is>
      </c>
      <c r="C218" s="35" t="inlineStr">
        <is>
          <t>38</t>
        </is>
      </c>
      <c r="D218" s="36" t="inlineStr">
        <is>
          <t>（画面に出ていない）</t>
        </is>
      </c>
      <c r="E218" s="36" t="inlineStr"/>
      <c r="F218" s="36" t="inlineStr"/>
      <c r="G218" s="35" t="inlineStr"/>
      <c r="H218" s="35" t="inlineStr"/>
      <c r="I218" s="35" t="inlineStr">
        <is>
          <t>あり</t>
        </is>
      </c>
      <c r="J218" s="36" t="inlineStr"/>
    </row>
    <row r="219" ht="30" customHeight="1">
      <c r="A219" s="34" t="n">
        <v>218</v>
      </c>
      <c r="B219" s="35" t="inlineStr">
        <is>
          <t>05_バッチフィルタリング</t>
        </is>
      </c>
      <c r="C219" s="35" t="inlineStr">
        <is>
          <t>39</t>
        </is>
      </c>
      <c r="D219" s="36" t="inlineStr">
        <is>
          <t>（画面に出ていない）</t>
        </is>
      </c>
      <c r="E219" s="36" t="inlineStr"/>
      <c r="F219" s="36" t="inlineStr"/>
      <c r="G219" s="35" t="inlineStr"/>
      <c r="H219" s="35" t="inlineStr"/>
      <c r="I219" s="35" t="inlineStr">
        <is>
          <t>あり</t>
        </is>
      </c>
      <c r="J219" s="36" t="inlineStr"/>
    </row>
    <row r="220" ht="30" customHeight="1">
      <c r="A220" s="34" t="n">
        <v>219</v>
      </c>
      <c r="B220" s="35" t="inlineStr">
        <is>
          <t>05_バッチフィルタリング</t>
        </is>
      </c>
      <c r="C220" s="35" t="inlineStr">
        <is>
          <t>40</t>
        </is>
      </c>
      <c r="D220" s="36" t="inlineStr">
        <is>
          <t>（画面に出ていない）</t>
        </is>
      </c>
      <c r="E220" s="36" t="inlineStr"/>
      <c r="F220" s="36" t="inlineStr"/>
      <c r="G220" s="35" t="inlineStr"/>
      <c r="H220" s="35" t="inlineStr"/>
      <c r="I220" s="35" t="inlineStr">
        <is>
          <t>あり</t>
        </is>
      </c>
      <c r="J220" s="36" t="inlineStr"/>
    </row>
    <row r="221" ht="30" customHeight="1">
      <c r="A221" s="34" t="n">
        <v>220</v>
      </c>
      <c r="B221" s="35" t="inlineStr">
        <is>
          <t>05_バッチフィルタリング</t>
        </is>
      </c>
      <c r="C221" s="35" t="inlineStr">
        <is>
          <t>41</t>
        </is>
      </c>
      <c r="D221" s="36" t="inlineStr">
        <is>
          <t>（画面に出ていない）</t>
        </is>
      </c>
      <c r="E221" s="36" t="inlineStr"/>
      <c r="F221" s="36" t="inlineStr"/>
      <c r="G221" s="35" t="inlineStr"/>
      <c r="H221" s="35" t="inlineStr"/>
      <c r="I221" s="35" t="inlineStr">
        <is>
          <t>あり</t>
        </is>
      </c>
      <c r="J221" s="36" t="inlineStr"/>
    </row>
    <row r="222" ht="30" customHeight="1">
      <c r="A222" s="34" t="n">
        <v>221</v>
      </c>
      <c r="B222" s="35" t="inlineStr">
        <is>
          <t>05_バッチフィルタリング</t>
        </is>
      </c>
      <c r="C222" s="35" t="inlineStr">
        <is>
          <t>42</t>
        </is>
      </c>
      <c r="D222" s="36" t="inlineStr">
        <is>
          <t>判定実施</t>
        </is>
      </c>
      <c r="E222" s="36" t="inlineStr">
        <is>
          <t>補助コメントのプルダウンを選択</t>
        </is>
      </c>
      <c r="F222" s="36" t="inlineStr">
        <is>
          <t>判定済照会画面。選択した補助コメントが表示されること / 判定日時・判定者・キャンセルボタン</t>
        </is>
      </c>
      <c r="G222" s="35" t="inlineStr"/>
      <c r="H222" s="37" t="inlineStr">
        <is>
          <t>A-07</t>
        </is>
      </c>
      <c r="I222" s="35" t="inlineStr">
        <is>
          <t>あり</t>
        </is>
      </c>
      <c r="J222" s="36" t="inlineStr">
        <is>
          <t>整理メモの対応表より A-07</t>
        </is>
      </c>
    </row>
    <row r="223" ht="30" customHeight="1">
      <c r="A223" s="34" t="n">
        <v>222</v>
      </c>
      <c r="B223" s="35" t="inlineStr">
        <is>
          <t>05_バッチフィルタリング</t>
        </is>
      </c>
      <c r="C223" s="35" t="inlineStr">
        <is>
          <t>43</t>
        </is>
      </c>
      <c r="D223" s="36" t="inlineStr">
        <is>
          <t>検索画面に戻る</t>
        </is>
      </c>
      <c r="E223" s="36" t="inlineStr"/>
      <c r="F223" s="36" t="inlineStr"/>
      <c r="G223" s="35" t="inlineStr"/>
      <c r="H223" s="35" t="inlineStr"/>
      <c r="I223" s="35" t="inlineStr">
        <is>
          <t>あり</t>
        </is>
      </c>
      <c r="J223" s="36" t="inlineStr"/>
    </row>
    <row r="224" ht="30" customHeight="1">
      <c r="A224" s="34" t="n">
        <v>223</v>
      </c>
      <c r="B224" s="35" t="inlineStr">
        <is>
          <t>05_バッチフィルタリング</t>
        </is>
      </c>
      <c r="C224" s="35" t="inlineStr">
        <is>
          <t>44</t>
        </is>
      </c>
      <c r="D224" s="36" t="inlineStr">
        <is>
          <t>判定実施</t>
        </is>
      </c>
      <c r="E224" s="36" t="inlineStr">
        <is>
          <t>チェックを入れる＋補助コメント（テキスト欄）入力</t>
        </is>
      </c>
      <c r="F224" s="36" t="inlineStr"/>
      <c r="G224" s="35" t="inlineStr"/>
      <c r="H224" s="37" t="inlineStr">
        <is>
          <t>A-07</t>
        </is>
      </c>
      <c r="I224" s="35" t="inlineStr">
        <is>
          <t>あり</t>
        </is>
      </c>
      <c r="J224" s="36" t="inlineStr">
        <is>
          <t>整理メモの対応表より A-07</t>
        </is>
      </c>
    </row>
    <row r="225" ht="30" customHeight="1">
      <c r="A225" s="34" t="n">
        <v>224</v>
      </c>
      <c r="B225" s="35" t="inlineStr">
        <is>
          <t>05_バッチフィルタリング</t>
        </is>
      </c>
      <c r="C225" s="35" t="inlineStr">
        <is>
          <t>45</t>
        </is>
      </c>
      <c r="D225" s="36" t="inlineStr">
        <is>
          <t>検索画面に戻る</t>
        </is>
      </c>
      <c r="E225" s="36" t="inlineStr"/>
      <c r="F225" s="36" t="inlineStr"/>
      <c r="G225" s="35" t="inlineStr"/>
      <c r="H225" s="35" t="inlineStr"/>
      <c r="I225" s="35" t="inlineStr">
        <is>
          <t>あり</t>
        </is>
      </c>
      <c r="J225" s="36" t="inlineStr"/>
    </row>
    <row r="226" ht="30" customHeight="1">
      <c r="A226" s="34" t="n">
        <v>225</v>
      </c>
      <c r="B226" s="35" t="inlineStr">
        <is>
          <t>05_バッチフィルタリング</t>
        </is>
      </c>
      <c r="C226" s="35" t="inlineStr">
        <is>
          <t>46</t>
        </is>
      </c>
      <c r="D226" s="36" t="inlineStr">
        <is>
          <t>判定履歴照会</t>
        </is>
      </c>
      <c r="E226" s="36" t="inlineStr">
        <is>
          <t>「バッチフィルタリング－判定履歴照会」</t>
        </is>
      </c>
      <c r="F226" s="36" t="inlineStr">
        <is>
          <t>判定履歴一覧画面が表示される</t>
        </is>
      </c>
      <c r="G226" s="35" t="inlineStr"/>
      <c r="H226" s="35" t="inlineStr"/>
      <c r="I226" s="35" t="inlineStr">
        <is>
          <t>あり</t>
        </is>
      </c>
      <c r="J226" s="36" t="inlineStr">
        <is>
          <t>★所見6</t>
        </is>
      </c>
    </row>
    <row r="227" ht="30" customHeight="1">
      <c r="A227" s="34" t="n">
        <v>226</v>
      </c>
      <c r="B227" s="35" t="inlineStr">
        <is>
          <t>05_バッチフィルタリング</t>
        </is>
      </c>
      <c r="C227" s="35" t="inlineStr">
        <is>
          <t>47</t>
        </is>
      </c>
      <c r="D227" s="36" t="inlineStr">
        <is>
          <t>検索</t>
        </is>
      </c>
      <c r="E227" s="36" t="inlineStr">
        <is>
          <t>横浜花子が検索結果に含まれない</t>
        </is>
      </c>
      <c r="F227" s="36" t="inlineStr"/>
      <c r="G227" s="35" t="inlineStr"/>
      <c r="H227" s="35" t="inlineStr"/>
      <c r="I227" s="35" t="inlineStr">
        <is>
          <t>あり</t>
        </is>
      </c>
      <c r="J227" s="36" t="inlineStr"/>
    </row>
    <row r="228" ht="30" customHeight="1">
      <c r="A228" s="34" t="n">
        <v>227</v>
      </c>
      <c r="B228" s="35" t="inlineStr">
        <is>
          <t>05_バッチフィルタリング</t>
        </is>
      </c>
      <c r="C228" s="35" t="inlineStr">
        <is>
          <t>48</t>
        </is>
      </c>
      <c r="D228" s="36" t="inlineStr">
        <is>
          <t>CSV出力</t>
        </is>
      </c>
      <c r="E228" s="36" t="inlineStr"/>
      <c r="F228" s="36" t="inlineStr"/>
      <c r="G228" s="35" t="inlineStr"/>
      <c r="H228" s="35" t="inlineStr"/>
      <c r="I228" s="35" t="inlineStr">
        <is>
          <t>あり</t>
        </is>
      </c>
      <c r="J228" s="36" t="inlineStr"/>
    </row>
    <row r="229" ht="30" customHeight="1">
      <c r="A229" s="34" t="n">
        <v>228</v>
      </c>
      <c r="B229" s="35" t="inlineStr">
        <is>
          <t>05_バッチフィルタリング</t>
        </is>
      </c>
      <c r="C229" s="35" t="inlineStr">
        <is>
          <t>49</t>
        </is>
      </c>
      <c r="D229" s="36" t="inlineStr">
        <is>
          <t>ファイル出力</t>
        </is>
      </c>
      <c r="E229" s="36" t="inlineStr"/>
      <c r="F229" s="36" t="inlineStr"/>
      <c r="G229" s="35" t="inlineStr"/>
      <c r="H229" s="35" t="inlineStr"/>
      <c r="I229" s="35" t="inlineStr">
        <is>
          <t>あり</t>
        </is>
      </c>
      <c r="J229" s="36" t="inlineStr"/>
    </row>
    <row r="230" ht="30" customHeight="1">
      <c r="A230" s="34" t="n">
        <v>229</v>
      </c>
      <c r="B230" s="35" t="inlineStr">
        <is>
          <t>05_バッチフィルタリング</t>
        </is>
      </c>
      <c r="C230" s="35" t="inlineStr">
        <is>
          <t>50</t>
        </is>
      </c>
      <c r="D230" s="36" t="inlineStr">
        <is>
          <t>（画面に出ていない）</t>
        </is>
      </c>
      <c r="E230" s="36" t="inlineStr"/>
      <c r="F230" s="36" t="inlineStr"/>
      <c r="G230" s="35" t="inlineStr"/>
      <c r="H230" s="35" t="inlineStr"/>
      <c r="I230" s="35" t="inlineStr">
        <is>
          <t>あり</t>
        </is>
      </c>
      <c r="J230" s="36" t="inlineStr"/>
    </row>
    <row r="231" ht="30" customHeight="1">
      <c r="A231" s="34" t="n">
        <v>230</v>
      </c>
      <c r="B231" s="35" t="inlineStr">
        <is>
          <t>05_バッチフィルタリング</t>
        </is>
      </c>
      <c r="C231" s="35" t="inlineStr">
        <is>
          <t>51</t>
        </is>
      </c>
      <c r="D231" s="36" t="inlineStr">
        <is>
          <t>ログアウト</t>
        </is>
      </c>
      <c r="E231" s="36" t="inlineStr"/>
      <c r="F231" s="36" t="inlineStr"/>
      <c r="G231" s="35" t="inlineStr"/>
      <c r="H231" s="35" t="inlineStr"/>
      <c r="I231" s="35" t="inlineStr">
        <is>
          <t>あり</t>
        </is>
      </c>
      <c r="J231" s="36" t="inlineStr"/>
    </row>
    <row r="232" ht="30" customHeight="1">
      <c r="A232" s="34" t="n">
        <v>231</v>
      </c>
      <c r="B232" s="35" t="inlineStr">
        <is>
          <t>05_バッチフィルタリング</t>
        </is>
      </c>
      <c r="C232" s="35" t="inlineStr">
        <is>
          <t>52</t>
        </is>
      </c>
      <c r="D232" s="36" t="inlineStr">
        <is>
          <t>Web画面ログイン</t>
        </is>
      </c>
      <c r="E232" s="36" t="inlineStr">
        <is>
          <t>LF_ADMIN_RISK_EXC</t>
        </is>
      </c>
      <c r="F232" s="36" t="inlineStr"/>
      <c r="G232" s="35" t="inlineStr"/>
      <c r="H232" s="35" t="inlineStr"/>
      <c r="I232" s="35" t="inlineStr">
        <is>
          <t>あり</t>
        </is>
      </c>
      <c r="J232" s="36" t="inlineStr"/>
    </row>
    <row r="233" ht="30" customHeight="1">
      <c r="A233" s="34" t="n">
        <v>232</v>
      </c>
      <c r="B233" s="35" t="inlineStr">
        <is>
          <t>05_バッチフィルタリング</t>
        </is>
      </c>
      <c r="C233" s="35" t="inlineStr">
        <is>
          <t>53</t>
        </is>
      </c>
      <c r="D233" s="36" t="inlineStr">
        <is>
          <t>メニュー確認</t>
        </is>
      </c>
      <c r="E233" s="36" t="inlineStr"/>
      <c r="F233" s="36" t="inlineStr">
        <is>
          <t>「バッチフィルタリング」に下記が表示されていること / 未判定照会 / 判定済照会 / ファイル処理状況照会 / 検索対象者一覧アップロード / 管理（#2）やリスト管理（#3）では差があったが、 / バッチフィルタリングは「リスク管理部以外」も全部使える。</t>
        </is>
      </c>
      <c r="G233" s="35" t="inlineStr"/>
      <c r="H233" s="37" t="inlineStr">
        <is>
          <t>A-14</t>
        </is>
      </c>
      <c r="I233" s="35" t="inlineStr">
        <is>
          <t>あり</t>
        </is>
      </c>
      <c r="J233" s="36" t="inlineStr">
        <is>
          <t>★★重要 / リスク管理部（ケース25）とまったく同じ4つ。 / 整理メモの対応表より A-14</t>
        </is>
      </c>
    </row>
    <row r="234" ht="30" customHeight="1">
      <c r="A234" s="34" t="n">
        <v>233</v>
      </c>
      <c r="B234" s="35" t="inlineStr">
        <is>
          <t>05_バッチフィルタリング</t>
        </is>
      </c>
      <c r="C234" s="35" t="inlineStr">
        <is>
          <t>54</t>
        </is>
      </c>
      <c r="D234" s="36" t="inlineStr">
        <is>
          <t>未判定照会</t>
        </is>
      </c>
      <c r="E234" s="36" t="inlineStr">
        <is>
          <t>「バッチフィルタリング－未判定照会」→ 仕掛中一覧画面</t>
        </is>
      </c>
      <c r="F234" s="36" t="inlineStr"/>
      <c r="G234" s="35" t="inlineStr"/>
      <c r="H234" s="35" t="inlineStr"/>
      <c r="I234" s="35" t="inlineStr">
        <is>
          <t>あり</t>
        </is>
      </c>
      <c r="J234" s="36" t="inlineStr"/>
    </row>
    <row r="235" ht="30" customHeight="1">
      <c r="A235" s="34" t="n">
        <v>234</v>
      </c>
      <c r="B235" s="35" t="inlineStr">
        <is>
          <t>05_バッチフィルタリング</t>
        </is>
      </c>
      <c r="C235" s="35" t="inlineStr">
        <is>
          <t>55</t>
        </is>
      </c>
      <c r="D235" s="36" t="inlineStr">
        <is>
          <t>検索</t>
        </is>
      </c>
      <c r="E235" s="36" t="inlineStr">
        <is>
          <t>横浜花子が検索結果に含まれない</t>
        </is>
      </c>
      <c r="F235" s="36" t="inlineStr"/>
      <c r="G235" s="35" t="inlineStr"/>
      <c r="H235" s="35" t="inlineStr"/>
      <c r="I235" s="35" t="inlineStr">
        <is>
          <t>あり</t>
        </is>
      </c>
      <c r="J235" s="36" t="inlineStr"/>
    </row>
    <row r="236" ht="30" customHeight="1">
      <c r="A236" s="34" t="n">
        <v>235</v>
      </c>
      <c r="B236" s="35" t="inlineStr">
        <is>
          <t>05_バッチフィルタリング</t>
        </is>
      </c>
      <c r="C236" s="35" t="inlineStr">
        <is>
          <t>56</t>
        </is>
      </c>
      <c r="D236" s="36" t="inlineStr">
        <is>
          <t>CSV出力</t>
        </is>
      </c>
      <c r="E236" s="36" t="inlineStr"/>
      <c r="F236" s="36" t="inlineStr"/>
      <c r="G236" s="35" t="inlineStr"/>
      <c r="H236" s="35" t="inlineStr"/>
      <c r="I236" s="35" t="inlineStr">
        <is>
          <t>あり</t>
        </is>
      </c>
      <c r="J236" s="36" t="inlineStr"/>
    </row>
    <row r="237" ht="30" customHeight="1">
      <c r="A237" s="34" t="n">
        <v>236</v>
      </c>
      <c r="B237" s="35" t="inlineStr">
        <is>
          <t>05_バッチフィルタリング</t>
        </is>
      </c>
      <c r="C237" s="35" t="inlineStr">
        <is>
          <t>57</t>
        </is>
      </c>
      <c r="D237" s="36" t="inlineStr">
        <is>
          <t>結果選択</t>
        </is>
      </c>
      <c r="E237" s="36" t="inlineStr">
        <is>
          <t>29 と同じ顔ぶれ</t>
        </is>
      </c>
      <c r="F237" s="36" t="inlineStr"/>
      <c r="G237" s="35" t="inlineStr"/>
      <c r="H237" s="35" t="inlineStr"/>
      <c r="I237" s="35" t="inlineStr">
        <is>
          <t>あり</t>
        </is>
      </c>
      <c r="J237" s="36" t="inlineStr"/>
    </row>
    <row r="238" ht="30" customHeight="1">
      <c r="A238" s="34" t="n">
        <v>237</v>
      </c>
      <c r="B238" s="35" t="inlineStr">
        <is>
          <t>05_バッチフィルタリング</t>
        </is>
      </c>
      <c r="C238" s="35" t="inlineStr">
        <is>
          <t>58</t>
        </is>
      </c>
      <c r="D238" s="36" t="inlineStr">
        <is>
          <t>補助コメント</t>
        </is>
      </c>
      <c r="E238" s="36" t="inlineStr"/>
      <c r="F238" s="36" t="inlineStr">
        <is>
          <t>プルダウンに下記が表示されること / 該当あり（コンプラ先） / 該当あり（マーク先） / 該当あり（その他） / 該当なし / 該当あり（C情報）     ← 5番目 / 取消し / ヒアリング  1 コンプラ先 / 2 マーク先 / 3 C情報 /</t>
        </is>
      </c>
      <c r="G238" s="35" t="inlineStr"/>
      <c r="H238" s="37" t="inlineStr">
        <is>
          <t>A-07</t>
        </is>
      </c>
      <c r="I238" s="35" t="inlineStr">
        <is>
          <t>あり</t>
        </is>
      </c>
      <c r="J238" s="36" t="inlineStr">
        <is>
          <t>★★所見8 / ヒアリング A-07 の並び順と違う。</t>
        </is>
      </c>
    </row>
    <row r="239" ht="30" customHeight="1">
      <c r="A239" s="34" t="n">
        <v>238</v>
      </c>
      <c r="B239" s="35" t="inlineStr">
        <is>
          <t>05_バッチフィルタリング</t>
        </is>
      </c>
      <c r="C239" s="35" t="inlineStr">
        <is>
          <t>59</t>
        </is>
      </c>
      <c r="D239" s="36" t="inlineStr">
        <is>
          <t>保留実施</t>
        </is>
      </c>
      <c r="E239" s="36" t="inlineStr">
        <is>
          <t>①保留ボタンをクリックする / ②ダイアログ「判定を決定します。よろしいですか？」が表示される / ③OKをクリックする</t>
        </is>
      </c>
      <c r="F239" s="36" t="inlineStr">
        <is>
          <t>（③判定済み照会画面が表示される） / ④判定日時に判定実施時間、判定者にログインユーザー情報が / 表示されること。キャンセルボタンが表示されること。 / ダイアログ「判定を保留します」に修正 / も「本人確認仕掛照会画面が表示される／ / 保留した仕掛情報が検索結果に表示されること」に赤字変更 / → #5 は修正前のまま。</t>
        </is>
      </c>
      <c r="G239" s="35" t="inlineStr"/>
      <c r="H239" s="35" t="inlineStr"/>
      <c r="I239" s="35" t="inlineStr">
        <is>
          <t>あり</t>
        </is>
      </c>
      <c r="J239" s="36" t="inlineStr">
        <is>
          <t>★★所見9 / #1 ケース41 では</t>
        </is>
      </c>
    </row>
    <row r="240" ht="30" customHeight="1">
      <c r="A240" s="34" t="n">
        <v>239</v>
      </c>
      <c r="B240" s="35" t="inlineStr">
        <is>
          <t>05_バッチフィルタリング</t>
        </is>
      </c>
      <c r="C240" s="35" t="inlineStr">
        <is>
          <t>60</t>
        </is>
      </c>
      <c r="D240" s="36" t="inlineStr">
        <is>
          <t>検索画面に戻る</t>
        </is>
      </c>
      <c r="E240" s="36" t="inlineStr"/>
      <c r="F240" s="36" t="inlineStr"/>
      <c r="G240" s="35" t="inlineStr"/>
      <c r="H240" s="35" t="inlineStr"/>
      <c r="I240" s="35" t="inlineStr">
        <is>
          <t>あり</t>
        </is>
      </c>
      <c r="J240" s="36" t="inlineStr"/>
    </row>
    <row r="241" ht="30" customHeight="1">
      <c r="A241" s="34" t="n">
        <v>240</v>
      </c>
      <c r="B241" s="35" t="inlineStr">
        <is>
          <t>05_バッチフィルタリング</t>
        </is>
      </c>
      <c r="C241" s="35" t="inlineStr">
        <is>
          <t>61</t>
        </is>
      </c>
      <c r="D241" s="36" t="inlineStr">
        <is>
          <t>判定実施</t>
        </is>
      </c>
      <c r="E241" s="36" t="inlineStr">
        <is>
          <t>チェックなし＋プルダウン</t>
        </is>
      </c>
      <c r="F241" s="36" t="inlineStr"/>
      <c r="G241" s="35" t="inlineStr"/>
      <c r="H241" s="35" t="inlineStr"/>
      <c r="I241" s="35" t="inlineStr">
        <is>
          <t>あり</t>
        </is>
      </c>
      <c r="J241" s="36" t="inlineStr"/>
    </row>
    <row r="242" ht="30" customHeight="1">
      <c r="A242" s="34" t="n">
        <v>241</v>
      </c>
      <c r="B242" s="35" t="inlineStr">
        <is>
          <t>05_バッチフィルタリング</t>
        </is>
      </c>
      <c r="C242" s="35" t="inlineStr">
        <is>
          <t>62</t>
        </is>
      </c>
      <c r="D242" s="36" t="inlineStr">
        <is>
          <t>検索画面に戻る</t>
        </is>
      </c>
      <c r="E242" s="36" t="inlineStr"/>
      <c r="F242" s="36" t="inlineStr"/>
      <c r="G242" s="35" t="inlineStr"/>
      <c r="H242" s="35" t="inlineStr"/>
      <c r="I242" s="35" t="inlineStr">
        <is>
          <t>あり</t>
        </is>
      </c>
      <c r="J242" s="36" t="inlineStr"/>
    </row>
    <row r="243" ht="30" customHeight="1">
      <c r="A243" s="34" t="n">
        <v>242</v>
      </c>
      <c r="B243" s="35" t="inlineStr">
        <is>
          <t>05_バッチフィルタリング</t>
        </is>
      </c>
      <c r="C243" s="35" t="inlineStr">
        <is>
          <t>63</t>
        </is>
      </c>
      <c r="D243" s="36" t="inlineStr">
        <is>
          <t>判定実施</t>
        </is>
      </c>
      <c r="E243" s="36" t="inlineStr">
        <is>
          <t>チェックあり＋テキスト</t>
        </is>
      </c>
      <c r="F243" s="36" t="inlineStr"/>
      <c r="G243" s="35" t="inlineStr"/>
      <c r="H243" s="35" t="inlineStr"/>
      <c r="I243" s="35" t="inlineStr">
        <is>
          <t>あり</t>
        </is>
      </c>
      <c r="J243" s="36" t="inlineStr"/>
    </row>
    <row r="244" ht="30" customHeight="1">
      <c r="A244" s="34" t="n">
        <v>243</v>
      </c>
      <c r="B244" s="35" t="inlineStr">
        <is>
          <t>05_バッチフィルタリング</t>
        </is>
      </c>
      <c r="C244" s="35" t="inlineStr">
        <is>
          <t>64</t>
        </is>
      </c>
      <c r="D244" s="36" t="inlineStr">
        <is>
          <t>（画面に出ていない）</t>
        </is>
      </c>
      <c r="E244" s="36" t="inlineStr"/>
      <c r="F244" s="36" t="inlineStr"/>
      <c r="G244" s="35" t="inlineStr"/>
      <c r="H244" s="35" t="inlineStr"/>
      <c r="I244" s="35" t="inlineStr">
        <is>
          <t>あり</t>
        </is>
      </c>
      <c r="J244" s="36" t="inlineStr"/>
    </row>
    <row r="245" ht="30" customHeight="1">
      <c r="A245" s="34" t="n">
        <v>244</v>
      </c>
      <c r="B245" s="35" t="inlineStr">
        <is>
          <t>05_バッチフィルタリング</t>
        </is>
      </c>
      <c r="C245" s="35" t="inlineStr">
        <is>
          <t>65</t>
        </is>
      </c>
      <c r="D245" s="36" t="inlineStr">
        <is>
          <t>判定履歴照会</t>
        </is>
      </c>
      <c r="E245" s="36" t="inlineStr">
        <is>
          <t>「バッチフィルタリング－判定履歴照会」</t>
        </is>
      </c>
      <c r="F245" s="36" t="inlineStr"/>
      <c r="G245" s="35" t="inlineStr"/>
      <c r="H245" s="35" t="inlineStr"/>
      <c r="I245" s="35" t="inlineStr">
        <is>
          <t>あり</t>
        </is>
      </c>
      <c r="J245" s="36" t="inlineStr"/>
    </row>
    <row r="246" ht="30" customHeight="1">
      <c r="A246" s="34" t="n">
        <v>245</v>
      </c>
      <c r="B246" s="35" t="inlineStr">
        <is>
          <t>05_バッチフィルタリング</t>
        </is>
      </c>
      <c r="C246" s="35" t="inlineStr">
        <is>
          <t>66</t>
        </is>
      </c>
      <c r="D246" s="36" t="inlineStr">
        <is>
          <t>検索</t>
        </is>
      </c>
      <c r="E246" s="36" t="inlineStr">
        <is>
          <t>横浜花子が検索結果に含まれない</t>
        </is>
      </c>
      <c r="F246" s="36" t="inlineStr"/>
      <c r="G246" s="35" t="inlineStr"/>
      <c r="H246" s="35" t="inlineStr"/>
      <c r="I246" s="35" t="inlineStr">
        <is>
          <t>あり</t>
        </is>
      </c>
      <c r="J246" s="36" t="inlineStr"/>
    </row>
    <row r="247" ht="30" customHeight="1">
      <c r="A247" s="34" t="n">
        <v>246</v>
      </c>
      <c r="B247" s="35" t="inlineStr">
        <is>
          <t>05_バッチフィルタリング</t>
        </is>
      </c>
      <c r="C247" s="35" t="inlineStr">
        <is>
          <t>67</t>
        </is>
      </c>
      <c r="D247" s="36" t="inlineStr">
        <is>
          <t>CSV出力 /</t>
        </is>
      </c>
      <c r="E247" s="36" t="inlineStr"/>
      <c r="F247" s="36" t="inlineStr"/>
      <c r="G247" s="35" t="inlineStr"/>
      <c r="H247" s="35" t="inlineStr"/>
      <c r="I247" s="35" t="inlineStr">
        <is>
          <t>あり</t>
        </is>
      </c>
      <c r="J247" s="36" t="inlineStr"/>
    </row>
    <row r="248" ht="30" customHeight="1">
      <c r="A248" s="34" t="n">
        <v>247</v>
      </c>
      <c r="B248" s="35" t="inlineStr">
        <is>
          <t>05_バッチフィルタリング</t>
        </is>
      </c>
      <c r="C248" s="35" t="inlineStr">
        <is>
          <t>68</t>
        </is>
      </c>
      <c r="D248" s="36" t="inlineStr">
        <is>
          <t>ファイル出力</t>
        </is>
      </c>
      <c r="E248" s="36" t="inlineStr"/>
      <c r="F248" s="36" t="inlineStr"/>
      <c r="G248" s="35" t="inlineStr"/>
      <c r="H248" s="35" t="inlineStr"/>
      <c r="I248" s="35" t="inlineStr">
        <is>
          <t>あり</t>
        </is>
      </c>
      <c r="J248" s="36" t="inlineStr"/>
    </row>
    <row r="249" ht="30" customHeight="1">
      <c r="A249" s="34" t="n">
        <v>248</v>
      </c>
      <c r="B249" s="35" t="inlineStr">
        <is>
          <t>05_バッチフィルタリング</t>
        </is>
      </c>
      <c r="C249" s="35" t="inlineStr">
        <is>
          <t>69</t>
        </is>
      </c>
      <c r="D249" s="36" t="inlineStr">
        <is>
          <t>結果選択</t>
        </is>
      </c>
      <c r="E249" s="36" t="inlineStr">
        <is>
          <t>表示：OFAC／警察庁(個人)(法人)(IB)／全銀協(個人)(法人)／ / DJ 外国PEPs／DJ 国内PEPs／全銀協(生保)(損保)／ / 行内要注意情報／BファイルC情報 / 表示されないこと：財務省／JCIF PEPs／DJ 船舶リスト</t>
        </is>
      </c>
      <c r="F249" s="36" t="inlineStr"/>
      <c r="G249" s="35" t="inlineStr"/>
      <c r="H249" s="37" t="inlineStr">
        <is>
          <t>A-04／A-05</t>
        </is>
      </c>
      <c r="I249" s="35" t="inlineStr">
        <is>
          <t>あり</t>
        </is>
      </c>
      <c r="J249" s="36" t="inlineStr">
        <is>
          <t>整理メモの対応表より A-04・A-05</t>
        </is>
      </c>
    </row>
    <row r="250" ht="30" customHeight="1">
      <c r="A250" s="34" t="n">
        <v>249</v>
      </c>
      <c r="B250" s="35" t="inlineStr">
        <is>
          <t>05_バッチフィルタリング</t>
        </is>
      </c>
      <c r="C250" s="35" t="inlineStr">
        <is>
          <t>70</t>
        </is>
      </c>
      <c r="D250" s="36" t="inlineStr">
        <is>
          <t>ログアウト</t>
        </is>
      </c>
      <c r="E250" s="36" t="inlineStr"/>
      <c r="F250" s="36" t="inlineStr"/>
      <c r="G250" s="35" t="inlineStr"/>
      <c r="H250" s="35" t="inlineStr"/>
      <c r="I250" s="35" t="inlineStr">
        <is>
          <t>あり</t>
        </is>
      </c>
      <c r="J250" s="36" t="inlineStr"/>
    </row>
    <row r="251" ht="30" customHeight="1">
      <c r="A251" s="34" t="n">
        <v>250</v>
      </c>
      <c r="B251" s="35" t="inlineStr">
        <is>
          <t>05_バッチフィルタリング</t>
        </is>
      </c>
      <c r="C251" s="35" t="inlineStr">
        <is>
          <t>71</t>
        </is>
      </c>
      <c r="D251" s="36" t="inlineStr">
        <is>
          <t>Web画面ログイン</t>
        </is>
      </c>
      <c r="E251" s="36" t="inlineStr">
        <is>
          <t>LF_PIC</t>
        </is>
      </c>
      <c r="F251" s="36" t="inlineStr"/>
      <c r="G251" s="35" t="inlineStr"/>
      <c r="H251" s="35" t="inlineStr"/>
      <c r="I251" s="35" t="inlineStr">
        <is>
          <t>あり</t>
        </is>
      </c>
      <c r="J251" s="36" t="inlineStr"/>
    </row>
    <row r="252" ht="30" customHeight="1">
      <c r="A252" s="34" t="n">
        <v>251</v>
      </c>
      <c r="B252" s="35" t="inlineStr">
        <is>
          <t>05_バッチフィルタリング</t>
        </is>
      </c>
      <c r="C252" s="35" t="inlineStr">
        <is>
          <t>72</t>
        </is>
      </c>
      <c r="D252" s="36" t="inlineStr">
        <is>
          <t>メニュー確認</t>
        </is>
      </c>
      <c r="E252" s="36" t="inlineStr"/>
      <c r="F252" s="36" t="inlineStr">
        <is>
          <t>「バッチフィルタリング」に下記が表示されないこと</t>
        </is>
      </c>
      <c r="G252" s="35" t="inlineStr"/>
      <c r="H252" s="37" t="inlineStr">
        <is>
          <t>A-14</t>
        </is>
      </c>
      <c r="I252" s="35" t="inlineStr">
        <is>
          <t>あり</t>
        </is>
      </c>
      <c r="J252" s="36" t="inlineStr">
        <is>
          <t>整理メモの対応表より A-14</t>
        </is>
      </c>
    </row>
    <row r="253" ht="30" customHeight="1">
      <c r="A253" s="34" t="n">
        <v>252</v>
      </c>
      <c r="B253" s="35" t="inlineStr">
        <is>
          <t>05_バッチフィルタリング</t>
        </is>
      </c>
      <c r="C253" s="35" t="inlineStr">
        <is>
          <t>73</t>
        </is>
      </c>
      <c r="D253" s="36" t="inlineStr">
        <is>
          <t>ログアウト</t>
        </is>
      </c>
      <c r="E253" s="36" t="inlineStr">
        <is>
          <t>→ 73ケース、すべて読み終わった。</t>
        </is>
      </c>
      <c r="F253" s="36" t="inlineStr"/>
      <c r="G253" s="35" t="inlineStr"/>
      <c r="H253" s="35" t="inlineStr"/>
      <c r="I253" s="35" t="inlineStr">
        <is>
          <t>あり</t>
        </is>
      </c>
      <c r="J253" s="36" t="inlineStr"/>
    </row>
  </sheetData>
  <autoFilter ref="A1:J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孫 キ超/Sun, Qichao (ndlc)</dc:creator>
  <dcterms:created xmlns:dcterms="http://purl.org/dc/terms/" xmlns:xsi="http://www.w3.org/2001/XMLSchema-instance" xsi:type="dcterms:W3CDTF">2026-10-09T05:54:11Z</dcterms:created>
  <dcterms:modified xmlns:dcterms="http://purl.org/dc/terms/" xmlns:xsi="http://www.w3.org/2001/XMLSchema-instance" xsi:type="dcterms:W3CDTF">2026-10-20T07:27:40Z</dcterms:modified>
  <cp:lastModifiedBy>孫 キ超/Sun, Qichao (ndlc)</cp:lastModifiedBy>
</cp:coreProperties>
</file>